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авная таблица" sheetId="1" r:id="rId5"/>
    <sheet state="visible" name="Визуализация данных" sheetId="2" r:id="rId6"/>
    <sheet state="visible" name="Адреса школ" sheetId="3" r:id="rId7"/>
    <sheet state="visible" name="Топ-400" sheetId="4" r:id="rId8"/>
    <sheet state="visible" name="2023-2024" sheetId="5" r:id="rId9"/>
    <sheet state="visible" name="2024-2025" sheetId="6" r:id="rId10"/>
    <sheet state="visible" name="2025-2026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<sst xmlns="http://schemas.openxmlformats.org/spreadsheetml/2006/main" count="12305" uniqueCount="4494">
  <si>
    <r>
      <rPr>
        <rFont val="Montserrat"/>
        <b/>
        <color theme="1"/>
      </rPr>
      <t xml:space="preserve">Название школы </t>
    </r>
    <r>
      <rPr>
        <rFont val="Montserrat"/>
        <b val="0"/>
        <color theme="1"/>
      </rPr>
      <t>(school_name)</t>
    </r>
  </si>
  <si>
    <r>
      <rPr>
        <rFont val="Montserrat"/>
        <b/>
        <color theme="1"/>
      </rPr>
      <t>Координаты</t>
    </r>
    <r>
      <rPr>
        <rFont val="Montserrat"/>
        <b val="0"/>
        <color theme="1"/>
      </rPr>
      <t xml:space="preserve"> (coordinates)</t>
    </r>
  </si>
  <si>
    <r>
      <rPr>
        <rFont val="Montserrat"/>
        <b/>
        <color theme="1"/>
      </rPr>
      <t>Место в рейтинге на 2025</t>
    </r>
    <r>
      <rPr>
        <rFont val="Montserrat"/>
        <b val="0"/>
        <color theme="1"/>
      </rPr>
      <t xml:space="preserve"> (rating)</t>
    </r>
  </si>
  <si>
    <r>
      <rPr>
        <rFont val="Montserrat"/>
        <b/>
        <color theme="1"/>
      </rPr>
      <t xml:space="preserve">Инженерный </t>
    </r>
    <r>
      <rPr>
        <rFont val="Montserrat"/>
        <b val="0"/>
        <color theme="1"/>
      </rPr>
      <t>(inj_23)</t>
    </r>
  </si>
  <si>
    <r>
      <rPr>
        <rFont val="Montserrat"/>
        <b/>
        <color theme="1"/>
      </rPr>
      <t xml:space="preserve">Инженерный </t>
    </r>
    <r>
      <rPr>
        <rFont val="Montserrat"/>
        <b val="0"/>
        <color theme="1"/>
      </rPr>
      <t>(inj_24)</t>
    </r>
  </si>
  <si>
    <r>
      <rPr>
        <rFont val="Montserrat"/>
        <b/>
        <color theme="1"/>
      </rPr>
      <t xml:space="preserve">Инженерный </t>
    </r>
    <r>
      <rPr>
        <rFont val="Montserrat"/>
        <b val="0"/>
        <color theme="1"/>
      </rPr>
      <t>(inj_25)</t>
    </r>
  </si>
  <si>
    <r>
      <rPr>
        <rFont val="Montserrat"/>
        <b/>
        <color theme="1"/>
      </rPr>
      <t xml:space="preserve">Медицинский </t>
    </r>
    <r>
      <rPr>
        <rFont val="Montserrat"/>
        <b val="0"/>
        <color theme="1"/>
      </rPr>
      <t>(med_23)</t>
    </r>
  </si>
  <si>
    <r>
      <rPr>
        <rFont val="Montserrat"/>
        <b/>
        <color theme="1"/>
      </rPr>
      <t xml:space="preserve">Медицинский </t>
    </r>
    <r>
      <rPr>
        <rFont val="Montserrat"/>
        <b val="0"/>
        <color theme="1"/>
      </rPr>
      <t>(med_24)</t>
    </r>
  </si>
  <si>
    <r>
      <rPr>
        <rFont val="Montserrat"/>
        <b/>
        <color theme="1"/>
      </rPr>
      <t xml:space="preserve">Медицинский </t>
    </r>
    <r>
      <rPr>
        <rFont val="Montserrat"/>
        <b val="0"/>
        <color theme="1"/>
      </rPr>
      <t>(med_25)</t>
    </r>
  </si>
  <si>
    <r>
      <rPr>
        <rFont val="Montserrat"/>
        <b/>
        <color theme="1"/>
      </rPr>
      <t xml:space="preserve">ИТ </t>
    </r>
    <r>
      <rPr>
        <rFont val="Montserrat"/>
        <b val="0"/>
        <color theme="1"/>
      </rPr>
      <t>(it_23)</t>
    </r>
  </si>
  <si>
    <r>
      <rPr>
        <rFont val="Montserrat"/>
        <b/>
        <color theme="1"/>
      </rPr>
      <t xml:space="preserve">ИТ </t>
    </r>
    <r>
      <rPr>
        <rFont val="Montserrat"/>
        <b val="0"/>
        <color theme="1"/>
      </rPr>
      <t>(it_24)</t>
    </r>
  </si>
  <si>
    <r>
      <rPr>
        <rFont val="Montserrat"/>
        <b/>
        <color theme="1"/>
      </rPr>
      <t xml:space="preserve">ИТ </t>
    </r>
    <r>
      <rPr>
        <rFont val="Montserrat"/>
        <b val="0"/>
        <color theme="1"/>
      </rPr>
      <t>(it_25)</t>
    </r>
  </si>
  <si>
    <r>
      <rPr>
        <rFont val="Montserrat"/>
        <b/>
        <color theme="1"/>
      </rPr>
      <t xml:space="preserve">Предпринимательский </t>
    </r>
    <r>
      <rPr>
        <rFont val="Montserrat"/>
        <b val="0"/>
        <color theme="1"/>
      </rPr>
      <t>(pred_23)</t>
    </r>
  </si>
  <si>
    <r>
      <rPr>
        <rFont val="Montserrat"/>
        <b/>
        <color theme="1"/>
      </rPr>
      <t xml:space="preserve">Предпринимательский </t>
    </r>
    <r>
      <rPr>
        <rFont val="Montserrat"/>
        <b val="0"/>
        <color theme="1"/>
      </rPr>
      <t>(pred_24)</t>
    </r>
  </si>
  <si>
    <r>
      <rPr>
        <rFont val="Montserrat"/>
        <b/>
        <color theme="1"/>
      </rPr>
      <t xml:space="preserve">Предпринимательский </t>
    </r>
    <r>
      <rPr>
        <rFont val="Montserrat"/>
        <b val="0"/>
        <color theme="1"/>
      </rPr>
      <t>(pred_25)</t>
    </r>
  </si>
  <si>
    <r>
      <rPr>
        <rFont val="Montserrat"/>
        <b/>
        <color theme="1"/>
      </rPr>
      <t xml:space="preserve">Медиа </t>
    </r>
    <r>
      <rPr>
        <rFont val="Montserrat"/>
        <b val="0"/>
        <color theme="1"/>
      </rPr>
      <t>(media_23)</t>
    </r>
  </si>
  <si>
    <r>
      <rPr>
        <rFont val="Montserrat"/>
        <b/>
        <color theme="1"/>
      </rPr>
      <t xml:space="preserve">Медиа </t>
    </r>
    <r>
      <rPr>
        <rFont val="Montserrat"/>
        <b val="0"/>
        <color theme="1"/>
      </rPr>
      <t>(media_24)</t>
    </r>
  </si>
  <si>
    <r>
      <rPr>
        <rFont val="Montserrat"/>
        <b/>
        <color theme="1"/>
      </rPr>
      <t xml:space="preserve">Медиа </t>
    </r>
    <r>
      <rPr>
        <rFont val="Montserrat"/>
        <b val="0"/>
        <color theme="1"/>
      </rPr>
      <t>(media_25)</t>
    </r>
  </si>
  <si>
    <r>
      <rPr>
        <rFont val="Montserrat"/>
        <b/>
        <color theme="1"/>
      </rPr>
      <t xml:space="preserve">Педагогический </t>
    </r>
    <r>
      <rPr>
        <rFont val="Montserrat"/>
        <b val="0"/>
        <color theme="1"/>
      </rPr>
      <t>(ped_23)</t>
    </r>
  </si>
  <si>
    <r>
      <rPr>
        <rFont val="Montserrat"/>
        <b/>
        <color theme="1"/>
      </rPr>
      <t>Педагогический</t>
    </r>
    <r>
      <rPr>
        <rFont val="Montserrat"/>
        <b val="0"/>
        <color theme="1"/>
      </rPr>
      <t xml:space="preserve"> (ped_24)</t>
    </r>
  </si>
  <si>
    <r>
      <rPr>
        <rFont val="Montserrat"/>
        <b/>
        <color theme="1"/>
      </rPr>
      <t xml:space="preserve">Педагогический </t>
    </r>
    <r>
      <rPr>
        <rFont val="Montserrat"/>
        <b val="0"/>
        <color theme="1"/>
      </rPr>
      <t>(ped_25)</t>
    </r>
  </si>
  <si>
    <t>Всего за 2023-2024</t>
  </si>
  <si>
    <t>Всего за 2024-2025</t>
  </si>
  <si>
    <t>Всего за 2025-2026</t>
  </si>
  <si>
    <t>Количество школ-участников программы</t>
  </si>
  <si>
    <t>Какие профили росли быстрее других</t>
  </si>
  <si>
    <t>Была ли связана включенность школы в предпрофессиональные проекты с ее позицией в рейтинге топ-400 московских школ.</t>
  </si>
  <si>
    <t>Профиль</t>
  </si>
  <si>
    <t>Год</t>
  </si>
  <si>
    <t>Инженерный</t>
  </si>
  <si>
    <t>Медицинский</t>
  </si>
  <si>
    <t>ИТ</t>
  </si>
  <si>
    <t>Предпринимательский</t>
  </si>
  <si>
    <t>Медиа</t>
  </si>
  <si>
    <t>Педагогический</t>
  </si>
  <si>
    <r>
      <rPr>
        <rFont val="Montserrat"/>
        <b/>
        <color theme="1"/>
        <sz val="10.0"/>
      </rPr>
      <t>Рост с 2023 по 2025</t>
    </r>
    <r>
      <rPr>
        <rFont val="Montserrat"/>
        <b val="0"/>
        <color theme="1"/>
        <sz val="10.0"/>
      </rPr>
      <t xml:space="preserve"> (%)</t>
    </r>
  </si>
  <si>
    <t>Инженерный (inj_23)</t>
  </si>
  <si>
    <t>Инженерный (inj_24)</t>
  </si>
  <si>
    <t>Инженерный (inj_25)</t>
  </si>
  <si>
    <t>Медицинский (med_23)</t>
  </si>
  <si>
    <t>Медицинский (med_24)</t>
  </si>
  <si>
    <t>Медицинский (med_25)</t>
  </si>
  <si>
    <t>ИТ (it_23)</t>
  </si>
  <si>
    <t>ИТ (it_24)</t>
  </si>
  <si>
    <t>ИТ (it_25)</t>
  </si>
  <si>
    <t>Предпринимательский (pred_23)</t>
  </si>
  <si>
    <t>Предпринимательский (pred_24)</t>
  </si>
  <si>
    <t>Предпринимательский (pred_25)</t>
  </si>
  <si>
    <t>Медиа (media_23)</t>
  </si>
  <si>
    <t>Медиа (media_24)</t>
  </si>
  <si>
    <t>Медиа (media_25)</t>
  </si>
  <si>
    <t>Педагогический (ped_23)</t>
  </si>
  <si>
    <t>Педагогический (ped_24)</t>
  </si>
  <si>
    <t>Педагогический (ped_25)</t>
  </si>
  <si>
    <t>Так как значение находится в диапазоне между -0.7 и -0.3 — у более высоких по рейтингу школ в среднем больше профилей, связь есть</t>
  </si>
  <si>
    <t>Данные из Wikipedia</t>
  </si>
  <si>
    <t>Образовательная организация</t>
  </si>
  <si>
    <t>Адрес *Желтым отмечено вручную добавленный</t>
  </si>
  <si>
    <t>Индекс</t>
  </si>
  <si>
    <t>Чистое название</t>
  </si>
  <si>
    <t>55.755819, 37.617644</t>
  </si>
  <si>
    <t>Инженерно-техническая школа имени дважды Героя Советского Союза П. Р. Поповича</t>
  </si>
  <si>
    <t>ул. 8 марта, д. 17</t>
  </si>
  <si>
    <t>55.757237, 38.011942</t>
  </si>
  <si>
    <t>Карцевская школа</t>
  </si>
  <si>
    <t>ул. Б. Афанасьевский переулок, д. 41</t>
  </si>
  <si>
    <t>55.750347, 37.596992</t>
  </si>
  <si>
    <t>Курчатовская школа</t>
  </si>
  <si>
    <t>ул. Маршала Конева, д. 10</t>
  </si>
  <si>
    <t>55.797194, 37.488404</t>
  </si>
  <si>
    <t>Московская международная школа</t>
  </si>
  <si>
    <t>ул. 3-я Владимирская улица, д. 5</t>
  </si>
  <si>
    <t>55.745002, 37.686096</t>
  </si>
  <si>
    <t>Образовательный центр "Протон"</t>
  </si>
  <si>
    <t>Филёвский бульвар, д. 3, корп. 2</t>
  </si>
  <si>
    <t>55.749451, 37.542824</t>
  </si>
  <si>
    <t>Романовская школа</t>
  </si>
  <si>
    <t>Б. Тишинский пер., 39</t>
  </si>
  <si>
    <t>55.768527, 37.569809</t>
  </si>
  <si>
    <t>Школа "Бескудниково"</t>
  </si>
  <si>
    <t>Бескудниковский бульвар, д. 50а</t>
  </si>
  <si>
    <t>55.877223, 37.575837</t>
  </si>
  <si>
    <t>Школа в Капотне</t>
  </si>
  <si>
    <t>5-й квартал Капотня, д. 29</t>
  </si>
  <si>
    <t>55.629928, 37.796768</t>
  </si>
  <si>
    <t>Школа имени Артёма Боровика</t>
  </si>
  <si>
    <t>ул. Братиславская, д. 4</t>
  </si>
  <si>
    <t>55.665203, 37.751314</t>
  </si>
  <si>
    <t>Школа имени В. В. Маяковского</t>
  </si>
  <si>
    <t>ул. 1-я Дубровская, д. 16</t>
  </si>
  <si>
    <t>55.738277, 37.658194</t>
  </si>
  <si>
    <t>Школа имени Ф. М. Достоевского</t>
  </si>
  <si>
    <t>ул. Краснодонская, д. 2, корп. 4</t>
  </si>
  <si>
    <t>55.686508, 37.751278</t>
  </si>
  <si>
    <t>Школа им. Н. М. Карамзина</t>
  </si>
  <si>
    <t>Проезд Карамзина, д. 13, корп. 2</t>
  </si>
  <si>
    <t>55.590465, 37.539149</t>
  </si>
  <si>
    <t>Школа "Интеграл"</t>
  </si>
  <si>
    <t>ул. Кастанаевская, д. 10</t>
  </si>
  <si>
    <t>55.740446, 37.495725</t>
  </si>
  <si>
    <t>Школа "Интеллектуал"</t>
  </si>
  <si>
    <t>ул. Кременчугская, д. 11, стр. 4</t>
  </si>
  <si>
    <t>55.718162, 37.46458</t>
  </si>
  <si>
    <t>Школа "Кузьминки"</t>
  </si>
  <si>
    <t>Есенинский бульвар, д. 14, корп. 2</t>
  </si>
  <si>
    <t>55.698645, 37.773556</t>
  </si>
  <si>
    <t>Школа Марьина Роща имени В. Ф. Орлова</t>
  </si>
  <si>
    <t>ул. Двинцев, д. 10</t>
  </si>
  <si>
    <t>55.79556, 37.600648</t>
  </si>
  <si>
    <t>Школа "Марьино" имени маршала авиации А. Е. Голованова</t>
  </si>
  <si>
    <t>Батайский проезд, д. 21</t>
  </si>
  <si>
    <t>55.643322, 37.718884</t>
  </si>
  <si>
    <t>Школа "Многопрофильный комплекс Бибирево"</t>
  </si>
  <si>
    <t>ул. Конёнкова, д. 8а</t>
  </si>
  <si>
    <t>55.883873, 37.60302</t>
  </si>
  <si>
    <t>Школа на проспекте Вернадского</t>
  </si>
  <si>
    <t>проспект Вернадского, д.127 корп. 2</t>
  </si>
  <si>
    <t>55.656133, 37.476366</t>
  </si>
  <si>
    <t>Школа на Юго-Востоке имени Маршала В. И. Чуйкова</t>
  </si>
  <si>
    <t>Таможенный проезд, д. 4</t>
  </si>
  <si>
    <t>55.751883, 37.679161</t>
  </si>
  <si>
    <t>Школа на Яузе</t>
  </si>
  <si>
    <t>Кондрашёвский тупик, д. 3а</t>
  </si>
  <si>
    <t>55.768851, 37.687973</t>
  </si>
  <si>
    <t>Школа Перспектива</t>
  </si>
  <si>
    <t>ул. Синявинская, д. 11а</t>
  </si>
  <si>
    <t>55.94563, 37.347099</t>
  </si>
  <si>
    <t>Школа "Покровский квартал"</t>
  </si>
  <si>
    <t>Большой Казённый переулок, д. 9</t>
  </si>
  <si>
    <t>55.760352, 37.655652</t>
  </si>
  <si>
    <t>Школа "Свиблово"</t>
  </si>
  <si>
    <t>ул. Седова, д. 4, корп. 1</t>
  </si>
  <si>
    <t>55.852854, 37.642186</t>
  </si>
  <si>
    <t>Школа "Содружество"</t>
  </si>
  <si>
    <t>ул. Красноказарменная, д. 11</t>
  </si>
  <si>
    <t>55.757394, 37.701026</t>
  </si>
  <si>
    <t>Школа "Спектр"</t>
  </si>
  <si>
    <t>ул. Гурьянова, д. 33</t>
  </si>
  <si>
    <t>55.683955, 37.719684</t>
  </si>
  <si>
    <t>Школа "Тропарёво"</t>
  </si>
  <si>
    <t>ул. Академика Анохина, д. 48</t>
  </si>
  <si>
    <t>55.653309, 37.469665</t>
  </si>
  <si>
    <t>Школа "Глория"</t>
  </si>
  <si>
    <t>ул. Белозерская, д. 12</t>
  </si>
  <si>
    <t>55.895666, 37.616207</t>
  </si>
  <si>
    <t xml:space="preserve">Школа "Новокосино" им. Героя Советского Союза адмирала А. П. Михайловского
</t>
  </si>
  <si>
    <t>ул. Суздальская, д. 24б</t>
  </si>
  <si>
    <t>55.742352, 37.858977</t>
  </si>
  <si>
    <t>Спецшкола № 1</t>
  </si>
  <si>
    <t>ул. Михалковская, д. 15а</t>
  </si>
  <si>
    <t>55.839042, 37.525899</t>
  </si>
  <si>
    <t>Лицей "Вторая школа"</t>
  </si>
  <si>
    <t>ул. Фотиевой, д. 18</t>
  </si>
  <si>
    <t>55.697985, 37.556442</t>
  </si>
  <si>
    <t>Школа № 7</t>
  </si>
  <si>
    <t>ул. Крупской, д. 17</t>
  </si>
  <si>
    <t>55.68326, 37.524022</t>
  </si>
  <si>
    <t>Школа № 14</t>
  </si>
  <si>
    <t>ул. Академика Анохина, д. 32</t>
  </si>
  <si>
    <t>55.661988, 37.465811</t>
  </si>
  <si>
    <t>Школа № 15</t>
  </si>
  <si>
    <t>ул. Херсонская, д. 27а</t>
  </si>
  <si>
    <t>55.65209, 37.559712</t>
  </si>
  <si>
    <t>Школа № 17</t>
  </si>
  <si>
    <t>ул. Введенского, д. 28</t>
  </si>
  <si>
    <t>55.636443, 37.532394</t>
  </si>
  <si>
    <t>Школа № 30</t>
  </si>
  <si>
    <t>ул. Олений Вал, д. 22</t>
  </si>
  <si>
    <t>55.80016, 37.693543</t>
  </si>
  <si>
    <t>Школа № 31</t>
  </si>
  <si>
    <t>ул. Молдагуловой, д. 6</t>
  </si>
  <si>
    <t>55.727222, 37.811052</t>
  </si>
  <si>
    <t>Школа № 32</t>
  </si>
  <si>
    <t>ул. Адмирала Лазарева, д. 53</t>
  </si>
  <si>
    <t>55.539798, 37.51317</t>
  </si>
  <si>
    <t>Школа № 37</t>
  </si>
  <si>
    <t>ул. Столетова, д. 3</t>
  </si>
  <si>
    <t>55.703276, 37.504025</t>
  </si>
  <si>
    <t>Школа № 41 имени Григория Алексеевича Тарана</t>
  </si>
  <si>
    <t>ул. Большая Внуковская, д. 4</t>
  </si>
  <si>
    <t>55.614226, 37.294727</t>
  </si>
  <si>
    <t>Школа № 45 имени Л. И. Мильграма</t>
  </si>
  <si>
    <t>ул. Гримау, д. 8</t>
  </si>
  <si>
    <t>55.690654, 37.579744</t>
  </si>
  <si>
    <t>Школа № 46</t>
  </si>
  <si>
    <t>ул. Обручева, д. 28а</t>
  </si>
  <si>
    <t>55.657306, 37.512398</t>
  </si>
  <si>
    <t>Школа № 49</t>
  </si>
  <si>
    <t>ул. Генерала Антонова, д. 5а</t>
  </si>
  <si>
    <t>55.645629, 37.535529</t>
  </si>
  <si>
    <t>Школа № 51</t>
  </si>
  <si>
    <t>Ленинский проспект, д. 125, корпус. 4</t>
  </si>
  <si>
    <t>55.644094, 37.482223</t>
  </si>
  <si>
    <t>Школа № 56 имени академика В. А. Легасова</t>
  </si>
  <si>
    <t>Кутузовский проспект, д. 22</t>
  </si>
  <si>
    <t>55.745954, 37.549273</t>
  </si>
  <si>
    <t>Школа 57</t>
  </si>
  <si>
    <t>Малый Знаменский переулок, д. 7/10, стр. 5</t>
  </si>
  <si>
    <t>55.74862, 37.604987</t>
  </si>
  <si>
    <t>Школа № 58</t>
  </si>
  <si>
    <t>ул. Твардовского, д. 12</t>
  </si>
  <si>
    <t>55.794037, 37.397593</t>
  </si>
  <si>
    <t>Школа № 64</t>
  </si>
  <si>
    <t>ул. Партизанская, д. 30, корп. 2, стр. 2</t>
  </si>
  <si>
    <t>55.73703, 37.414176</t>
  </si>
  <si>
    <t>Школа № 67</t>
  </si>
  <si>
    <t>Кутузовский проезд, д. 10</t>
  </si>
  <si>
    <t>55.741409, 37.523366</t>
  </si>
  <si>
    <t>Школа № 69 имени Б. Ш. Окуджавы</t>
  </si>
  <si>
    <t>ул. Кулакова, д. 2, корп. 2</t>
  </si>
  <si>
    <t>55.815787, 37.398473</t>
  </si>
  <si>
    <t>Школа № 86 имени М. Е. Катукова</t>
  </si>
  <si>
    <t>ул. Маршала Катукова, д. 12, корп. 3</t>
  </si>
  <si>
    <t>55.807319, 37.402749</t>
  </si>
  <si>
    <t>Открытая (сменная) школа № 88</t>
  </si>
  <si>
    <t>Средняя Калитниковская улица, д. 9-11, стр. 1</t>
  </si>
  <si>
    <t>55.736757, 37.681245</t>
  </si>
  <si>
    <t>Школа № 89 имени А. П. Маресьева</t>
  </si>
  <si>
    <t>ул. Кулакова, д. 12, корп. 2</t>
  </si>
  <si>
    <t>55.810395, 37.394871</t>
  </si>
  <si>
    <t>Школа № 90 имени Героя Советского Союза Е. Г. Ларикова</t>
  </si>
  <si>
    <t>4-й Новоподмосковный переулок, д. 2а</t>
  </si>
  <si>
    <t>55.822104, 37.504169</t>
  </si>
  <si>
    <t>Школа № 91</t>
  </si>
  <si>
    <t>ул. Поварская, д. 14</t>
  </si>
  <si>
    <t>55.754177, 37.597037</t>
  </si>
  <si>
    <t>Школа № 97</t>
  </si>
  <si>
    <t>ул. Кременчугская, д. 46</t>
  </si>
  <si>
    <t>55.711909, 37.456289</t>
  </si>
  <si>
    <t>Школа № 109</t>
  </si>
  <si>
    <t>ул. Академика Бакулева, д. 20</t>
  </si>
  <si>
    <t>55.640472, 37.47571</t>
  </si>
  <si>
    <t>Школа № 113</t>
  </si>
  <si>
    <t>ул. Профсоюзная, д. 118б</t>
  </si>
  <si>
    <t>55.637672, 37.516683</t>
  </si>
  <si>
    <t>Школа № 117</t>
  </si>
  <si>
    <t>ул. Академика Пилюгина, д. 18, корп. 1</t>
  </si>
  <si>
    <t>55.669194, 37.534101</t>
  </si>
  <si>
    <t>Школа № 118</t>
  </si>
  <si>
    <t>ул. Строителей, д. 15</t>
  </si>
  <si>
    <t>55.686985, 37.529654</t>
  </si>
  <si>
    <t>Школа № 121</t>
  </si>
  <si>
    <t>ул. Гарибальди, д. 28 корп. 3</t>
  </si>
  <si>
    <t>55.669798, 37.549193</t>
  </si>
  <si>
    <t>Школа № 123</t>
  </si>
  <si>
    <t>Хлыновский тупик, д. З, стр. 5</t>
  </si>
  <si>
    <t>55.75782, 37.602023</t>
  </si>
  <si>
    <t>Школа № 138</t>
  </si>
  <si>
    <t>ул. Генерала Глаголева, д. 10, корп. 2</t>
  </si>
  <si>
    <t>55.78119, 37.464446</t>
  </si>
  <si>
    <t>Школа № 141 имени Героя Советского Союза Рихарда Зорге</t>
  </si>
  <si>
    <t>ул. Зорге, д. 4</t>
  </si>
  <si>
    <t>55.778866, 37.514212</t>
  </si>
  <si>
    <t>Школа № 149</t>
  </si>
  <si>
    <t>ул. Врубеля, д. 6</t>
  </si>
  <si>
    <t>55.805523, 37.500612</t>
  </si>
  <si>
    <t>Школа № 152</t>
  </si>
  <si>
    <t>ул. 1-я Аэропортовская, д. 1</t>
  </si>
  <si>
    <t>55.800898, 37.535305</t>
  </si>
  <si>
    <t>Школа № 158</t>
  </si>
  <si>
    <t>Валдайский проезд, д. 14</t>
  </si>
  <si>
    <t>55.868218, 37.468605</t>
  </si>
  <si>
    <t>Школа № 167 имени Маршала Л. А. Говорова</t>
  </si>
  <si>
    <t>Ленинградское шоссе, д. 94а</t>
  </si>
  <si>
    <t>55.856134, 37.473303</t>
  </si>
  <si>
    <t>Школа № 170 имени А. П. Чехова</t>
  </si>
  <si>
    <t>ул. Профсоюзная, д. 96б</t>
  </si>
  <si>
    <t>55.649962, 37.525172</t>
  </si>
  <si>
    <t>Школа № 171</t>
  </si>
  <si>
    <t>ул. 2-я Фрунзенская, д. 7а</t>
  </si>
  <si>
    <t>55.722238, 37.579511</t>
  </si>
  <si>
    <t>Школа № 179</t>
  </si>
  <si>
    <t>ул. Большая Дмитровка, д. 5/6, стр. 7</t>
  </si>
  <si>
    <t>55.759653, 37.614734</t>
  </si>
  <si>
    <t>Школа № 183</t>
  </si>
  <si>
    <t>ул. Дубнинская, д. 59</t>
  </si>
  <si>
    <t>55.873683, 37.555984</t>
  </si>
  <si>
    <t>Школа № 185 имени Героя Советского Союза, Героя Социалистического Труда В. С. Гризодубовой</t>
  </si>
  <si>
    <t>ул. Михалковская, д. 3</t>
  </si>
  <si>
    <t>55.836893, 37.535475</t>
  </si>
  <si>
    <t>Школа № 192</t>
  </si>
  <si>
    <t>Ленинский проспект (Москва), д. 34а</t>
  </si>
  <si>
    <t>55.706741, 37.57484</t>
  </si>
  <si>
    <t>Школа № 199</t>
  </si>
  <si>
    <t>ул. Дмитрия Ульянова, д. 15, корп. 1</t>
  </si>
  <si>
    <t>55.690085, 37.571579</t>
  </si>
  <si>
    <t>Школа № 201 ордена Трудового Красного Знамени имени Героев Советского Союза Зои и Александра Космодемьянских (ГБОУ)</t>
  </si>
  <si>
    <t>ул. Зои и Александра Космодемьянских, 3, стр. 1</t>
  </si>
  <si>
    <t>125130</t>
  </si>
  <si>
    <t>55.821512, 37.505436</t>
  </si>
  <si>
    <t>Школа № 218</t>
  </si>
  <si>
    <t>Дмитровское ш., д. 5а</t>
  </si>
  <si>
    <t>127434</t>
  </si>
  <si>
    <t>55.812049, 37.575441</t>
  </si>
  <si>
    <t>Школа № 222</t>
  </si>
  <si>
    <t>ул. Восьмисотлетия Москвы, д. 7а</t>
  </si>
  <si>
    <t>127591</t>
  </si>
  <si>
    <t>55.881697, 37.562191</t>
  </si>
  <si>
    <t>Школа № 224</t>
  </si>
  <si>
    <t>Ленинградское ш., д. 54</t>
  </si>
  <si>
    <t>125212</t>
  </si>
  <si>
    <t>55.837818, 37.484361</t>
  </si>
  <si>
    <t>Школа № 236</t>
  </si>
  <si>
    <t>ул. Клязьминская, д. 8а</t>
  </si>
  <si>
    <t>127412</t>
  </si>
  <si>
    <t>55.884247, 37.522935</t>
  </si>
  <si>
    <t>Школа № 281</t>
  </si>
  <si>
    <t>ул. Радужная, д. 7</t>
  </si>
  <si>
    <t>129314</t>
  </si>
  <si>
    <t>55.859256, 37.668363</t>
  </si>
  <si>
    <t>Школа № 283</t>
  </si>
  <si>
    <t>ул. Широкая, д. 21а</t>
  </si>
  <si>
    <t>129224</t>
  </si>
  <si>
    <t>55.889285, 37.670932</t>
  </si>
  <si>
    <t>Школа № 285</t>
  </si>
  <si>
    <t>Ясный пр., д. 24а</t>
  </si>
  <si>
    <t>129081</t>
  </si>
  <si>
    <t>55.876056, 37.624337</t>
  </si>
  <si>
    <t>Школа № 293 им. А. Т. Твардовского</t>
  </si>
  <si>
    <t>ул. Касаткина, д. 1а</t>
  </si>
  <si>
    <t>129301</t>
  </si>
  <si>
    <t>55.827515, 37.651142</t>
  </si>
  <si>
    <t>Школа № 305</t>
  </si>
  <si>
    <t>Путевой проезд, д. 10а</t>
  </si>
  <si>
    <t>55.87546, 37.580023</t>
  </si>
  <si>
    <t>Школа № 315</t>
  </si>
  <si>
    <t>ул. Русаковская, д. 10, строение 1</t>
  </si>
  <si>
    <t>55.782471, 37.674705</t>
  </si>
  <si>
    <t>Школа № 319</t>
  </si>
  <si>
    <t>ул. Амурская, д. 6</t>
  </si>
  <si>
    <t>55.80654, 37.759794</t>
  </si>
  <si>
    <t>Школа № 324 "Жар-птица"</t>
  </si>
  <si>
    <t>ул. Лобачевского, д. 54</t>
  </si>
  <si>
    <t>55.672757, 37.492814</t>
  </si>
  <si>
    <t>Школа № 338 имени Героя Советского Союза А. Ф. Авдеева</t>
  </si>
  <si>
    <t>посёлок Воскресенское, дом 37а</t>
  </si>
  <si>
    <t>55.522296, 37.457861</t>
  </si>
  <si>
    <t>Школа № 345 имени А. С. Пушкина</t>
  </si>
  <si>
    <t>Елоховский проезд, д. 1, строение 5, ул. Бауманская, д. 40</t>
  </si>
  <si>
    <t>55.773003, 37.672666</t>
  </si>
  <si>
    <t>Школа № 354 им. Д. М. Карбышева</t>
  </si>
  <si>
    <t>Лефортовский пер., д. 8/10</t>
  </si>
  <si>
    <t>107005</t>
  </si>
  <si>
    <t>55.769737, 37.677373</t>
  </si>
  <si>
    <t>Школа № 368 "Лосиный остров"</t>
  </si>
  <si>
    <t>ул. Уссурийская, д. 12</t>
  </si>
  <si>
    <t>107065</t>
  </si>
  <si>
    <t>55.822084, 37.817843</t>
  </si>
  <si>
    <t>Школа № 374</t>
  </si>
  <si>
    <t>ул. Миллионная, д. 5/7</t>
  </si>
  <si>
    <t>107564</t>
  </si>
  <si>
    <t>55.816257, 37.697963</t>
  </si>
  <si>
    <t>Школа № 384</t>
  </si>
  <si>
    <t>ул. Беловежская, д. 67а</t>
  </si>
  <si>
    <t>121353</t>
  </si>
  <si>
    <t>55.708415, 37.397404</t>
  </si>
  <si>
    <t>Школа № 423</t>
  </si>
  <si>
    <t>Федеративный проспект, д. 1а</t>
  </si>
  <si>
    <t>55.758504, 37.797047</t>
  </si>
  <si>
    <t>Школа № 429 "Соколиная гора"</t>
  </si>
  <si>
    <t>проспект Будённого, д. 15а</t>
  </si>
  <si>
    <t>55.77551, 37.725056</t>
  </si>
  <si>
    <t>Школа № 444</t>
  </si>
  <si>
    <t>ул. Нижняя Первомайская, д. 14</t>
  </si>
  <si>
    <t>55.790712, 37.796481</t>
  </si>
  <si>
    <t>Школа № 448</t>
  </si>
  <si>
    <t>пос. Акулово, д. 43а</t>
  </si>
  <si>
    <t>56.003417, 37.792528</t>
  </si>
  <si>
    <t>Школа № 460</t>
  </si>
  <si>
    <t>ул. Белореченская, д. 11</t>
  </si>
  <si>
    <t>109559</t>
  </si>
  <si>
    <t>55.672062, 37.769675</t>
  </si>
  <si>
    <t>Школа № 463</t>
  </si>
  <si>
    <t>ул. Судостроительная, д. 10, к. 1</t>
  </si>
  <si>
    <t>115470</t>
  </si>
  <si>
    <t>55.67925, 37.671929</t>
  </si>
  <si>
    <t>Школа № 480 им. В. В. Талалихина</t>
  </si>
  <si>
    <t>ул. Ср. Калитниковская, д. 22, стр. 1</t>
  </si>
  <si>
    <t>109029</t>
  </si>
  <si>
    <t>55.735332, 37.684632</t>
  </si>
  <si>
    <t>Школа № 491</t>
  </si>
  <si>
    <t>Новочеркасский б-р, 19</t>
  </si>
  <si>
    <t>109439</t>
  </si>
  <si>
    <t>55.700562, 37.762273</t>
  </si>
  <si>
    <t>Школа № 491 "Марьино"</t>
  </si>
  <si>
    <t>Новочеркасский бул., д. 17-19</t>
  </si>
  <si>
    <t>109651</t>
  </si>
  <si>
    <t>55.649007, 37.72087</t>
  </si>
  <si>
    <t>Школа № 498</t>
  </si>
  <si>
    <t>ул. Народная, 11/2</t>
  </si>
  <si>
    <t>55.737851, 37.652032</t>
  </si>
  <si>
    <t>Школа № 504</t>
  </si>
  <si>
    <t>Варшавское шоссе, д. 67</t>
  </si>
  <si>
    <t>55.663867, 37.621543</t>
  </si>
  <si>
    <t>Школа № 507</t>
  </si>
  <si>
    <t>ул. Садовники, д. 13</t>
  </si>
  <si>
    <t>55.672559, 37.657413</t>
  </si>
  <si>
    <t>Школа № 508</t>
  </si>
  <si>
    <t>ул. Элеваторная, д. 4, корп. 2</t>
  </si>
  <si>
    <t>55.600501, 37.655616</t>
  </si>
  <si>
    <t>Школа № 518</t>
  </si>
  <si>
    <t>Садовническая набережная, д. 37, стр. 1</t>
  </si>
  <si>
    <t>55.743669, 37.637201</t>
  </si>
  <si>
    <t>Школа Спектр</t>
  </si>
  <si>
    <t>ул. Гурьянова , д. 71</t>
  </si>
  <si>
    <t>55.677443, 37.720106</t>
  </si>
  <si>
    <t>Школа № 534</t>
  </si>
  <si>
    <t>Ореховый проезд, д. 17, корп. 2</t>
  </si>
  <si>
    <t>55.62388, 37.734138</t>
  </si>
  <si>
    <t>Школа № 536</t>
  </si>
  <si>
    <t>ул. Азовская, д. 41</t>
  </si>
  <si>
    <t>55.643866, 37.595483</t>
  </si>
  <si>
    <t>Школа № 538 имени С. В. Гришина</t>
  </si>
  <si>
    <t>ул. Каховка, д. 19, корп. 2</t>
  </si>
  <si>
    <t>55.652324, 37.577022</t>
  </si>
  <si>
    <t>Школа № 544</t>
  </si>
  <si>
    <t>Каширское шоссе, д. 116, корп. 3</t>
  </si>
  <si>
    <t>55.606761, 37.714815</t>
  </si>
  <si>
    <t>Школа № 547</t>
  </si>
  <si>
    <t>ул. Малая Тульская, д. 15</t>
  </si>
  <si>
    <t>55.708917, 37.61971</t>
  </si>
  <si>
    <t>Школа № 548 "Царицыно"</t>
  </si>
  <si>
    <t>ул. Домодедовская, д. 35, корп. 2</t>
  </si>
  <si>
    <t>55.601747, 37.717115</t>
  </si>
  <si>
    <t>Школа № 554</t>
  </si>
  <si>
    <t>ул. Перекопская, д. 7, корп. 3</t>
  </si>
  <si>
    <t>55.656941, 37.580265</t>
  </si>
  <si>
    <t>Школа № 556</t>
  </si>
  <si>
    <t>ул. Днепропетровская, д. 33а</t>
  </si>
  <si>
    <t>55.616778, 37.585377</t>
  </si>
  <si>
    <t>Специальная (коррекционная) школа № 571</t>
  </si>
  <si>
    <t>ул. Большая Очаковская, д. 25</t>
  </si>
  <si>
    <t>55.680047, 37.453504</t>
  </si>
  <si>
    <t>Школа № 597 "Новое поколение"</t>
  </si>
  <si>
    <t>ул. Петрозаводская, д. 19а</t>
  </si>
  <si>
    <t>55.866132, 37.489814</t>
  </si>
  <si>
    <t>Школа № 609</t>
  </si>
  <si>
    <t>Зеленоград, корп. 314</t>
  </si>
  <si>
    <t>55.99799, 37.22093</t>
  </si>
  <si>
    <t>Школа № 618</t>
  </si>
  <si>
    <t>Зеленоград, корп. 429а</t>
  </si>
  <si>
    <t>55.993882, 37.207653</t>
  </si>
  <si>
    <t>Школа № 625</t>
  </si>
  <si>
    <t>ул. Шверника, д. 17, корп. 2</t>
  </si>
  <si>
    <t>55.691983, 37.593075</t>
  </si>
  <si>
    <t>Школа № 626 имени Н. И. Сац</t>
  </si>
  <si>
    <t>Севастопольский проспект, д. 43а</t>
  </si>
  <si>
    <t>55.67157, 37.590057</t>
  </si>
  <si>
    <t>Школа № 627 имени генерала Д. Д. Лелюшенко</t>
  </si>
  <si>
    <t>ул. Дубининская, д. 42</t>
  </si>
  <si>
    <t>55.724489, 37.635072</t>
  </si>
  <si>
    <t>Школа № 629</t>
  </si>
  <si>
    <t>Варшавское шоссе, д. 156б</t>
  </si>
  <si>
    <t>55.587687, 37.595168</t>
  </si>
  <si>
    <t>Школа № 630 имени дважды Героя Советского Союза Г. П. Кравченко</t>
  </si>
  <si>
    <t>Варшавское шоссе, д. 12</t>
  </si>
  <si>
    <t>55.697199, 37.619665</t>
  </si>
  <si>
    <t>Школа № 641 имени Сергея Есенина</t>
  </si>
  <si>
    <t>Волгоградский проспект, д. 66, корп. 4</t>
  </si>
  <si>
    <t>55.704448, 37.756919</t>
  </si>
  <si>
    <t>Школа № 648 имени Героя Российской Федерации А. Г. Карлова</t>
  </si>
  <si>
    <t>ул. Флотская, д. 11</t>
  </si>
  <si>
    <t>55.855133, 37.502705</t>
  </si>
  <si>
    <t>Школа № 654 имени А. Д. Фридмана</t>
  </si>
  <si>
    <t>ул. Юных Ленинцев, д. 35, корп. 2</t>
  </si>
  <si>
    <t>55.700781, 37.744648</t>
  </si>
  <si>
    <t>Школа № 656 имени А. С. Макаренко</t>
  </si>
  <si>
    <t>Бескудниковский бульвар, д. 29</t>
  </si>
  <si>
    <t>55.870804, 37.552804</t>
  </si>
  <si>
    <t>Школа № 657</t>
  </si>
  <si>
    <t>ул. Подольских Курсантов, д. 16а</t>
  </si>
  <si>
    <t>55.605673, 37.619827</t>
  </si>
  <si>
    <t>Школа № 664</t>
  </si>
  <si>
    <t>ул. Главная, д. 13</t>
  </si>
  <si>
    <t>55.819616, 37.866702</t>
  </si>
  <si>
    <t>Школа № 667 имени Героя Советского Союза К. Я. Самсонова</t>
  </si>
  <si>
    <t>Востряковский проезд, д. 13а</t>
  </si>
  <si>
    <t>55.577882, 37.645214</t>
  </si>
  <si>
    <t>Школа № 705</t>
  </si>
  <si>
    <t>ул. Кулакова, д. 25, корп. 2</t>
  </si>
  <si>
    <t>55.802305, 37.394934</t>
  </si>
  <si>
    <t>Школа № 709</t>
  </si>
  <si>
    <t>ул. 7-я Северная линия, д. 13</t>
  </si>
  <si>
    <t>55.937946, 37.549741</t>
  </si>
  <si>
    <t>Школа № 710 им. Народного учителя СССР В. К. Жудова</t>
  </si>
  <si>
    <t>ул. Студенческая ул., д. 29</t>
  </si>
  <si>
    <t>55.740319, 37.54515</t>
  </si>
  <si>
    <t>Школа № 717</t>
  </si>
  <si>
    <t>ул. Зои и Александра Космодемьянских, д. 4а</t>
  </si>
  <si>
    <t>55.817426, 37.504861</t>
  </si>
  <si>
    <t>Школа № 719</t>
  </si>
  <si>
    <t>Зеленоград, корп. 921а</t>
  </si>
  <si>
    <t>55.984496, 37.186121</t>
  </si>
  <si>
    <t>Школа № 727</t>
  </si>
  <si>
    <t>3-й Лихачёвский переулок, д. 2а</t>
  </si>
  <si>
    <t>55.846851, 37.516853</t>
  </si>
  <si>
    <t>Школа самоопределения № 734 имени А. Н. Тубельского</t>
  </si>
  <si>
    <t>Сиреневый бульвар, д. 58а</t>
  </si>
  <si>
    <t>55.801293, 37.824194</t>
  </si>
  <si>
    <t>Школа № 760 имени А. П. Маресьева</t>
  </si>
  <si>
    <t>ул. Лосевская, д. 9</t>
  </si>
  <si>
    <t>55.877874, 37.714752</t>
  </si>
  <si>
    <t>Школа № 763</t>
  </si>
  <si>
    <t>ул. Стартовая, д. 27, корп.3</t>
  </si>
  <si>
    <t>55.884191, 37.693561</t>
  </si>
  <si>
    <t>Школа № 771</t>
  </si>
  <si>
    <t>ул. Софьи Ковалевской, д. 8а</t>
  </si>
  <si>
    <t>55.88249, 37.53437</t>
  </si>
  <si>
    <t>Школа № 777 имени Героя Советского Союза Е. В. Михайлова</t>
  </si>
  <si>
    <t>ул. Маёвок, д. 4</t>
  </si>
  <si>
    <t>55.728368, 37.770034</t>
  </si>
  <si>
    <t>Школа № 806</t>
  </si>
  <si>
    <t>ул. Полоцкая, д. 21</t>
  </si>
  <si>
    <t>55.732352, 37.423518</t>
  </si>
  <si>
    <t>Школа № 814</t>
  </si>
  <si>
    <t>ул. Веерная, д. 5 корп. 3</t>
  </si>
  <si>
    <t>55.706548, 37.474731</t>
  </si>
  <si>
    <t>Школа № 825</t>
  </si>
  <si>
    <t>ул. Окская, д. 16, корп. 3</t>
  </si>
  <si>
    <t>55.710935, 37.757278</t>
  </si>
  <si>
    <t>Школа № 827</t>
  </si>
  <si>
    <t>ул. Туристская, д. 19, корп. 5</t>
  </si>
  <si>
    <t>55.852496, 37.415541</t>
  </si>
  <si>
    <t>Школа № 830</t>
  </si>
  <si>
    <t>ул. Большая Набережная, д. 23</t>
  </si>
  <si>
    <t>55.833097, 37.459352</t>
  </si>
  <si>
    <t>Школа № 842</t>
  </si>
  <si>
    <t>город Зеленоград, корп. 142</t>
  </si>
  <si>
    <t>56.005873, 37.211911</t>
  </si>
  <si>
    <t>Школа № 843</t>
  </si>
  <si>
    <t>ул. Мичуринский Проспект, Олимпийская Деревня, д. 23</t>
  </si>
  <si>
    <t>55.671113, 37.457996</t>
  </si>
  <si>
    <t>Школа № 851</t>
  </si>
  <si>
    <t>ул. Кировоградская, д. 8г</t>
  </si>
  <si>
    <t>55.627981, 37.60673</t>
  </si>
  <si>
    <t>Школа № 853</t>
  </si>
  <si>
    <t>город Зеленоград, корп. 913а</t>
  </si>
  <si>
    <t>55.984955, 37.192328</t>
  </si>
  <si>
    <t>Школа № 854</t>
  </si>
  <si>
    <t>город Зеленоград, корп. 603а</t>
  </si>
  <si>
    <t>55.991531, 37.228314</t>
  </si>
  <si>
    <t>Школа № 867</t>
  </si>
  <si>
    <t>ул. Борисовские Пруды, дом 20, корп. 3</t>
  </si>
  <si>
    <t>55.636549, 37.754242</t>
  </si>
  <si>
    <t>Школа № 875</t>
  </si>
  <si>
    <t>пр-т Вернадского, д. 101, корп. 5</t>
  </si>
  <si>
    <t>55.664299, 37.49162</t>
  </si>
  <si>
    <t>Школа № 878</t>
  </si>
  <si>
    <t>Шипиловский проезд, д. 37, корп. 2</t>
  </si>
  <si>
    <t>55.613763, 37.697918</t>
  </si>
  <si>
    <t>Школа № 883</t>
  </si>
  <si>
    <t>ул. Планерная, д. 5, корп. 2</t>
  </si>
  <si>
    <t>55.860438, 37.431468</t>
  </si>
  <si>
    <t>Школа № 887</t>
  </si>
  <si>
    <t>ул. Молдавская, д. 6, корп. 2</t>
  </si>
  <si>
    <t>55.732002, 37.439715</t>
  </si>
  <si>
    <t>Школа № 896</t>
  </si>
  <si>
    <t>ул. Воронежская, д. 26, корп. 4</t>
  </si>
  <si>
    <t>55.608328, 37.737039</t>
  </si>
  <si>
    <t>Школа № 902 "Диалог"</t>
  </si>
  <si>
    <t>ул. Ряжская, д. 11</t>
  </si>
  <si>
    <t>55.591126, 37.668004</t>
  </si>
  <si>
    <t>Школа № 904</t>
  </si>
  <si>
    <t>Кавказский бульвар, д. 16, корп. 2</t>
  </si>
  <si>
    <t>55.633419, 37.665497</t>
  </si>
  <si>
    <t>Школа № 920</t>
  </si>
  <si>
    <t>ул. Перовская, д. 37</t>
  </si>
  <si>
    <t>55.746669, 37.778218</t>
  </si>
  <si>
    <t>Школа № 922</t>
  </si>
  <si>
    <t>ул. Молостовых, д. 6а</t>
  </si>
  <si>
    <t>55.763148, 37.826907</t>
  </si>
  <si>
    <t>Школа № 924</t>
  </si>
  <si>
    <t>ул. Газопровод, д. 5а</t>
  </si>
  <si>
    <t>55.591421, 37.605247</t>
  </si>
  <si>
    <t>Школа № 935</t>
  </si>
  <si>
    <t>ул. Липецкая, д. 15 корп. 2</t>
  </si>
  <si>
    <t>55.581062, 37.688782</t>
  </si>
  <si>
    <t>Школа № 937 имени Героя Российской Федерации А. В. Перова</t>
  </si>
  <si>
    <t>ул. Маршала Захарова, д. 25, корп. 2</t>
  </si>
  <si>
    <t>55.6193, 37.701403</t>
  </si>
  <si>
    <t>Школа № 939</t>
  </si>
  <si>
    <t>Борисовский проезд, д. 40, корп. 2</t>
  </si>
  <si>
    <t>55.616163, 37.72573</t>
  </si>
  <si>
    <t>Школа № 947</t>
  </si>
  <si>
    <t>ул. Лебедянская, д. 16</t>
  </si>
  <si>
    <t>55.584975, 37.674561</t>
  </si>
  <si>
    <t>Школа № 949</t>
  </si>
  <si>
    <t>ул. Воронежская, д. 46, корп. 3</t>
  </si>
  <si>
    <t>55.608811, 37.753847</t>
  </si>
  <si>
    <t>Школа № 950</t>
  </si>
  <si>
    <t>ул. Декабристов, д. 26а</t>
  </si>
  <si>
    <t>55.86056, 37.608904</t>
  </si>
  <si>
    <t>Школа № 953</t>
  </si>
  <si>
    <t>Шенкурский проезд, д. 15</t>
  </si>
  <si>
    <t>55.896257, 37.589832</t>
  </si>
  <si>
    <t>Школа № 956</t>
  </si>
  <si>
    <t>ул. Заповедная, д. 22</t>
  </si>
  <si>
    <t>55.867465, 37.642653</t>
  </si>
  <si>
    <t>Школа № 962</t>
  </si>
  <si>
    <t>ул. Санникова, д. 3, корп. 3</t>
  </si>
  <si>
    <t>55.859943, 37.592914</t>
  </si>
  <si>
    <t>Школа № 967</t>
  </si>
  <si>
    <t>ул. Сухонская, д. 13</t>
  </si>
  <si>
    <t>55.878925, 37.652777</t>
  </si>
  <si>
    <t>Специальная (коррекционная) школа № 991</t>
  </si>
  <si>
    <t>ул. Шипиловская, д. 59, корп. 2</t>
  </si>
  <si>
    <t>55.624576, 37.749661</t>
  </si>
  <si>
    <t>Школа № 996</t>
  </si>
  <si>
    <t>Борисовский проезд, д. 13</t>
  </si>
  <si>
    <t>55.627066, 37.723304</t>
  </si>
  <si>
    <t>Школа № 998</t>
  </si>
  <si>
    <t>ул. Борисовские пруды, д. 36, корп. 2</t>
  </si>
  <si>
    <t>55.639933, 37.766172</t>
  </si>
  <si>
    <t>Школа № 1000</t>
  </si>
  <si>
    <t>ул. Наро-Фоминская, д. 1</t>
  </si>
  <si>
    <t>55.657738, 37.390604</t>
  </si>
  <si>
    <t>Школа № 1002</t>
  </si>
  <si>
    <t>пр-т Солнцевский, д. 12а</t>
  </si>
  <si>
    <t>55.652888, 37.4023</t>
  </si>
  <si>
    <t>Школа № 1018</t>
  </si>
  <si>
    <t>ул. Шолохова, д. 20</t>
  </si>
  <si>
    <t>55.641412, 37.350827</t>
  </si>
  <si>
    <t>Вишняковская школа</t>
  </si>
  <si>
    <t>аллея Жемчуговой, д. 7</t>
  </si>
  <si>
    <t>55.732945, 37.827257</t>
  </si>
  <si>
    <t>Школа № 1034 имени Героя Советского Союза В. В. Маркина</t>
  </si>
  <si>
    <t>ул. Братеевская, д. 8, корп. 2</t>
  </si>
  <si>
    <t>55.631346, 37.759282</t>
  </si>
  <si>
    <t>Школа № 1056</t>
  </si>
  <si>
    <t>ул. Штурвальная, д. 7, корп. 2</t>
  </si>
  <si>
    <t>55.848316, 37.444027</t>
  </si>
  <si>
    <t>Школа № 1065</t>
  </si>
  <si>
    <t>ул. Скобелевская, д. 28</t>
  </si>
  <si>
    <t>55.544805, 37.553756</t>
  </si>
  <si>
    <t>Школа № 1080</t>
  </si>
  <si>
    <t>ул. Знаменская, д. 12/4</t>
  </si>
  <si>
    <t>55.801708, 37.72051</t>
  </si>
  <si>
    <t>Школа № 1095</t>
  </si>
  <si>
    <t>ул. Енисейская, д. 32, корп. 3</t>
  </si>
  <si>
    <t>55.872592, 37.670824</t>
  </si>
  <si>
    <t>Школа № 1101</t>
  </si>
  <si>
    <t>ул. Академика Варги, д. 34</t>
  </si>
  <si>
    <t>55.633297, 37.477606</t>
  </si>
  <si>
    <t>Школа № 1103 имени Героя Российской Федерации А. В. Соломатина</t>
  </si>
  <si>
    <t>Литовский бульвар, д. 17, корп. 4</t>
  </si>
  <si>
    <t>55.606044, 37.552696</t>
  </si>
  <si>
    <t>Школа имени Н. М. Карамзина</t>
  </si>
  <si>
    <t>проезд Карамзина, д. 13.</t>
  </si>
  <si>
    <t>55.589783, 37.541234</t>
  </si>
  <si>
    <t>Школа № 1125 имени Я. Н. Федоренко</t>
  </si>
  <si>
    <t>ул. Бусиновская Горка, д. 7, корп. 1</t>
  </si>
  <si>
    <t>55.882984, 37.49179</t>
  </si>
  <si>
    <t>Школа № 1150 имени дважды Героя Советского Союза К. К. Рокоссовского</t>
  </si>
  <si>
    <t>Зеленоград, корп. 1609</t>
  </si>
  <si>
    <t>55.975536, 37.153332</t>
  </si>
  <si>
    <t>Школа № 1151</t>
  </si>
  <si>
    <t>Зеленоград, корп. 1469</t>
  </si>
  <si>
    <t>55.987447, 37.15565</t>
  </si>
  <si>
    <t>Школа № 1155</t>
  </si>
  <si>
    <t>СЗАО, ул. Таллинская, д. 16 корп.4</t>
  </si>
  <si>
    <t>55.797245, 37.400791</t>
  </si>
  <si>
    <t>Школа № 1158</t>
  </si>
  <si>
    <t>мкр. Северное Чертаново, корп. 809</t>
  </si>
  <si>
    <t>117648</t>
  </si>
  <si>
    <t>55.634857, 37.596579</t>
  </si>
  <si>
    <t>Школа № 1159</t>
  </si>
  <si>
    <t>Школа № 1161</t>
  </si>
  <si>
    <t>Школа № 1164</t>
  </si>
  <si>
    <t>Писцовая ул., 14А</t>
  </si>
  <si>
    <t>55.797959, 37.57386</t>
  </si>
  <si>
    <t>Школа № 1169</t>
  </si>
  <si>
    <t>Школа № 1173</t>
  </si>
  <si>
    <t>Чертановская ул., 27, Москва</t>
  </si>
  <si>
    <t>55.616869, 37.594306</t>
  </si>
  <si>
    <t>Школа № 1179</t>
  </si>
  <si>
    <t>Чертановская ул., 1А, к.3</t>
  </si>
  <si>
    <t>55.638186, 37.609155</t>
  </si>
  <si>
    <t>Школа № 1186 имени Мусы Джалиля</t>
  </si>
  <si>
    <t>Школа № 1190</t>
  </si>
  <si>
    <t>Пятницкое ш., д. 25, к. З</t>
  </si>
  <si>
    <t>123627</t>
  </si>
  <si>
    <t>55.848887, 37.366008</t>
  </si>
  <si>
    <t>Школа № 1191</t>
  </si>
  <si>
    <t>ул. Митинская, д. 48, к. 2</t>
  </si>
  <si>
    <t>55.850787, 37.357744</t>
  </si>
  <si>
    <t>Школа № 1194</t>
  </si>
  <si>
    <t>Зеленоград, к. 1556</t>
  </si>
  <si>
    <t>124683</t>
  </si>
  <si>
    <t>55.979903, 37.1537</t>
  </si>
  <si>
    <t xml:space="preserve">Школа № 1195 </t>
  </si>
  <si>
    <t>ул. Дорогобужская, д. 13</t>
  </si>
  <si>
    <t>55.716179, 37.41599</t>
  </si>
  <si>
    <t>Школа № 1205</t>
  </si>
  <si>
    <t>ул. Архитектора Власова, д. 19а</t>
  </si>
  <si>
    <t>55.676849, 37.554376</t>
  </si>
  <si>
    <t>Школа № 1206</t>
  </si>
  <si>
    <t>Литовский бульвар, д. 3, корп. 3</t>
  </si>
  <si>
    <t>55.614953, 37.5334</t>
  </si>
  <si>
    <t>Школа № 1207</t>
  </si>
  <si>
    <t>ул. Домодедовская, д. 24, корп. 7</t>
  </si>
  <si>
    <t>55.605515, 37.709299</t>
  </si>
  <si>
    <t>Школа № 1208 имени Героя Советского Союза М. С. Шумилова</t>
  </si>
  <si>
    <t>ул. Зеленодольская, д. 33. корп. 3</t>
  </si>
  <si>
    <t>55.707765, 37.771211</t>
  </si>
  <si>
    <t>Школа № 1210</t>
  </si>
  <si>
    <t>ул. Гамалеи, д. 17 корп. 1</t>
  </si>
  <si>
    <t>55.80022, 37.457223</t>
  </si>
  <si>
    <t>Школа № 1212 Щукино</t>
  </si>
  <si>
    <t>ул. Маршала Рыбалко, д. 14</t>
  </si>
  <si>
    <t>55.799138, 37.487173</t>
  </si>
  <si>
    <t>Школа № 1213</t>
  </si>
  <si>
    <t>3-й Нижнелихоборский проезд, д. 6а</t>
  </si>
  <si>
    <t>55.844071, 37.565479</t>
  </si>
  <si>
    <t>Школа № 1220</t>
  </si>
  <si>
    <t>ул. Аргуновская, д. 12, корп. 2, стр. 1</t>
  </si>
  <si>
    <t>55.817633, 37.621004</t>
  </si>
  <si>
    <t>Школа № 1222 имени Маршала Советского Союза И. Х. Баграмяна</t>
  </si>
  <si>
    <t>ул. Нижегородская, д. 64</t>
  </si>
  <si>
    <t>55.732803, 37.706344</t>
  </si>
  <si>
    <t>Школа № 1223</t>
  </si>
  <si>
    <t>ул. Михалковская, д. 13А</t>
  </si>
  <si>
    <t>125239</t>
  </si>
  <si>
    <t>55.83846, 37.527229</t>
  </si>
  <si>
    <t>Школа № 1228</t>
  </si>
  <si>
    <t>ул. Авиамоторная, д. 42</t>
  </si>
  <si>
    <t>111024</t>
  </si>
  <si>
    <t>55.740669, 37.720331</t>
  </si>
  <si>
    <t>Школа № 1231 имени В. Д. Поленова (ГБОУ)</t>
  </si>
  <si>
    <t>пер. Спасопесковский, д. 6, стр. 7</t>
  </si>
  <si>
    <t>119002</t>
  </si>
  <si>
    <t>55.749815, 37.588898</t>
  </si>
  <si>
    <t>Школа № 1234</t>
  </si>
  <si>
    <t>ул. Б. Молчановка, д. 26—28</t>
  </si>
  <si>
    <t>121069</t>
  </si>
  <si>
    <t>55.753499, 37.590201</t>
  </si>
  <si>
    <t>Школа № 1236</t>
  </si>
  <si>
    <t>ул. Яблочкова, д. 10</t>
  </si>
  <si>
    <t>127254</t>
  </si>
  <si>
    <t>55.817426, 37.582412</t>
  </si>
  <si>
    <t>Школа № 1238</t>
  </si>
  <si>
    <t>ул. Чоботовская, д. 19</t>
  </si>
  <si>
    <t>119634</t>
  </si>
  <si>
    <t>55.645207, 37.345625</t>
  </si>
  <si>
    <t>Школа № 1239</t>
  </si>
  <si>
    <t>Вспольный пер., 6</t>
  </si>
  <si>
    <t>55.760565, 37.588135</t>
  </si>
  <si>
    <t>Школа № 1241</t>
  </si>
  <si>
    <t>Б. Трёхгорный пер., д. 3</t>
  </si>
  <si>
    <t>123002</t>
  </si>
  <si>
    <t>55.760074, 37.56379</t>
  </si>
  <si>
    <t>Школа № 1246</t>
  </si>
  <si>
    <t>Открытое ш., д. 29</t>
  </si>
  <si>
    <t>107143</t>
  </si>
  <si>
    <t>55.830017, 37.763153</t>
  </si>
  <si>
    <t>Школа № 1247 имени Юргиса Балтрушайтиса (русско-литовская)</t>
  </si>
  <si>
    <t>Госпитальный пер., д. 3</t>
  </si>
  <si>
    <t>105005</t>
  </si>
  <si>
    <t>55.770993, 37.687506</t>
  </si>
  <si>
    <t>Школа № 1248 (ГБОУ)</t>
  </si>
  <si>
    <t>ул. Давыдковская, д. 2, корп. 6</t>
  </si>
  <si>
    <t>121352</t>
  </si>
  <si>
    <t>55.725559, 37.473698</t>
  </si>
  <si>
    <t>Школа № 1249</t>
  </si>
  <si>
    <t>Чапаевский пер., д. 6</t>
  </si>
  <si>
    <t>125057</t>
  </si>
  <si>
    <t>55.801425, 37.519261</t>
  </si>
  <si>
    <t>Школа № 1250</t>
  </si>
  <si>
    <t>Ленинградское ш., д. 27</t>
  </si>
  <si>
    <t>55.829704, 37.485197</t>
  </si>
  <si>
    <t>Школа № 1251</t>
  </si>
  <si>
    <t>ул. С.Альенде, д. 9</t>
  </si>
  <si>
    <t>125252</t>
  </si>
  <si>
    <t>55.794148, 37.506792</t>
  </si>
  <si>
    <t>Школа № 1252</t>
  </si>
  <si>
    <t>ул. Дубосековская, д. 3</t>
  </si>
  <si>
    <t>125080</t>
  </si>
  <si>
    <t>55.80999, 37.49647</t>
  </si>
  <si>
    <t>Школа № 1253</t>
  </si>
  <si>
    <t>Зубовский б-р, д. 5</t>
  </si>
  <si>
    <t>119021</t>
  </si>
  <si>
    <t>55.734826, 37.592437</t>
  </si>
  <si>
    <t>Школа им. дважды Героя Советского Союза И. С. Полбина</t>
  </si>
  <si>
    <t>ул. Полбина, д. 38</t>
  </si>
  <si>
    <t>109388</t>
  </si>
  <si>
    <t>55.681839, 37.727598</t>
  </si>
  <si>
    <t>Школа № 1257</t>
  </si>
  <si>
    <t>ул. Павловская, д. 8А</t>
  </si>
  <si>
    <t>113093</t>
  </si>
  <si>
    <t>55.714353, 37.625711</t>
  </si>
  <si>
    <t>Школа № 1259</t>
  </si>
  <si>
    <t>5-й Монетчиковский пер., 7</t>
  </si>
  <si>
    <t>115054</t>
  </si>
  <si>
    <t>55.732038, 37.632089</t>
  </si>
  <si>
    <t>Школа № 1270 (ГБОУ)</t>
  </si>
  <si>
    <t>Товарищеский пер., д. 21</t>
  </si>
  <si>
    <t>109004</t>
  </si>
  <si>
    <t>55.744115, 37.665255</t>
  </si>
  <si>
    <t>Школа № 1272</t>
  </si>
  <si>
    <t>Кожуховский 1-й пр., д. 17</t>
  </si>
  <si>
    <t>109280</t>
  </si>
  <si>
    <t>55.70807, 37.663925</t>
  </si>
  <si>
    <t>Школа № 1273</t>
  </si>
  <si>
    <t>ул. Академика Капицы, д. 12</t>
  </si>
  <si>
    <t>117647</t>
  </si>
  <si>
    <t>55.628977, 37.522531</t>
  </si>
  <si>
    <t>Школа им. Маяковского</t>
  </si>
  <si>
    <t>55.72343, 37.671615</t>
  </si>
  <si>
    <t>Школа № 1279</t>
  </si>
  <si>
    <t>ул. Азовская, 2/2</t>
  </si>
  <si>
    <t>113149</t>
  </si>
  <si>
    <t>55.663745, 37.604044</t>
  </si>
  <si>
    <t>Школа № 1282</t>
  </si>
  <si>
    <t>ул. Барболина, д. 1</t>
  </si>
  <si>
    <t>107014</t>
  </si>
  <si>
    <t>55.789775, 37.684775</t>
  </si>
  <si>
    <t>Школа № 1283</t>
  </si>
  <si>
    <t>ул. Садовая-Спасская, д. 8</t>
  </si>
  <si>
    <t>103045</t>
  </si>
  <si>
    <t>55.770735, 37.640183</t>
  </si>
  <si>
    <t>Школа № 1284 им. Наташи Ковшовой</t>
  </si>
  <si>
    <t>Уланский пер., д. 8/10</t>
  </si>
  <si>
    <t>101000</t>
  </si>
  <si>
    <t>55.767914, 37.637928</t>
  </si>
  <si>
    <t>Школа № 1285</t>
  </si>
  <si>
    <t>ул. Свободы, д. 3, к. 1</t>
  </si>
  <si>
    <t>123362</t>
  </si>
  <si>
    <t>55.825072, 37.449336</t>
  </si>
  <si>
    <t>Школа № 1286</t>
  </si>
  <si>
    <t>ул. Героев Панфиловцев, д. 15</t>
  </si>
  <si>
    <t>125481</t>
  </si>
  <si>
    <t>55.856725, 37.426824</t>
  </si>
  <si>
    <t>Школа № 1287</t>
  </si>
  <si>
    <t>Аэропорта пр., д. 10</t>
  </si>
  <si>
    <t>125167</t>
  </si>
  <si>
    <t>55.796385, 37.520914</t>
  </si>
  <si>
    <t>Школа № 1288 им. Н. В. Троян</t>
  </si>
  <si>
    <t>ул. Поликарпова, д. 3А</t>
  </si>
  <si>
    <t>125284</t>
  </si>
  <si>
    <t>55.775935, 37.551708</t>
  </si>
  <si>
    <t>Школа № 1290</t>
  </si>
  <si>
    <t>ул. Первомайская, д. 59</t>
  </si>
  <si>
    <t>105077</t>
  </si>
  <si>
    <t>55.793723, 37.793166</t>
  </si>
  <si>
    <t>Школа № 1296 (ГБОУ)</t>
  </si>
  <si>
    <t>Керамический пр., д. 55, к. 3</t>
  </si>
  <si>
    <t>127237</t>
  </si>
  <si>
    <t>55.877385, 37.562667</t>
  </si>
  <si>
    <t>Школа № 1297</t>
  </si>
  <si>
    <t>Глинистый пер., д. 7</t>
  </si>
  <si>
    <t>129041</t>
  </si>
  <si>
    <t>55.787543, 37.637272</t>
  </si>
  <si>
    <t>Школа № 1299</t>
  </si>
  <si>
    <t>ул. Новослободская, д. 57</t>
  </si>
  <si>
    <t>127055</t>
  </si>
  <si>
    <t>55.78692, 37.592213</t>
  </si>
  <si>
    <t>Школа № 1302</t>
  </si>
  <si>
    <t>ул. Исаковского, д. 29, корп. 1</t>
  </si>
  <si>
    <t>55.806803, 37.41944</t>
  </si>
  <si>
    <t>Школа № 1310</t>
  </si>
  <si>
    <t>ул. Перовская, д. 44а</t>
  </si>
  <si>
    <t>55.743213, 37.782198</t>
  </si>
  <si>
    <t>Школа № 1311</t>
  </si>
  <si>
    <t>Ленинский, д. 97, корп. 1</t>
  </si>
  <si>
    <t>55.671493, 37.523797</t>
  </si>
  <si>
    <t>Школа № 1315</t>
  </si>
  <si>
    <t>Конаковский проезд, д. 5</t>
  </si>
  <si>
    <t>55.845895, 37.481154</t>
  </si>
  <si>
    <t>Школа № 1317</t>
  </si>
  <si>
    <t>ул. Академика Анохина, д. 4, корп. 5</t>
  </si>
  <si>
    <t>55.671539, 37.470743</t>
  </si>
  <si>
    <t>Школа № 1321 "Ковчег"</t>
  </si>
  <si>
    <t>ул. Авиамоторная, д. 30а, корп. 1</t>
  </si>
  <si>
    <t>55.744667, 37.719342</t>
  </si>
  <si>
    <t>Школа № 1324</t>
  </si>
  <si>
    <t>Федеративный проспект, д. 27</t>
  </si>
  <si>
    <t>55.754887, 37.820187</t>
  </si>
  <si>
    <t>Школа № 1329</t>
  </si>
  <si>
    <t>ул. Никулинская, д. 10</t>
  </si>
  <si>
    <t>55.668914, 37.465002</t>
  </si>
  <si>
    <t>Школа № 1347</t>
  </si>
  <si>
    <t>ул. Главмосстроя, д. 28</t>
  </si>
  <si>
    <t>55.65754, 37.40654</t>
  </si>
  <si>
    <t>Школа Новокосино</t>
  </si>
  <si>
    <t>ул. Суздальская, д. 22Б</t>
  </si>
  <si>
    <t>111673</t>
  </si>
  <si>
    <t>55.741612, 37.857243</t>
  </si>
  <si>
    <t>Школа № 1352 (до 2005—314)</t>
  </si>
  <si>
    <t>Щёлковское шоссе, д. 77а</t>
  </si>
  <si>
    <t>107207</t>
  </si>
  <si>
    <t>55.813349, 37.804009</t>
  </si>
  <si>
    <t>Школа № 1353</t>
  </si>
  <si>
    <t>Зеленоград, Берёзовая ал., д. 8а</t>
  </si>
  <si>
    <t>124498</t>
  </si>
  <si>
    <t>55.995282, 37.202524</t>
  </si>
  <si>
    <t>Школа № 1354 "Вектор"</t>
  </si>
  <si>
    <t>Москва, Изюмская улица, дом 38, корпус 1</t>
  </si>
  <si>
    <t>55.548136, 37.563853</t>
  </si>
  <si>
    <t>Школа № 1355</t>
  </si>
  <si>
    <t>Джанкойская улица, д. 7</t>
  </si>
  <si>
    <t>55.540536, 37.577831</t>
  </si>
  <si>
    <t>Школа № 1356</t>
  </si>
  <si>
    <t>ул. Грина, д. 18Б</t>
  </si>
  <si>
    <t>55.567306, 37.581604</t>
  </si>
  <si>
    <t>Школа № 1357 "На Братиславской"</t>
  </si>
  <si>
    <t>ул. Перервинский бульвар, д. 7</t>
  </si>
  <si>
    <t>117623</t>
  </si>
  <si>
    <t>55.662704, 37.766306</t>
  </si>
  <si>
    <t>Школа № 1358</t>
  </si>
  <si>
    <t>Пятницкое шоссе, д. 45, корп. 2</t>
  </si>
  <si>
    <t>125310</t>
  </si>
  <si>
    <t>55.856497, 37.346829</t>
  </si>
  <si>
    <t>Школа № 1360</t>
  </si>
  <si>
    <t>ул. Краснобогатырская, д. 21, к. 2</t>
  </si>
  <si>
    <t>55.812292, 37.700523</t>
  </si>
  <si>
    <t>Школа № 1363</t>
  </si>
  <si>
    <t>Рязанский пр-т, д. 82, к. 4</t>
  </si>
  <si>
    <t>55.708004, 37.82379</t>
  </si>
  <si>
    <t>Школа № 1368</t>
  </si>
  <si>
    <t>ул. Академика Понтрягина, 17 корпус 1</t>
  </si>
  <si>
    <t>55.533562, 37.502822</t>
  </si>
  <si>
    <t>Школа № 1375</t>
  </si>
  <si>
    <t>Нагатинская наб., 24</t>
  </si>
  <si>
    <t>55.681493, 37.656838</t>
  </si>
  <si>
    <t>Школа № 1381</t>
  </si>
  <si>
    <t>Янтарный проезд, д. 2</t>
  </si>
  <si>
    <t>55.873233, 37.691441</t>
  </si>
  <si>
    <t>Школа № 1383</t>
  </si>
  <si>
    <t>ул. Дубнинская, д. 7</t>
  </si>
  <si>
    <t>55.857801, 37.566449</t>
  </si>
  <si>
    <t>Школа № 1384 имени А. А. Леманского</t>
  </si>
  <si>
    <t>ул. Новопесчаная, д. 15</t>
  </si>
  <si>
    <t>55.798272, 37.515461</t>
  </si>
  <si>
    <t>Школа № 1387</t>
  </si>
  <si>
    <t>ул. Соколово-Мещёрская, д. 27</t>
  </si>
  <si>
    <t>55.903978, 37.382834</t>
  </si>
  <si>
    <t>Вешняковская школа</t>
  </si>
  <si>
    <t>ул. Кетчерская, д. 8а</t>
  </si>
  <si>
    <t>55.742808, 37.825425</t>
  </si>
  <si>
    <t>Школа № 1391</t>
  </si>
  <si>
    <t>рабочий посёлок Киевский, д. 7а</t>
  </si>
  <si>
    <t>55.430242, 36.870983</t>
  </si>
  <si>
    <t>Школа № 1392 имени Д. В. Рябинкина</t>
  </si>
  <si>
    <t>поселение Десёновское</t>
  </si>
  <si>
    <t>55.499571, 37.366619</t>
  </si>
  <si>
    <t>Школа № 1394 "На набережной"</t>
  </si>
  <si>
    <t>Батайский проезд, д. 47</t>
  </si>
  <si>
    <t>55.643917, 37.737623</t>
  </si>
  <si>
    <t>Школа № 1399</t>
  </si>
  <si>
    <t>ул. Вилиса Лациса, д. 33, корп. 2</t>
  </si>
  <si>
    <t>55.858847, 37.410403</t>
  </si>
  <si>
    <t>Школа № 1400 им. Е. В. Кулагиной и В. С. Сотниковой (ГБОУ)</t>
  </si>
  <si>
    <t>Можайское шоссе, д. 48</t>
  </si>
  <si>
    <t>55.717558, 37.407304</t>
  </si>
  <si>
    <t>Школа № 1404 "Гамма"</t>
  </si>
  <si>
    <t>ул. Б. Оленья, д. 3/5</t>
  </si>
  <si>
    <t>55.803767, 37.688135</t>
  </si>
  <si>
    <t>Школа № 1409 (ГБОУ)</t>
  </si>
  <si>
    <t>Ходынский бульвар, д. 7</t>
  </si>
  <si>
    <t>55.784374, 37.531711</t>
  </si>
  <si>
    <t>Школа № 1411</t>
  </si>
  <si>
    <t>Северный б-р, д. 1А</t>
  </si>
  <si>
    <t>127566</t>
  </si>
  <si>
    <t>55.866723, 37.601546</t>
  </si>
  <si>
    <t>Школа № 1412</t>
  </si>
  <si>
    <t>ул. Мурановская, д. 4А</t>
  </si>
  <si>
    <t>127549</t>
  </si>
  <si>
    <t>55.890886, 37.601654</t>
  </si>
  <si>
    <t>Школа № 1413</t>
  </si>
  <si>
    <t>ул. Белозерская, д. 15</t>
  </si>
  <si>
    <t>127543</t>
  </si>
  <si>
    <t>55.896852, 37.617554</t>
  </si>
  <si>
    <t>Школа № 1415</t>
  </si>
  <si>
    <t>ул. 1-я Останкинская, д. 29</t>
  </si>
  <si>
    <t>129515</t>
  </si>
  <si>
    <t>55.824733, 37.624525</t>
  </si>
  <si>
    <t>Школа № 1416</t>
  </si>
  <si>
    <t>ул. Новгородская, д. 8</t>
  </si>
  <si>
    <t>127576</t>
  </si>
  <si>
    <t>55.893349, 37.581352</t>
  </si>
  <si>
    <t>Школа № 1420</t>
  </si>
  <si>
    <t>ул. Ташкентская, д. 21, к. 2 и д. 18</t>
  </si>
  <si>
    <t>109444</t>
  </si>
  <si>
    <t>55.700897, 37.815031</t>
  </si>
  <si>
    <t>Школа № 1420 (профессиональная)</t>
  </si>
  <si>
    <t>ул. Кожуховская 5-я, д. 1/11</t>
  </si>
  <si>
    <t>109193</t>
  </si>
  <si>
    <t>55.705797, 37.664366</t>
  </si>
  <si>
    <t>Школа имени Маршала В. И. Чуйкова</t>
  </si>
  <si>
    <t>Васильцовский стан, д. 4.</t>
  </si>
  <si>
    <t>55.713253, 37.753146</t>
  </si>
  <si>
    <t>Школа № 1440 (ГБОУ)</t>
  </si>
  <si>
    <t>Москва, Осенний бульвар, д. 10, к. 3</t>
  </si>
  <si>
    <t>121609</t>
  </si>
  <si>
    <t>55.757541, 37.41273</t>
  </si>
  <si>
    <t>Шуваловская школа № 1448</t>
  </si>
  <si>
    <t>Мичуринский проспект, д. 5, корп. 1</t>
  </si>
  <si>
    <t>55.7025, 37.512658</t>
  </si>
  <si>
    <t>Школа № 1450 "Олимп"</t>
  </si>
  <si>
    <t>ул. Фруктовая д.9</t>
  </si>
  <si>
    <t>117556</t>
  </si>
  <si>
    <t>55.658444, 37.612308</t>
  </si>
  <si>
    <t>Школа № 1454</t>
  </si>
  <si>
    <t>ул. Тимирязевская, д. 14а</t>
  </si>
  <si>
    <t>125422</t>
  </si>
  <si>
    <t>55.813334, 37.568938</t>
  </si>
  <si>
    <t>Школа № 1474 (САО)</t>
  </si>
  <si>
    <t>Клинская ул., 22</t>
  </si>
  <si>
    <t>55.871299, 37.490676</t>
  </si>
  <si>
    <t>Школа № 1466 имени Надежды Рушевой (ГБОУ)</t>
  </si>
  <si>
    <t>ул. Ереванская, д. 20, к. 2</t>
  </si>
  <si>
    <t>115304</t>
  </si>
  <si>
    <t>55.628942, 37.674292</t>
  </si>
  <si>
    <t>Школа № 1467</t>
  </si>
  <si>
    <t>ул. Шолохова, д. 9, индекс</t>
  </si>
  <si>
    <t>55.639278, 37.347449</t>
  </si>
  <si>
    <t>Школа № 1468</t>
  </si>
  <si>
    <t>г. Москва, Брошевский пер., д. 21</t>
  </si>
  <si>
    <t>109147</t>
  </si>
  <si>
    <t>55.73513, 37.672603</t>
  </si>
  <si>
    <t>ул. Барклая, д. 15, к. 3</t>
  </si>
  <si>
    <t>121309</t>
  </si>
  <si>
    <t>55.744931, 37.492976</t>
  </si>
  <si>
    <t>Школа № 1498</t>
  </si>
  <si>
    <t>Мичуринский пр-т, д. 23</t>
  </si>
  <si>
    <t>117607</t>
  </si>
  <si>
    <t>55.694124, 37.507035</t>
  </si>
  <si>
    <t>Пушкинская школа № 1500</t>
  </si>
  <si>
    <t>Милютинский переулок, д. 18, стр. 2</t>
  </si>
  <si>
    <t>55.764764, 37.633634</t>
  </si>
  <si>
    <t>Школа № 1501</t>
  </si>
  <si>
    <t>Тихвинский пер., д. 3</t>
  </si>
  <si>
    <t>55.787705, 37.59577</t>
  </si>
  <si>
    <t>Школа № 1502 при Московском энергетическом институте</t>
  </si>
  <si>
    <t>ул. Молостовых, д. 10А</t>
  </si>
  <si>
    <t>111555</t>
  </si>
  <si>
    <t>55.760287, 37.830213</t>
  </si>
  <si>
    <t>Школа № 1503</t>
  </si>
  <si>
    <t>ул. Павла Корчагина, д. 18</t>
  </si>
  <si>
    <t>129626</t>
  </si>
  <si>
    <t>55.818012, 37.662803</t>
  </si>
  <si>
    <t>Школа № 1504</t>
  </si>
  <si>
    <t>ул. Сталеваров, д. 10а</t>
  </si>
  <si>
    <t>55.76209, 37.838001</t>
  </si>
  <si>
    <t>Школа № 1505 "Преображенская" (ГБОУ)</t>
  </si>
  <si>
    <t>2-я Пугачёвская улица, д. 6а</t>
  </si>
  <si>
    <t>107061</t>
  </si>
  <si>
    <t>55.795605, 37.728595</t>
  </si>
  <si>
    <t>Школа № 1506</t>
  </si>
  <si>
    <t>ул. Широкая, д. 1а</t>
  </si>
  <si>
    <t>127282</t>
  </si>
  <si>
    <t>55.889775, 37.650657</t>
  </si>
  <si>
    <t>Школа № 1507</t>
  </si>
  <si>
    <t>ул. Профсоюзная, д. 132, корп. 9</t>
  </si>
  <si>
    <t>117321</t>
  </si>
  <si>
    <t>55.630873, 37.507304</t>
  </si>
  <si>
    <t>Измайловская школа № 1508</t>
  </si>
  <si>
    <t>Первомайская ул., д. 65</t>
  </si>
  <si>
    <t>105043</t>
  </si>
  <si>
    <t>55.793743, 37.795753</t>
  </si>
  <si>
    <t>Лицей № 1511 НИЯУ МИФИ</t>
  </si>
  <si>
    <t>Пролетарский проспект, д. 6, к. 3.</t>
  </si>
  <si>
    <t>55.648306, 37.652247</t>
  </si>
  <si>
    <t>Школа № 1512</t>
  </si>
  <si>
    <t>Косинская ул., д. 24а</t>
  </si>
  <si>
    <t>111538</t>
  </si>
  <si>
    <t>55.718456, 37.829557</t>
  </si>
  <si>
    <t>Школа № 1514</t>
  </si>
  <si>
    <t>ул. Крупской, д. 12</t>
  </si>
  <si>
    <t>55.685077, 37.526887</t>
  </si>
  <si>
    <t>Школа № 1515</t>
  </si>
  <si>
    <t>ул. Народного Ополчения, д. 27, к. 2</t>
  </si>
  <si>
    <t>123154</t>
  </si>
  <si>
    <t>55.780436, 37.477256</t>
  </si>
  <si>
    <t>Школа № 1516</t>
  </si>
  <si>
    <t>ул. Хабаровская, д. 4а</t>
  </si>
  <si>
    <t>107589</t>
  </si>
  <si>
    <t>55.816525, 37.831767</t>
  </si>
  <si>
    <t>Школа № 1517</t>
  </si>
  <si>
    <t>Живописная ул., д. 11, к. 1</t>
  </si>
  <si>
    <t>55.785078, 37.453163</t>
  </si>
  <si>
    <t>Школа № 1518</t>
  </si>
  <si>
    <t>проспект Мира, д. 87</t>
  </si>
  <si>
    <t>129085</t>
  </si>
  <si>
    <t>55.803646, 37.635107</t>
  </si>
  <si>
    <t>Школа № 1519</t>
  </si>
  <si>
    <t>ул. Маршала Катукова, д. 21, корп. 2</t>
  </si>
  <si>
    <t>123181</t>
  </si>
  <si>
    <t>55.80739, 37.412496</t>
  </si>
  <si>
    <t>Школа № 1520 имени Капцовых</t>
  </si>
  <si>
    <t>Леонтьевский переулок, д. 19/2, строение 1</t>
  </si>
  <si>
    <t>125009</t>
  </si>
  <si>
    <t>55.760631, 37.604906</t>
  </si>
  <si>
    <t>Школа № 1522 имени В. И. Чуркина</t>
  </si>
  <si>
    <t>ул. Народного ополчения, д. 16, корп. 4</t>
  </si>
  <si>
    <t>123423</t>
  </si>
  <si>
    <t>55.772846, 37.482214</t>
  </si>
  <si>
    <t>Университетский лицей № 1523</t>
  </si>
  <si>
    <t>Кленовый бульвар, д. 21</t>
  </si>
  <si>
    <t>55.676879, 37.681739</t>
  </si>
  <si>
    <t>Школа № 1524</t>
  </si>
  <si>
    <t>ул. Гурьянова, д. 6, корп. 2</t>
  </si>
  <si>
    <t>109548</t>
  </si>
  <si>
    <t>55.690872, 37.719989</t>
  </si>
  <si>
    <t>Школа № 1526 на Покровской</t>
  </si>
  <si>
    <t>ул. Дорожная, д. 20а</t>
  </si>
  <si>
    <t>117535</t>
  </si>
  <si>
    <t>55.602342, 37.620977</t>
  </si>
  <si>
    <t>Школа № 1527</t>
  </si>
  <si>
    <t>проспект Андропова, д. 17, к. 5</t>
  </si>
  <si>
    <t>55.682595, 37.668615</t>
  </si>
  <si>
    <t>Школа № 1528 имени Героя Советского Союза И. В. Панфилова</t>
  </si>
  <si>
    <t>город Зеленоград, корпус 817</t>
  </si>
  <si>
    <t>124527</t>
  </si>
  <si>
    <t>55.976307, 37.190765</t>
  </si>
  <si>
    <t>Школа № 1529 имени А. С. Грибоедова</t>
  </si>
  <si>
    <t>2-й Обыденский переулок, д. 9</t>
  </si>
  <si>
    <t>119034</t>
  </si>
  <si>
    <t>55.74147, 37.603136</t>
  </si>
  <si>
    <t>Школа № 1530 "Школа Ломоносова"</t>
  </si>
  <si>
    <t>Егерская ул., д. 4</t>
  </si>
  <si>
    <t>55.793358, 37.684685</t>
  </si>
  <si>
    <t>Школа № 1531 имени С. К. Годовикова</t>
  </si>
  <si>
    <t>ул. Годовикова, д. 4, строение 3</t>
  </si>
  <si>
    <t>55.803702, 37.633068</t>
  </si>
  <si>
    <t>Школа № 1532</t>
  </si>
  <si>
    <t>ул. Тёплый Стан, д. 13, корп. 3</t>
  </si>
  <si>
    <t>117465</t>
  </si>
  <si>
    <t>55.622629, 37.491485</t>
  </si>
  <si>
    <t>Школа № 1533 "ЛИТ"</t>
  </si>
  <si>
    <t>Ломоносовский проспект, д. 16</t>
  </si>
  <si>
    <t>119296</t>
  </si>
  <si>
    <t>55.692338, 37.54374</t>
  </si>
  <si>
    <t>Школа № 1534</t>
  </si>
  <si>
    <t>ул. Кедрова, д. 11</t>
  </si>
  <si>
    <t>117036</t>
  </si>
  <si>
    <t>55.685092, 37.574327</t>
  </si>
  <si>
    <t>Школа № 1535</t>
  </si>
  <si>
    <t>ул. Усачёва, д. 50</t>
  </si>
  <si>
    <t>119048</t>
  </si>
  <si>
    <t>55.725808, 37.56494</t>
  </si>
  <si>
    <t>Школа № 1537</t>
  </si>
  <si>
    <t>ул. Проходчиков, д. 9</t>
  </si>
  <si>
    <t>129347</t>
  </si>
  <si>
    <t>55.874415, 37.71936</t>
  </si>
  <si>
    <t>Школа № 1538</t>
  </si>
  <si>
    <t>Новотушинский проезд, д. 8, корп. 2</t>
  </si>
  <si>
    <t>125464</t>
  </si>
  <si>
    <t>55.839749, 37.381405</t>
  </si>
  <si>
    <t>Школа № 1539</t>
  </si>
  <si>
    <t>Староалексеевская улица, д. 1</t>
  </si>
  <si>
    <t>55.810324, 37.641845</t>
  </si>
  <si>
    <t>Школа № 1540</t>
  </si>
  <si>
    <t>ул. Новослободская, д. 57, строение 1</t>
  </si>
  <si>
    <t>Школа № 1541</t>
  </si>
  <si>
    <t>проспект Вернадского, д. 55</t>
  </si>
  <si>
    <t>119415</t>
  </si>
  <si>
    <t>55.672803, 37.504358</t>
  </si>
  <si>
    <t>Школа № 1542</t>
  </si>
  <si>
    <t>улица Авиаторов, д. 8, корп.2</t>
  </si>
  <si>
    <t>119620</t>
  </si>
  <si>
    <t>55.646924, 37.399749</t>
  </si>
  <si>
    <t>Гимназия № 1543 им. Ю. В. Завельского</t>
  </si>
  <si>
    <t>ул. 26-ти Бакинских Комиссаров, д. 3, к. 5</t>
  </si>
  <si>
    <t>119571</t>
  </si>
  <si>
    <t>55.656057, 37.486176</t>
  </si>
  <si>
    <t>Школа № 1544</t>
  </si>
  <si>
    <t>Пенягинская улица, д. 14</t>
  </si>
  <si>
    <t>125222</t>
  </si>
  <si>
    <t>55.836059, 37.359522</t>
  </si>
  <si>
    <t>Школа № 1547</t>
  </si>
  <si>
    <t>Белореченская ул.</t>
  </si>
  <si>
    <t>55.662938, 37.772505</t>
  </si>
  <si>
    <t>Школа № 1550</t>
  </si>
  <si>
    <t>Беговая ул., 19</t>
  </si>
  <si>
    <t>55.782365, 37.55982</t>
  </si>
  <si>
    <t>Школа № 1551</t>
  </si>
  <si>
    <t>ул. Свободы, д. 42, корп. 2</t>
  </si>
  <si>
    <t>125364</t>
  </si>
  <si>
    <t>55.846643, 37.456037</t>
  </si>
  <si>
    <t>Школа № 1552</t>
  </si>
  <si>
    <t>ул. Мусы Джалиля, д. 25</t>
  </si>
  <si>
    <t>55.619605, 37.746597</t>
  </si>
  <si>
    <t>Школа № 1553 имени В. И. Вернадского</t>
  </si>
  <si>
    <t>Дербеневская ул., 13</t>
  </si>
  <si>
    <t>55.721052, 37.649094</t>
  </si>
  <si>
    <t>Школа № 1554 (ГБОУ)</t>
  </si>
  <si>
    <t>ул. Пестеля, д. 5</t>
  </si>
  <si>
    <t>127490</t>
  </si>
  <si>
    <t>55.864455, 37.613485</t>
  </si>
  <si>
    <t>Школа № 1557 им. Петра Леонидовича Капицы</t>
  </si>
  <si>
    <t>Зеленоград, к. 509</t>
  </si>
  <si>
    <t>124536</t>
  </si>
  <si>
    <t>55.99801, 37.231602</t>
  </si>
  <si>
    <t>Школа № 1558 им. Росалии де Кастро</t>
  </si>
  <si>
    <t>Москва, СВАО, Чукотский пр., д. 6</t>
  </si>
  <si>
    <t>129327</t>
  </si>
  <si>
    <t>55.868203, 37.654035</t>
  </si>
  <si>
    <t>Школа № 1560 "Лидер"</t>
  </si>
  <si>
    <t>ул. Маршала Тухачевского, д. 17, корп. 3</t>
  </si>
  <si>
    <t>55.780507, 37.48384</t>
  </si>
  <si>
    <t>Школа № 1561</t>
  </si>
  <si>
    <t>ул. Паустовского, д.6, корп. 2, район Ясенево</t>
  </si>
  <si>
    <t>55.600689, 37.537254</t>
  </si>
  <si>
    <t>Марьинская школа № 1566 памяти Героев Сталинградской битвы</t>
  </si>
  <si>
    <t>ул. Люблинская, д. 173а</t>
  </si>
  <si>
    <t>109652</t>
  </si>
  <si>
    <t>55.647676, 37.74869</t>
  </si>
  <si>
    <t>Школа № 1568 имени Пабло Неруды</t>
  </si>
  <si>
    <t>проезд Шокальского, д. 7, корп. 2</t>
  </si>
  <si>
    <t>127221</t>
  </si>
  <si>
    <t>55.874521, 37.642887</t>
  </si>
  <si>
    <t>Школа № 1569 "Созвездие"</t>
  </si>
  <si>
    <t>улица Мусы Джалиля, д. 36, к. 2</t>
  </si>
  <si>
    <t>55.617159, 37.738827</t>
  </si>
  <si>
    <t>Школа № 1570</t>
  </si>
  <si>
    <t>5-я ул. Ямского Поля, д. 28</t>
  </si>
  <si>
    <t>55.789203, 37.577013</t>
  </si>
  <si>
    <t>Школа № 1573</t>
  </si>
  <si>
    <t>ул. Псковская, д. 11</t>
  </si>
  <si>
    <t>55.906547, 37.552948</t>
  </si>
  <si>
    <t>Школа № 1574</t>
  </si>
  <si>
    <t>1-я Миусская ул., д. 4</t>
  </si>
  <si>
    <t>55.779803, 37.596992</t>
  </si>
  <si>
    <t>Школа № 1576</t>
  </si>
  <si>
    <t>Большая Академическая ул., д. 22а</t>
  </si>
  <si>
    <t>127299</t>
  </si>
  <si>
    <t>55.822888, 37.529376</t>
  </si>
  <si>
    <t>Школа № 1579</t>
  </si>
  <si>
    <t>Пролетарский просп., д. 7, корп. 3</t>
  </si>
  <si>
    <t>115522</t>
  </si>
  <si>
    <t>55.646579, 37.659371</t>
  </si>
  <si>
    <t>Школа № 1580 при МГТУ имени Н. Э. Баумана</t>
  </si>
  <si>
    <t>Балаклавский проспект, д. 6А</t>
  </si>
  <si>
    <t>55.641534, 37.613072</t>
  </si>
  <si>
    <t>Инженерная школа № 1581</t>
  </si>
  <si>
    <t>Большой Полуярославский переулок, д. 7/4</t>
  </si>
  <si>
    <t>107120</t>
  </si>
  <si>
    <t>55.752602, 37.663368</t>
  </si>
  <si>
    <t>Школа № 1582</t>
  </si>
  <si>
    <t>Кировоградская улица, д. 18, к. 4</t>
  </si>
  <si>
    <t>55.617886, 37.60134</t>
  </si>
  <si>
    <t>Школа № 1583 имени К. А. Керимова</t>
  </si>
  <si>
    <t>ул. Смольная, д. 25</t>
  </si>
  <si>
    <t>125493</t>
  </si>
  <si>
    <t>55.849787, 37.494575</t>
  </si>
  <si>
    <t>Школа № 1584</t>
  </si>
  <si>
    <t>Рублёвское шоссе, д. 24, к. 3</t>
  </si>
  <si>
    <t>121615</t>
  </si>
  <si>
    <t>55.745129, 37.428935</t>
  </si>
  <si>
    <t>Школа № 1586</t>
  </si>
  <si>
    <t>Дружбы, д. 8</t>
  </si>
  <si>
    <t>119330</t>
  </si>
  <si>
    <t>55.709272, 37.513556</t>
  </si>
  <si>
    <t>Школа № 1589</t>
  </si>
  <si>
    <t>Инициативная улица, дом 1.</t>
  </si>
  <si>
    <t>121357</t>
  </si>
  <si>
    <t>55.716595, 37.460789</t>
  </si>
  <si>
    <t>Школа № 1590 имени Героя Советского Союза В. В. Колесника</t>
  </si>
  <si>
    <t>ул. Фестивальная, д. 69</t>
  </si>
  <si>
    <t>125502</t>
  </si>
  <si>
    <t>55.862196, 37.503064</t>
  </si>
  <si>
    <t>Школа № 1591</t>
  </si>
  <si>
    <t>ул. Новокосинская, д. 40а</t>
  </si>
  <si>
    <t>111672</t>
  </si>
  <si>
    <t>55.74186, 37.87211</t>
  </si>
  <si>
    <t>Школа имени Героя Российской Федерации Е. Н. Чернышёва</t>
  </si>
  <si>
    <t>Бескудниковский проезд, д. 4б</t>
  </si>
  <si>
    <t>127247</t>
  </si>
  <si>
    <t>55.875203, 37.555463</t>
  </si>
  <si>
    <t>Школа в Некрасовке</t>
  </si>
  <si>
    <t>2-я Вольская, д. 7, к.2</t>
  </si>
  <si>
    <t>111674</t>
  </si>
  <si>
    <t>55.688126, 37.923116</t>
  </si>
  <si>
    <t>Школа № 1601 (ГБОУ)</t>
  </si>
  <si>
    <t>ул. Нижняя Масловка, д. 16.Школа имени Левочкина Фёдора</t>
  </si>
  <si>
    <t>103220</t>
  </si>
  <si>
    <t>55.791597, 37.577993</t>
  </si>
  <si>
    <t>Школа № 1619 им. М. Цветаевой (УВК)</t>
  </si>
  <si>
    <t>ул. Таллинская, д. 20, к. 4</t>
  </si>
  <si>
    <t>123458</t>
  </si>
  <si>
    <t>55.797301, 37.405094</t>
  </si>
  <si>
    <t>Школа № 1621 образовательный комплекс "Школа лидерства Лаудер Эц Хаим" с еврейским этнокультурным компонентом</t>
  </si>
  <si>
    <t>М. Козловский пер., д. 3</t>
  </si>
  <si>
    <t>55.764951, 37.649256</t>
  </si>
  <si>
    <t>Школа "Дмитровский" (УВК)</t>
  </si>
  <si>
    <t>Дмитровское ш., д. 137а</t>
  </si>
  <si>
    <t>127411</t>
  </si>
  <si>
    <t>55.892314, 37.540012</t>
  </si>
  <si>
    <t>Школа № 1633 (УВК)</t>
  </si>
  <si>
    <t>Люсиновский 1-й пер., д. 5</t>
  </si>
  <si>
    <t>117049</t>
  </si>
  <si>
    <t>55.727121, 37.62095</t>
  </si>
  <si>
    <t>Школа № 1634 начальная</t>
  </si>
  <si>
    <t>ул. Короленко, д. 2а</t>
  </si>
  <si>
    <t>55.797645, 37.684712</t>
  </si>
  <si>
    <t>Школа № 1634 старшие классы</t>
  </si>
  <si>
    <t>ул. Ширяевская Б., д. 15</t>
  </si>
  <si>
    <t>55.809029, 37.687668</t>
  </si>
  <si>
    <t>Школа № 1636</t>
  </si>
  <si>
    <t>Воронежская улица, д. 7, к. 2</t>
  </si>
  <si>
    <t>115583</t>
  </si>
  <si>
    <t>55.610692, 37.72838</t>
  </si>
  <si>
    <t>Школа № 1637 (ГБОУ)</t>
  </si>
  <si>
    <t>ул. 3-я Владимирская, д. 12а</t>
  </si>
  <si>
    <t>111401</t>
  </si>
  <si>
    <t>55.759527, 37.783644</t>
  </si>
  <si>
    <t>Школа № 1678 (УВК)</t>
  </si>
  <si>
    <t>ул. Дубнинская, д. 46, к. 2</t>
  </si>
  <si>
    <t>55.891451, 37.560763</t>
  </si>
  <si>
    <t>Школа № 1679 "Школа Здоровья" (ГОУ, ЦО)</t>
  </si>
  <si>
    <t>ул. Новопетровская, д. 1а</t>
  </si>
  <si>
    <t>55.827666, 37.519234</t>
  </si>
  <si>
    <t>Школа № 1694 "Ясенево" им. П. М. Фитина (УВК)</t>
  </si>
  <si>
    <t>Ясенево, Литовский бульв., д. 11, к. 6</t>
  </si>
  <si>
    <t>117593</t>
  </si>
  <si>
    <t>55.612594, 37.544494</t>
  </si>
  <si>
    <t>Школа № 1741</t>
  </si>
  <si>
    <t>ул. Никулинская, д. 5</t>
  </si>
  <si>
    <t>119602</t>
  </si>
  <si>
    <t>55.666447, 37.455669</t>
  </si>
  <si>
    <t>Школа № 1747</t>
  </si>
  <si>
    <t>Митинский 3-й пер., д. 12</t>
  </si>
  <si>
    <t>55.846062, 37.349955</t>
  </si>
  <si>
    <t>Школа № 1748 "Вертикаль" (ГБОУ)</t>
  </si>
  <si>
    <t>Сиреневый бульвар, д. 73 к. 3</t>
  </si>
  <si>
    <t>55.80486, 37.827841</t>
  </si>
  <si>
    <t>Школа № 1798 "Феникс" (ГБОУ)</t>
  </si>
  <si>
    <t>Зелёный проспект, дом 75</t>
  </si>
  <si>
    <t>55.752668, 37.813351</t>
  </si>
  <si>
    <t>Школа № 1799</t>
  </si>
  <si>
    <t>Кадашёвский 1-й пер., д. 3, строение 1</t>
  </si>
  <si>
    <t>115035</t>
  </si>
  <si>
    <t>55.744216, 37.621462</t>
  </si>
  <si>
    <t>Школа № 1811 "Восточное Измайлово"</t>
  </si>
  <si>
    <t>ул. Первомайская, д. 111</t>
  </si>
  <si>
    <t>55.793915, 37.814726</t>
  </si>
  <si>
    <t>Школа № 1852</t>
  </si>
  <si>
    <t>ул. 2-я Владимирская, д. 22а</t>
  </si>
  <si>
    <t>55.755956, 37.779305</t>
  </si>
  <si>
    <t>Школа № 1861 "Загорье"</t>
  </si>
  <si>
    <t>ул. Михневская, д. 8, корп. 2</t>
  </si>
  <si>
    <t>55.577398, 37.67184</t>
  </si>
  <si>
    <t>Школа № 1862</t>
  </si>
  <si>
    <t>Черноморский бульвар, д. 6, стр. 1</t>
  </si>
  <si>
    <t>55.646172, 37.613728</t>
  </si>
  <si>
    <t>Школа № 1874</t>
  </si>
  <si>
    <t>ул. Маршала Новикова, д. 13</t>
  </si>
  <si>
    <t>55.803074, 37.463152</t>
  </si>
  <si>
    <t>Школа № 1883 "Бутово"</t>
  </si>
  <si>
    <t>ул. Поляны, д. 53</t>
  </si>
  <si>
    <t>55.54947, 37.547198</t>
  </si>
  <si>
    <t>Школа № 1905</t>
  </si>
  <si>
    <t>ул. Маршала Полубоярова, 22</t>
  </si>
  <si>
    <t>109153</t>
  </si>
  <si>
    <t>55.682595, 37.860019</t>
  </si>
  <si>
    <t>Школа № 1912 (им. Бауыржана Момышулы)</t>
  </si>
  <si>
    <t>Зеленоград, к. 1816</t>
  </si>
  <si>
    <t>55.982089, 37.16572</t>
  </si>
  <si>
    <t>Школа № 1935</t>
  </si>
  <si>
    <t>Москва, ул. Авиаконструктора Миля, д. 18, к. 2</t>
  </si>
  <si>
    <t>55.680493, 37.855383</t>
  </si>
  <si>
    <t>Школа № 1950</t>
  </si>
  <si>
    <t>ул Зоологическая, д. 28, стр.1</t>
  </si>
  <si>
    <t>123056</t>
  </si>
  <si>
    <t>55.766354, 37.58446</t>
  </si>
  <si>
    <t>Школа № 2000</t>
  </si>
  <si>
    <t>Москва, Кантемировская улица, дом 22, корпус 6</t>
  </si>
  <si>
    <t>55.642225, 37.659982</t>
  </si>
  <si>
    <t>Школа № 2001</t>
  </si>
  <si>
    <t>Харьковский пр., д. 9 А,Б</t>
  </si>
  <si>
    <t>117546</t>
  </si>
  <si>
    <t>55.59018, 37.639869</t>
  </si>
  <si>
    <t>Школа № 2006</t>
  </si>
  <si>
    <t>ул. Грина д. 18, корп. 3, с. 1</t>
  </si>
  <si>
    <t>117216</t>
  </si>
  <si>
    <t>55.565768, 37.582367</t>
  </si>
  <si>
    <t>Школа № 2007 ФМШ</t>
  </si>
  <si>
    <t>ул. Горчакова д. 9, корп. 1</t>
  </si>
  <si>
    <t>117042</t>
  </si>
  <si>
    <t>55.544754, 37.53278</t>
  </si>
  <si>
    <t>Школа № 2009</t>
  </si>
  <si>
    <t>ул. Адмирала Руднева, д. 16, к. 1, Бутово, ЮЗАО, Москва (ГОУ СОШ)</t>
  </si>
  <si>
    <t>55.540501, 37.519243</t>
  </si>
  <si>
    <t>Школа № 2025 (ГБОУ)</t>
  </si>
  <si>
    <t>Очаково-Матвеевское</t>
  </si>
  <si>
    <t>119361</t>
  </si>
  <si>
    <t>55.689654, 37.448563</t>
  </si>
  <si>
    <t>Школа № 2026 (ГБОУ)</t>
  </si>
  <si>
    <t>ул. Медведева д.6</t>
  </si>
  <si>
    <t>55.717366, 37.883671</t>
  </si>
  <si>
    <t>Школа № 2030 (ГБОУ)</t>
  </si>
  <si>
    <t>ул. 2-я Звенигородская, д.8</t>
  </si>
  <si>
    <t>123100</t>
  </si>
  <si>
    <t>55.75941, 37.555723</t>
  </si>
  <si>
    <t>Школа № 2031 (ГБОУ)</t>
  </si>
  <si>
    <t>ул. Дмитриевского, д. 13</t>
  </si>
  <si>
    <t>55.710093, 37.89084</t>
  </si>
  <si>
    <t>Школа № 2033 (ГБОУ)</t>
  </si>
  <si>
    <t>Щёлковское шоссе, д. 26а</t>
  </si>
  <si>
    <t>55.808083, 37.779584</t>
  </si>
  <si>
    <t>Школа № 2045</t>
  </si>
  <si>
    <t>Зеленоград, к. 2031</t>
  </si>
  <si>
    <t>124365</t>
  </si>
  <si>
    <t>55.973526, 37.170463</t>
  </si>
  <si>
    <t>Школа № 2048 (ГБОУ)</t>
  </si>
  <si>
    <t>ул. Липчанского, д. 6а</t>
  </si>
  <si>
    <t>55.703718, 37.938181</t>
  </si>
  <si>
    <t>Школа № 2051 (ГБОУ)</t>
  </si>
  <si>
    <t>пр-т Защитников Москвы, д. 9 к.2</t>
  </si>
  <si>
    <t>55.701673, 37.918544</t>
  </si>
  <si>
    <t>Школа № 2055 (бывш. 83 и 340)</t>
  </si>
  <si>
    <t>Москва, 2-я Черногрязская улица, 7, стр.1, 123317, Москва, ул. Подвойского, д. 2</t>
  </si>
  <si>
    <t>55.762829, 37.546938</t>
  </si>
  <si>
    <t>Школа № 2070</t>
  </si>
  <si>
    <t>посёлок Коммунарка, Фитарёвская улица, дом 9А</t>
  </si>
  <si>
    <t>108814</t>
  </si>
  <si>
    <t>55.571525, 37.481954</t>
  </si>
  <si>
    <t>Школа № 2072 (ГБОУ)</t>
  </si>
  <si>
    <t>ул. Утренняя, д. 12</t>
  </si>
  <si>
    <t>111394</t>
  </si>
  <si>
    <t>55.747475, 37.792762</t>
  </si>
  <si>
    <t>Школа № 2086 (ГБОУ)</t>
  </si>
  <si>
    <t>пр-т Университетский, д. 5</t>
  </si>
  <si>
    <t>55.695804, 37.551349</t>
  </si>
  <si>
    <t>Школа № 2087 "Открытие" (ГБОУ) образовалась в результате слияния ГБОУ ЦО № 1881 (бывш. СОШ № 1042) и ГБОУ СОШ № 1142</t>
  </si>
  <si>
    <t>ул. Перерва, д.44, Марьино, ЮВАО, Москва,  и ул. Перерва, д. 36, Марьино, ЮВАО, Москва</t>
  </si>
  <si>
    <t>109369</t>
  </si>
  <si>
    <t>55.651943, 37.735809</t>
  </si>
  <si>
    <t>Школа № 2101 "Филёвский образовательный центр" (ГБОУ)</t>
  </si>
  <si>
    <t>ул. Малая Филёвская, д. 26, корп. 2</t>
  </si>
  <si>
    <t>121433</t>
  </si>
  <si>
    <t>55.736366, 37.462604</t>
  </si>
  <si>
    <t>Школа № 2109 (ГБОУ)</t>
  </si>
  <si>
    <t>ул. Маршала Савицкого, д. 6, к. 4</t>
  </si>
  <si>
    <t>117148</t>
  </si>
  <si>
    <t>55.50338, 37.57899</t>
  </si>
  <si>
    <t>Школа № 2116 (ГБОУ)</t>
  </si>
  <si>
    <t>Задонский проезд, дом 34, корпус 3</t>
  </si>
  <si>
    <t>115682</t>
  </si>
  <si>
    <t>55.620337, 37.754979</t>
  </si>
  <si>
    <t>Школа № 2122 (ГБОУ)</t>
  </si>
  <si>
    <t>ул. Авиаторов, д. 9</t>
  </si>
  <si>
    <t>142172</t>
  </si>
  <si>
    <t>55.640111, 37.405983</t>
  </si>
  <si>
    <t>Школа № 2123 имени Мигеля Эрнандеса (ГБОУ)</t>
  </si>
  <si>
    <t>пер. Столовый, д. 10/2, стр. 1</t>
  </si>
  <si>
    <t>55.756761, 37.594755</t>
  </si>
  <si>
    <t>Школа № 2127 (ГБОУ)</t>
  </si>
  <si>
    <t>ул. Салтыковская, д. 13б</t>
  </si>
  <si>
    <t>55.737801, 37.863369</t>
  </si>
  <si>
    <t>Школа № 2200 (ГБОУ)</t>
  </si>
  <si>
    <t>ул. 11-я Парковая, д. 50</t>
  </si>
  <si>
    <t>105215</t>
  </si>
  <si>
    <t>55.807319, 37.806317</t>
  </si>
  <si>
    <t>Школа юных математиков</t>
  </si>
  <si>
    <t>Малый мехмат</t>
  </si>
  <si>
    <t>Медико-биологическая школа "Vita"</t>
  </si>
  <si>
    <t>ул. Крылатские холмы, д. 28, к. 2</t>
  </si>
  <si>
    <t>121614</t>
  </si>
  <si>
    <t>55.765691, 37.414418</t>
  </si>
  <si>
    <t>Академическая школа "Гелан" (НОУ)</t>
  </si>
  <si>
    <t>Школа "Академия Будущего"</t>
  </si>
  <si>
    <t>Американская школа "Юджин Центр"</t>
  </si>
  <si>
    <t>Англо-американская школа (для англоязычных детей)</t>
  </si>
  <si>
    <t>Англо-русская школа</t>
  </si>
  <si>
    <t>Армянская Воскресная школа</t>
  </si>
  <si>
    <t>Армянский пер., д. 13</t>
  </si>
  <si>
    <t>55.758838, 37.638557</t>
  </si>
  <si>
    <t>Британская Международная школа</t>
  </si>
  <si>
    <t>Геологическая школа МГУ</t>
  </si>
  <si>
    <t>Спортивная школа</t>
  </si>
  <si>
    <t>ул. Херсонская, д. 30, к. 2</t>
  </si>
  <si>
    <t>117246</t>
  </si>
  <si>
    <t>55.654879, 37.563664</t>
  </si>
  <si>
    <t>Детская академия искусств</t>
  </si>
  <si>
    <t>ул. Новозаводская, д. 27</t>
  </si>
  <si>
    <t>55.75016, 37.497108</t>
  </si>
  <si>
    <t>Детская академия "Останкино"</t>
  </si>
  <si>
    <t>ул. Волочаевская, д. 38, стр. 1</t>
  </si>
  <si>
    <t>111033</t>
  </si>
  <si>
    <t>55.753179, 37.67519</t>
  </si>
  <si>
    <t>Еврейская школа "Бет Егудит"</t>
  </si>
  <si>
    <t>ул. Клары Цеткин, д. 15-б</t>
  </si>
  <si>
    <t>125299</t>
  </si>
  <si>
    <t>55.820496, 37.517033</t>
  </si>
  <si>
    <t>Еврейская школа "Мигдал-Ор"</t>
  </si>
  <si>
    <t>Мичуринский пр-т, д. 62</t>
  </si>
  <si>
    <t>55.688801, 37.480813</t>
  </si>
  <si>
    <t>Классический пансион МГУ им. М. В. Ломоносова</t>
  </si>
  <si>
    <t>ул. Инициативная, 1</t>
  </si>
  <si>
    <t>Лингвистическая школа при Институте иностранных языков</t>
  </si>
  <si>
    <t>ул. В.Красносельская, д. 14, стр. 3</t>
  </si>
  <si>
    <t>107140</t>
  </si>
  <si>
    <t>55.783078, 37.660323</t>
  </si>
  <si>
    <t>Международная общеобразовательная частная школа "Интеграция XXl век"</t>
  </si>
  <si>
    <t>Строгинский б-р, д. 7 к. 3</t>
  </si>
  <si>
    <t>123592</t>
  </si>
  <si>
    <t>55.806257, 37.400773</t>
  </si>
  <si>
    <t>Международная школа "Дом Филиппа"</t>
  </si>
  <si>
    <t>ул. Академика Анохина, д. 28, к. 2 (старый адрес)</t>
  </si>
  <si>
    <t>55.659988, 37.470922</t>
  </si>
  <si>
    <t>Международный центр обучения</t>
  </si>
  <si>
    <t>ул. Ярцевская, д. 6а</t>
  </si>
  <si>
    <t>55.73556, 37.409864</t>
  </si>
  <si>
    <t>Московская экономическая школа (МЭШ)</t>
  </si>
  <si>
    <t>ул. Заморёнова, д. 29</t>
  </si>
  <si>
    <t>123022</t>
  </si>
  <si>
    <t>55.76093, 37.56635</t>
  </si>
  <si>
    <t>Музыкальный православный центр "Воскресение"</t>
  </si>
  <si>
    <t>ул. Камчатская, д. 6</t>
  </si>
  <si>
    <t>55.827853, 37.813953</t>
  </si>
  <si>
    <t>Начальная и средняя школа "Луч и Ко"</t>
  </si>
  <si>
    <t>ул. Вучетича, 7а</t>
  </si>
  <si>
    <t>55.808113, 37.557502</t>
  </si>
  <si>
    <t>Начальная школа "Гулливер"</t>
  </si>
  <si>
    <t>Каширское шоссе, д. 38, к. 2</t>
  </si>
  <si>
    <t>115409</t>
  </si>
  <si>
    <t>55.648357, 37.660126</t>
  </si>
  <si>
    <t>Начальная школа "Магнолия"</t>
  </si>
  <si>
    <t>ул. 7-я Кожуховская, д. 18а</t>
  </si>
  <si>
    <t>55.708896, 37.6759</t>
  </si>
  <si>
    <t>Некоммерческое партнёрство средняя общеобразовательная школа "Лицей Столичный"</t>
  </si>
  <si>
    <t>Кленовый б-р, д. 6</t>
  </si>
  <si>
    <t>55.68394, 37.671705</t>
  </si>
  <si>
    <t>Новая гуманитарная школа (НОУ, СОШ)</t>
  </si>
  <si>
    <t>улица Красноармейская, 30б</t>
  </si>
  <si>
    <t>125319</t>
  </si>
  <si>
    <t>55.802371, 37.540955</t>
  </si>
  <si>
    <t>Образовательный комплекс "Пенаты"</t>
  </si>
  <si>
    <t>Янтарный пр-д, д. 23</t>
  </si>
  <si>
    <t>129346</t>
  </si>
  <si>
    <t>55.871455, 37.685431</t>
  </si>
  <si>
    <t>Образовательный комплекс "ЮМЛА"</t>
  </si>
  <si>
    <t>Союзный пр-т, д. 7</t>
  </si>
  <si>
    <t>111396</t>
  </si>
  <si>
    <t>55.751254, 37.807315</t>
  </si>
  <si>
    <t>Образовательный центр "Белст"</t>
  </si>
  <si>
    <t>ул. Фонвизина, д. 16/29</t>
  </si>
  <si>
    <t>127322</t>
  </si>
  <si>
    <t>55.82084, 37.589725</t>
  </si>
  <si>
    <t>Образовательный центр "Колибри"</t>
  </si>
  <si>
    <t>ул.11-я Парковая, д. 55</t>
  </si>
  <si>
    <t>55.808655, 37.802895</t>
  </si>
  <si>
    <t>Общеобразовательная Пироговская школа</t>
  </si>
  <si>
    <t>1-й Бабьегородский пер., д. 5/7</t>
  </si>
  <si>
    <t>55.735383, 37.611212</t>
  </si>
  <si>
    <t>Общеобразовательная школа "Карьера"</t>
  </si>
  <si>
    <t>ул. Краснодарская, д. 11</t>
  </si>
  <si>
    <t>55.677387, 37.743085</t>
  </si>
  <si>
    <t>Православная школа искусств при Храме Преображения Господня</t>
  </si>
  <si>
    <t>пр-т Мира, д. 43</t>
  </si>
  <si>
    <t>129110</t>
  </si>
  <si>
    <t>55.782218, 37.633284</t>
  </si>
  <si>
    <t>Православная школа Димитрия Солунского</t>
  </si>
  <si>
    <t>ул. Берзарина, д. 15Б, стр.1</t>
  </si>
  <si>
    <t>55.787614, 37.480274</t>
  </si>
  <si>
    <t>Российско-норвежская старшая школа</t>
  </si>
  <si>
    <t>Российско-норвежская старшая школа 9—11 классы</t>
  </si>
  <si>
    <t>Свято-Владимирская общеобразовательная православная школа</t>
  </si>
  <si>
    <t>Специализированный учебно-научный центр (СУНЦ) МГУ, школа им. А. Н. Колмогорова</t>
  </si>
  <si>
    <t>ул. Кременчугская, д. 11</t>
  </si>
  <si>
    <t>55.71948, 37.464122</t>
  </si>
  <si>
    <t>Специальная общеобразовательная школа для слепых и слабовидящих детей</t>
  </si>
  <si>
    <t>Учебно-консультационный центр "Генезис"</t>
  </si>
  <si>
    <t>ул. Берзарина, д. 16</t>
  </si>
  <si>
    <t>125298</t>
  </si>
  <si>
    <t>55.788186, 37.486733</t>
  </si>
  <si>
    <t>Учебный центр "Ник-элит"</t>
  </si>
  <si>
    <t>Дмитровское ш., д. 27, к. 1</t>
  </si>
  <si>
    <t>127750</t>
  </si>
  <si>
    <t>55.826347, 37.571022</t>
  </si>
  <si>
    <t>Учебный центр "Росинка"</t>
  </si>
  <si>
    <t>Походный пр-д, д. 19</t>
  </si>
  <si>
    <t>123373</t>
  </si>
  <si>
    <t>55.84162, 37.420707</t>
  </si>
  <si>
    <t>Христианская школа им. Хинксона</t>
  </si>
  <si>
    <t>ул. Новочерёмушкинская, д. 39а</t>
  </si>
  <si>
    <t>117218</t>
  </si>
  <si>
    <t>55.674874, 37.576582</t>
  </si>
  <si>
    <t>Центр "Творческий потенциал личности"</t>
  </si>
  <si>
    <t>ул. Краснопролетарская, д. 6а</t>
  </si>
  <si>
    <t>127006</t>
  </si>
  <si>
    <t>55.775262, 37.609137</t>
  </si>
  <si>
    <t>Центр дополнительного образования "Президентская школа"</t>
  </si>
  <si>
    <t>Аминьевское шоссе, д. 18, корп. 4</t>
  </si>
  <si>
    <t>55.71447, 37.456001</t>
  </si>
  <si>
    <t>Центр образования "Школа здоровья" № 1998 "Лукоморье"</t>
  </si>
  <si>
    <t>улица Борисовские пруды, дом 12, корпус 3, дом 18, к. 2</t>
  </si>
  <si>
    <t>115612</t>
  </si>
  <si>
    <t>Центр спорта и образования "Самбо-70"</t>
  </si>
  <si>
    <t>ул. Академика Виноградова, д. 4б</t>
  </si>
  <si>
    <t>117133</t>
  </si>
  <si>
    <t>55.631732, 37.488377</t>
  </si>
  <si>
    <t>Центр образования "Юниор"</t>
  </si>
  <si>
    <t>ул. Парковая 5-я, д. 58</t>
  </si>
  <si>
    <t>105425</t>
  </si>
  <si>
    <t>55.804825, 37.788441</t>
  </si>
  <si>
    <t>Центр психолого-педагогической реабилитации и коррекции "Рублёво"</t>
  </si>
  <si>
    <t>п. Рублёво, ул. Василия Ботылёва, д. 31</t>
  </si>
  <si>
    <t>121500</t>
  </si>
  <si>
    <t>55.786313, 37.352489</t>
  </si>
  <si>
    <t>Школа "Академия языка"</t>
  </si>
  <si>
    <t>Новоясеневский пр-т, д. 5, к. 2</t>
  </si>
  <si>
    <t>117558</t>
  </si>
  <si>
    <t>55.608704, 37.530436</t>
  </si>
  <si>
    <t>Школа "Алеф"</t>
  </si>
  <si>
    <t>ул. Крылатские Холмы, д. 25, к. 2</t>
  </si>
  <si>
    <t>55.757501, 37.414373</t>
  </si>
  <si>
    <t>Школа "Андромеда"</t>
  </si>
  <si>
    <t>ул. Новоалексеевская, д. 18, к. 5</t>
  </si>
  <si>
    <t>55.809312, 37.652445</t>
  </si>
  <si>
    <t>Школа "Апогей"</t>
  </si>
  <si>
    <t>ул. Таганрогская, д. 14а</t>
  </si>
  <si>
    <t>109386</t>
  </si>
  <si>
    <t>55.679671, 37.753011</t>
  </si>
  <si>
    <t>Школа "Атлант"</t>
  </si>
  <si>
    <t>ул. Сумская, д. 4а</t>
  </si>
  <si>
    <t>113208</t>
  </si>
  <si>
    <t>55.624617, 37.607359</t>
  </si>
  <si>
    <t>Школа "Афина"</t>
  </si>
  <si>
    <t>Уланский пер., д. 8, стр. 2</t>
  </si>
  <si>
    <t>55.767656, 37.637704</t>
  </si>
  <si>
    <t>Школа "Бакалавр"</t>
  </si>
  <si>
    <t>Крылатские холмы, д. 13</t>
  </si>
  <si>
    <t>121606</t>
  </si>
  <si>
    <t>55.75017, 37.419368</t>
  </si>
  <si>
    <t>Школа "Будущее"</t>
  </si>
  <si>
    <t>2-й Мосфильмовский пер., д. 22а</t>
  </si>
  <si>
    <t>119285</t>
  </si>
  <si>
    <t>55.728276, 37.522881</t>
  </si>
  <si>
    <t>Школа "Вдохновение"</t>
  </si>
  <si>
    <t>ул. Академика Капицы, д. 16</t>
  </si>
  <si>
    <t>55.627351, 37.524103</t>
  </si>
  <si>
    <t>Школа "ВиА"</t>
  </si>
  <si>
    <t>ул. Усачёва, д. 52</t>
  </si>
  <si>
    <t>55.725681, 37.563988</t>
  </si>
  <si>
    <t>Школа "Вступление"</t>
  </si>
  <si>
    <t>Каширское шоссе, д. 132, к. 2</t>
  </si>
  <si>
    <t>115582</t>
  </si>
  <si>
    <t>55.602225, 37.719145</t>
  </si>
  <si>
    <t>Школа "Выбор"</t>
  </si>
  <si>
    <t>Симферопольский бул., д. 9</t>
  </si>
  <si>
    <t>55.658063, 37.610062</t>
  </si>
  <si>
    <t>Школа "Гармония"</t>
  </si>
  <si>
    <t>Щёлковский пр-д, д. 13а</t>
  </si>
  <si>
    <t>55.806742, 37.775927</t>
  </si>
  <si>
    <t>Зеленоград, Центральный пр-т, к. 421а</t>
  </si>
  <si>
    <t>55.99718, 37.205506</t>
  </si>
  <si>
    <t>Школа "Геркулес"</t>
  </si>
  <si>
    <t>ул. Петровка, д. 23/10, стр. 18</t>
  </si>
  <si>
    <t>103031</t>
  </si>
  <si>
    <t>55.764713, 37.614482</t>
  </si>
  <si>
    <t>Школа имени Гнесиных</t>
  </si>
  <si>
    <t>Школа "Город солнца" (АНО, СОШ)</t>
  </si>
  <si>
    <t>Школа "Дельта" (ЦО)</t>
  </si>
  <si>
    <t>ул. Шолохова, д. 19, к. 2</t>
  </si>
  <si>
    <t>55.641432, 37.339274</t>
  </si>
  <si>
    <t>Школа "Дельта-Прометей"</t>
  </si>
  <si>
    <t>Волоколамское ш., д. 88-а</t>
  </si>
  <si>
    <t>123424</t>
  </si>
  <si>
    <t>55.823333, 37.441224</t>
  </si>
  <si>
    <t>Европейская гимназия (Москва)</t>
  </si>
  <si>
    <t>ул.3-я Сокольническая, д. 3</t>
  </si>
  <si>
    <t>55.786591, 37.683976</t>
  </si>
  <si>
    <t>Школа "Знайка" (НОУ, ШОС)</t>
  </si>
  <si>
    <t>бул. Матроса Железняка, д. 29-а</t>
  </si>
  <si>
    <t>55.836711, 37.528181</t>
  </si>
  <si>
    <t>Школа "Золотое сечение"</t>
  </si>
  <si>
    <t>ул. Бурденко, д. 21а</t>
  </si>
  <si>
    <t>119121</t>
  </si>
  <si>
    <t>55.738373, 37.57704</t>
  </si>
  <si>
    <t>Школа "Имя"</t>
  </si>
  <si>
    <t>Шипиловская улица, д. 25, к. 2</t>
  </si>
  <si>
    <t>115563</t>
  </si>
  <si>
    <t>55.621912, 37.725882</t>
  </si>
  <si>
    <t>Школа "Интеграл" (НОУ, СОШ)</t>
  </si>
  <si>
    <t>ул. Чертановская, д. 34А</t>
  </si>
  <si>
    <t>113525</t>
  </si>
  <si>
    <t>55.616681, 37.588341</t>
  </si>
  <si>
    <t>Школа "Интеграция" (НОУ)</t>
  </si>
  <si>
    <t>ул. Ельнинская, д. 18, к. 3</t>
  </si>
  <si>
    <t>55.740238, 37.423375</t>
  </si>
  <si>
    <t>ул. Ставропольская, д. 16/12</t>
  </si>
  <si>
    <t>55.680052, 37.74808</t>
  </si>
  <si>
    <t>Школа "Интеллект-XXI"</t>
  </si>
  <si>
    <t>Каширское шоссе, д. 98, к. 3</t>
  </si>
  <si>
    <t>115551</t>
  </si>
  <si>
    <t>55.613382, 37.711761</t>
  </si>
  <si>
    <t>Школа "Интенсив" (НОУ)</t>
  </si>
  <si>
    <t>ул. Госпитальный вал, д. 5, корп. 18</t>
  </si>
  <si>
    <t>55.774431, 37.704655</t>
  </si>
  <si>
    <t>Школа "Ирида"</t>
  </si>
  <si>
    <t>ул. Юности, д. 5/1, к. В</t>
  </si>
  <si>
    <t>111395</t>
  </si>
  <si>
    <t>55.727557, 37.817034</t>
  </si>
  <si>
    <t>Школа "Ирмос"</t>
  </si>
  <si>
    <t>ул.1-я Ямского поля, д. 24-а</t>
  </si>
  <si>
    <t>125124</t>
  </si>
  <si>
    <t>55.781448, 37.584532</t>
  </si>
  <si>
    <t>Школа "Исток"</t>
  </si>
  <si>
    <t>ул. Михайлова, д. 12-а</t>
  </si>
  <si>
    <t>109428</t>
  </si>
  <si>
    <t>55.727754, 37.765776</t>
  </si>
  <si>
    <t>Школа "Киприда" (НОУ)</t>
  </si>
  <si>
    <t>ул. Флотская, д. 48а</t>
  </si>
  <si>
    <t>125499</t>
  </si>
  <si>
    <t>55.852288, 37.502687</t>
  </si>
  <si>
    <t>Школа "Ключ"</t>
  </si>
  <si>
    <t>ул. Савельева, д. 5</t>
  </si>
  <si>
    <t>55.722487, 37.562892</t>
  </si>
  <si>
    <t>Школа "Колледж-XXI" (НОУ)</t>
  </si>
  <si>
    <t>Солнцевский пр-т, д. 7б</t>
  </si>
  <si>
    <t>55.64887, 37.400306</t>
  </si>
  <si>
    <t>Школа "Колледж-Ромашка"</t>
  </si>
  <si>
    <t>ул. Удальцова, д. 87, к. 1</t>
  </si>
  <si>
    <t>55.684797, 37.485286</t>
  </si>
  <si>
    <t>Школа "Констанца Винчи"</t>
  </si>
  <si>
    <t>ул, Лобачевского, д. 38</t>
  </si>
  <si>
    <t>117415</t>
  </si>
  <si>
    <t>55.669011, 37.50381</t>
  </si>
  <si>
    <t>Школа "Континент"</t>
  </si>
  <si>
    <t>ул. Гвардейская, д. 10, к. 2</t>
  </si>
  <si>
    <t>212374</t>
  </si>
  <si>
    <t>55.722984, 37.427121</t>
  </si>
  <si>
    <t>Школа "Лад"</t>
  </si>
  <si>
    <t>ул.3-я Прядильная, д. 15а</t>
  </si>
  <si>
    <t>105037</t>
  </si>
  <si>
    <t>55.798247, 37.77882</t>
  </si>
  <si>
    <t>Школа "Лицей Троице-Лыково"</t>
  </si>
  <si>
    <t>ул. Абрамцевская, д. 6а</t>
  </si>
  <si>
    <t>55.893904, 37.575504</t>
  </si>
  <si>
    <t>Школа "Личность" (НОУ)</t>
  </si>
  <si>
    <t>ул. Паперника, д. 6, к. 2, стр. 1</t>
  </si>
  <si>
    <t>109452</t>
  </si>
  <si>
    <t>55.719647, 37.789447</t>
  </si>
  <si>
    <t>Школа "Логос"</t>
  </si>
  <si>
    <t>Новохорошёвский пр-д, д. 24, к. 3</t>
  </si>
  <si>
    <t>123308</t>
  </si>
  <si>
    <t>55.780284, 37.491566</t>
  </si>
  <si>
    <t>Школа "Ломоносовская школа" (НОУ)</t>
  </si>
  <si>
    <t>Аминьевское ш., д. 18, к. 4</t>
  </si>
  <si>
    <t>Школа "Лотос" (НОУ)</t>
  </si>
  <si>
    <t>Шенкурский пр-д, д. 5</t>
  </si>
  <si>
    <t>127349</t>
  </si>
  <si>
    <t>55.892905, 37.590093</t>
  </si>
  <si>
    <t>Школа "Малая школа" (НОУ)</t>
  </si>
  <si>
    <t>ул. Долгоруковская, д. 5</t>
  </si>
  <si>
    <t>55.772993, 37.603163</t>
  </si>
  <si>
    <t>Школа "Маленький принц"</t>
  </si>
  <si>
    <t>Новоясеневский пр., д. 38, к. 3</t>
  </si>
  <si>
    <t>117463</t>
  </si>
  <si>
    <t>55.601661, 37.545132</t>
  </si>
  <si>
    <t>Школа "Марина"</t>
  </si>
  <si>
    <t>ул. Панфёрова, д. 6, к. 2</t>
  </si>
  <si>
    <t>117261</t>
  </si>
  <si>
    <t>55.682052, 37.541395</t>
  </si>
  <si>
    <t>Школа "Международная школа завтрашнего дня" (НОУ)</t>
  </si>
  <si>
    <t>Сумской пр-д, д. 5а</t>
  </si>
  <si>
    <t>117208</t>
  </si>
  <si>
    <t>55.633145, 37.608913</t>
  </si>
  <si>
    <t>Школа "Мини-школа" (НОУ)</t>
  </si>
  <si>
    <t>ул. Старые Кузьминки, д. 21</t>
  </si>
  <si>
    <t>109472</t>
  </si>
  <si>
    <t>55.689101, 37.784192</t>
  </si>
  <si>
    <t>Школа "Мир знаний"</t>
  </si>
  <si>
    <t>ул. Крылатские холмы, д. 28, к. 3</t>
  </si>
  <si>
    <t>55.765736, 37.415712</t>
  </si>
  <si>
    <t>Школа "Московиты"</t>
  </si>
  <si>
    <t>ул. Удальцова, д. 31</t>
  </si>
  <si>
    <t>55.673473, 37.50884</t>
  </si>
  <si>
    <t>Школа "Муми Тролль"</t>
  </si>
  <si>
    <t>Волоколамское ш., д. 1</t>
  </si>
  <si>
    <t>55.806555, 37.504061</t>
  </si>
  <si>
    <t>Школа "Мыслитель" (НОУ)</t>
  </si>
  <si>
    <t>ул. Б. Тихоновская, д. 18</t>
  </si>
  <si>
    <t>105118</t>
  </si>
  <si>
    <t>55.80656, 37.688809</t>
  </si>
  <si>
    <t>Школа "На Осенней"</t>
  </si>
  <si>
    <t>ул. Осенняя, д. 6</t>
  </si>
  <si>
    <t>55.759182, 37.402947</t>
  </si>
  <si>
    <t>Школа "Надежда"</t>
  </si>
  <si>
    <t>ул. Плещеева, д. 8-а</t>
  </si>
  <si>
    <t>125560</t>
  </si>
  <si>
    <t>55.884348, 37.609514</t>
  </si>
  <si>
    <t>Школа "Наука-сервис"</t>
  </si>
  <si>
    <t>ул. Трофимова, д. 22, к. 2, подъезд 3</t>
  </si>
  <si>
    <t>109432</t>
  </si>
  <si>
    <t>55.701511, 37.676708</t>
  </si>
  <si>
    <t>Школа "Новое образование"</t>
  </si>
  <si>
    <t>ул. Верхняя Хохловка, д. 1/7</t>
  </si>
  <si>
    <t>109052</t>
  </si>
  <si>
    <t>55.733827, 37.716432</t>
  </si>
  <si>
    <t>Школа "Новый век"</t>
  </si>
  <si>
    <t>ул.1-я Парковая, д. 12</t>
  </si>
  <si>
    <t>55.790924, 37.778622</t>
  </si>
  <si>
    <t>Школа "Образ" (НОУ)</t>
  </si>
  <si>
    <t>Люберецкий р-н, Малаховка, Быковское ш., д. 7А</t>
  </si>
  <si>
    <t>55.627646, 38.006435</t>
  </si>
  <si>
    <t>Школа "Образование плюс…1"</t>
  </si>
  <si>
    <t>ул. Веерная, д. 38, к. 1</t>
  </si>
  <si>
    <t>119501</t>
  </si>
  <si>
    <t>55.713086, 37.481702</t>
  </si>
  <si>
    <t>Школа "Олимп-плюс" (НОУ)</t>
  </si>
  <si>
    <t>Рублёвское ш., д. 121</t>
  </si>
  <si>
    <t>121552</t>
  </si>
  <si>
    <t>55.747439, 37.411957</t>
  </si>
  <si>
    <t>Школа "Откровение" (НОУ, ШОС)</t>
  </si>
  <si>
    <t>ул. Б. Декабрьская, д. 8</t>
  </si>
  <si>
    <t>120022</t>
  </si>
  <si>
    <t>55.767357, 37.556092</t>
  </si>
  <si>
    <t>Школа "Открытая русская школа" (НОУ)</t>
  </si>
  <si>
    <t>Школа "Первая школа" (НОУ) начальная школа</t>
  </si>
  <si>
    <t>Валдайский пр., 3</t>
  </si>
  <si>
    <t>125445</t>
  </si>
  <si>
    <t>55.866536, 37.465658</t>
  </si>
  <si>
    <t>Школа "Первая школа" (НОУ) средняя школа</t>
  </si>
  <si>
    <t>ул. Фестивальная, д. 39, к. 2</t>
  </si>
  <si>
    <t>125195</t>
  </si>
  <si>
    <t>55.858827, 37.481855</t>
  </si>
  <si>
    <t>Школа "Перспектива"</t>
  </si>
  <si>
    <t>Сумской пр-д, д. 2А</t>
  </si>
  <si>
    <t>55.637403, 37.614599</t>
  </si>
  <si>
    <t>Школа "Петровская школа" (НОУ)</t>
  </si>
  <si>
    <t>ул. Коккинаки, д. 3</t>
  </si>
  <si>
    <t>55.804521, 37.544566</t>
  </si>
  <si>
    <t>Школа "Пионер"</t>
  </si>
  <si>
    <t>ул. Юннатов, д. 1</t>
  </si>
  <si>
    <t>125083</t>
  </si>
  <si>
    <t>55.797341, 37.563638</t>
  </si>
  <si>
    <t>Школа "Планета"</t>
  </si>
  <si>
    <t>ул. Молдагуловой, д. 20а, стр. 2</t>
  </si>
  <si>
    <t>115539</t>
  </si>
  <si>
    <t>55.721569, 37.819298</t>
  </si>
  <si>
    <t>Школа "Познание" (НОУ, ШОС)</t>
  </si>
  <si>
    <t>ул.4-я Парковая, д. 10а, стр. 1</t>
  </si>
  <si>
    <t>55.790879, 37.787165</t>
  </si>
  <si>
    <t>Школа "Полярная звезда"</t>
  </si>
  <si>
    <t>4-й Новоподмосковный пер., д. 2а</t>
  </si>
  <si>
    <t>Школа "Премьер"</t>
  </si>
  <si>
    <t>Шипиловская улица, д. 40/2</t>
  </si>
  <si>
    <t>115553</t>
  </si>
  <si>
    <t>55.619777, 37.725855</t>
  </si>
  <si>
    <t>Школа "ПромоМ"</t>
  </si>
  <si>
    <t>Ленинский пр-т, д. 131, к. 3</t>
  </si>
  <si>
    <t>117513</t>
  </si>
  <si>
    <t>55.64347, 37.479834</t>
  </si>
  <si>
    <t>Школа "Просвещение"</t>
  </si>
  <si>
    <t>ул. Косинская, д. 4а</t>
  </si>
  <si>
    <t>55.726928, 37.832126</t>
  </si>
  <si>
    <t>Школа "Путь зерна"</t>
  </si>
  <si>
    <t>Школа "Разум-Л"</t>
  </si>
  <si>
    <t>Проезд Дежнёва, д. 11а</t>
  </si>
  <si>
    <t>129642</t>
  </si>
  <si>
    <t>55.869561, 37.642977</t>
  </si>
  <si>
    <t>Школа "Ренессанс" (НОУ), ул. Производственная, д. 3, к. 1</t>
  </si>
  <si>
    <t>Школа "Риск"</t>
  </si>
  <si>
    <t>Новая площадь, д. 3/4, под. 9</t>
  </si>
  <si>
    <t>55.758564, 37.628711</t>
  </si>
  <si>
    <t>Школа "Рольф" (НОУ)</t>
  </si>
  <si>
    <t>Варшавское шоссе, д. 142</t>
  </si>
  <si>
    <t>117519</t>
  </si>
  <si>
    <t>55.607829, 37.604547</t>
  </si>
  <si>
    <t>Школа "РОШ-Образование"</t>
  </si>
  <si>
    <t>Ивановская ул., д. 19/21</t>
  </si>
  <si>
    <t>55.821982, 37.568551</t>
  </si>
  <si>
    <t>Школа "Самсон"</t>
  </si>
  <si>
    <t>Кленовый б-р, д. 7, к. 2</t>
  </si>
  <si>
    <t>55.683884, 37.676798</t>
  </si>
  <si>
    <t>Школа "Светоч Арс"</t>
  </si>
  <si>
    <t>ул. Б. Академическая, д. 63А</t>
  </si>
  <si>
    <t>125183</t>
  </si>
  <si>
    <t>55.841124, 37.546632</t>
  </si>
  <si>
    <t>Школа "Семейный Лад"</t>
  </si>
  <si>
    <t>ул. Кулакова, д. 3, к. 2</t>
  </si>
  <si>
    <t>55.813794, 37.404582</t>
  </si>
  <si>
    <t>Школа "Современное образование"</t>
  </si>
  <si>
    <t>Малый Головин пер., д. 14/17</t>
  </si>
  <si>
    <t>55.7688, 37.635557</t>
  </si>
  <si>
    <t>Школа "Союз"</t>
  </si>
  <si>
    <t>ул. Фабрициуса, д. 32, к. 2</t>
  </si>
  <si>
    <t>123364</t>
  </si>
  <si>
    <t>55.844662, 37.437775</t>
  </si>
  <si>
    <t>Школа "Сподвижник"</t>
  </si>
  <si>
    <t>Алтуфьевское ш., д. 12Б</t>
  </si>
  <si>
    <t>127562</t>
  </si>
  <si>
    <t>55.854214, 37.587829</t>
  </si>
  <si>
    <t>Школа "Столичный-КИТ" (НОУ, ШОС)</t>
  </si>
  <si>
    <t>ул. Хавская, д. 5</t>
  </si>
  <si>
    <t>113162</t>
  </si>
  <si>
    <t>55.717568, 37.614832</t>
  </si>
  <si>
    <t>Школа "Талисман"</t>
  </si>
  <si>
    <t>ул. М. Расковой, д. 11А</t>
  </si>
  <si>
    <t>55.784931, 37.574049</t>
  </si>
  <si>
    <t>Школа "Технологии обучения" (ГОУ, ЦО)</t>
  </si>
  <si>
    <t>Школа "Традиционная гимназия" (НОУ, ШОС)</t>
  </si>
  <si>
    <t>Тессинский пер., д. 3</t>
  </si>
  <si>
    <t>109028</t>
  </si>
  <si>
    <t>55.751087, 37.65081</t>
  </si>
  <si>
    <t>Школа "Уна"</t>
  </si>
  <si>
    <t>ул. Молодцова, д. 2Б</t>
  </si>
  <si>
    <t>129221</t>
  </si>
  <si>
    <t>55.877809, 37.649346</t>
  </si>
  <si>
    <t>Школа "Феникс"</t>
  </si>
  <si>
    <t>ул. Таллинская, д. 12, к. 5</t>
  </si>
  <si>
    <t>55.797119, 37.398626</t>
  </si>
  <si>
    <t>Школа "Феникс-ВБ"</t>
  </si>
  <si>
    <t>ул. Кржижановского, д. 23А</t>
  </si>
  <si>
    <t>117630</t>
  </si>
  <si>
    <t>55.680072, 37.579115</t>
  </si>
  <si>
    <t>Школа "Филипповская школа" (НОУ)</t>
  </si>
  <si>
    <t>ул. Пироговская, д. 13, стр. 1</t>
  </si>
  <si>
    <t>119435</t>
  </si>
  <si>
    <t>55.729062, 37.570375</t>
  </si>
  <si>
    <t>Школа "Центр ЮССТ" (НОУ)</t>
  </si>
  <si>
    <t>ул. Маршала Неделина, д. 36</t>
  </si>
  <si>
    <t>121354</t>
  </si>
  <si>
    <t>55.72595, 37.420814</t>
  </si>
  <si>
    <t>Школа "Школа на Знаменке" (НОУ)</t>
  </si>
  <si>
    <t>ул. Знаменка, д. 15</t>
  </si>
  <si>
    <t>121019</t>
  </si>
  <si>
    <t>55.749998, 37.604951</t>
  </si>
  <si>
    <t>Школа "Школа Святого Георгия" (НОУ)</t>
  </si>
  <si>
    <t>ул. Ейская, д. 5</t>
  </si>
  <si>
    <t>109387</t>
  </si>
  <si>
    <t>55.686863, 37.745412</t>
  </si>
  <si>
    <t>Школа "Школа Ясенево" (НОУ)</t>
  </si>
  <si>
    <t>ул. Голубинская, д. 24, к. 2</t>
  </si>
  <si>
    <t>55.594809, 37.537838</t>
  </si>
  <si>
    <t>Школа "Школьная академия" (НОУ)</t>
  </si>
  <si>
    <t>Кронштадтский б-р, д. 32</t>
  </si>
  <si>
    <t>55.850545, 37.514446</t>
  </si>
  <si>
    <t>Школа "Эдвайс"</t>
  </si>
  <si>
    <t>ул. Амурская, д. 23А</t>
  </si>
  <si>
    <t>107241</t>
  </si>
  <si>
    <t>55.815291, 37.791154</t>
  </si>
  <si>
    <t>Школа "Эллада"</t>
  </si>
  <si>
    <t>улица Кошкина, д. 6</t>
  </si>
  <si>
    <t>55.64318, 37.671678</t>
  </si>
  <si>
    <t>Школа "Эпос"</t>
  </si>
  <si>
    <t>ул. Коломенская, д. 5, к. 3</t>
  </si>
  <si>
    <t>115142</t>
  </si>
  <si>
    <t>55.682854, 37.704898</t>
  </si>
  <si>
    <t>Школа "Эрудит" (НОУ, СОШ)</t>
  </si>
  <si>
    <t>ул. Рабочая, д. 35, к. 2</t>
  </si>
  <si>
    <t>109544</t>
  </si>
  <si>
    <t>55.742382, 37.687848</t>
  </si>
  <si>
    <t>Школа "Эрудит"</t>
  </si>
  <si>
    <t>ул. Высокая, д. 6</t>
  </si>
  <si>
    <t>55.67924, 37.654466</t>
  </si>
  <si>
    <t>Школа "Эрудит-2"</t>
  </si>
  <si>
    <t>ул. Краснодонская, д. 33</t>
  </si>
  <si>
    <t>109382</t>
  </si>
  <si>
    <t>55.675788, 37.749939</t>
  </si>
  <si>
    <t>Школа "Ювенес"</t>
  </si>
  <si>
    <t>ул. Живописная, д. 5, к. 6</t>
  </si>
  <si>
    <t>123103</t>
  </si>
  <si>
    <t>55.783266, 37.453396</t>
  </si>
  <si>
    <t>Школа "Юность" (НОУ, СОШ, ДШИ)</t>
  </si>
  <si>
    <t>ул. 800-летия Москвы, д. 28, к. 3</t>
  </si>
  <si>
    <t>55.878389, 37.561491</t>
  </si>
  <si>
    <t>Школа будущего "Радуга"</t>
  </si>
  <si>
    <t>Школа во имя апостола и евангелиста Иоанна Богослова</t>
  </si>
  <si>
    <t>Школа во имя Святого благоверного князя Александра Невского</t>
  </si>
  <si>
    <t>Школа-детский сад "Ирис"</t>
  </si>
  <si>
    <t>ул. Мартеновская, д. 3а</t>
  </si>
  <si>
    <t>111399</t>
  </si>
  <si>
    <t>55.75938, 37.806991</t>
  </si>
  <si>
    <t>Школа Института Международной торговли и права (ИМТП)</t>
  </si>
  <si>
    <t>Школа искусств "Гармония"</t>
  </si>
  <si>
    <t>Школа классического танца (АНО)</t>
  </si>
  <si>
    <t>Школа менеджеров "Ямис"</t>
  </si>
  <si>
    <t>Школа молодых предпринимателей</t>
  </si>
  <si>
    <t>Школа Натальи Нестеровой</t>
  </si>
  <si>
    <t>Школа пансион "НОП ЦЕНТР" (НОУ)</t>
  </si>
  <si>
    <t>Школа полного дня "Ника"</t>
  </si>
  <si>
    <t>Школа полного дня "Радуга+"</t>
  </si>
  <si>
    <t>Школа при Андреевском монастыре</t>
  </si>
  <si>
    <t>Школа Св. Георгия Победоносца</t>
  </si>
  <si>
    <t>Школа Сотрудничества (НОУ)</t>
  </si>
  <si>
    <t>Школа УМЦ ВОГ (для неслышащих детей)</t>
  </si>
  <si>
    <t>ул. Нижняя Первомайская, д. 47</t>
  </si>
  <si>
    <t>105203</t>
  </si>
  <si>
    <t>55.791435, 37.808779</t>
  </si>
  <si>
    <t>Школа УСК "Чертаново"</t>
  </si>
  <si>
    <t>ул. Чертановская, д. 7а</t>
  </si>
  <si>
    <t>55.630868, 37.601358</t>
  </si>
  <si>
    <t>Школа этикета и всестороннего развития</t>
  </si>
  <si>
    <t>Школа-лицей "Запад-восток"</t>
  </si>
  <si>
    <t>Мурманский пр-д, д. 22А</t>
  </si>
  <si>
    <t>129075</t>
  </si>
  <si>
    <t>55.809904, 37.620258</t>
  </si>
  <si>
    <t>Школа-интернат (для детей с нарушением опорно-двигательного аппарата)</t>
  </si>
  <si>
    <t>Кронштадтский б-р, д. 20а, к. 7</t>
  </si>
  <si>
    <t>55.844349, 37.508095</t>
  </si>
  <si>
    <t>Школа-интернат для детей с нарушениями речи и слуха РАО</t>
  </si>
  <si>
    <t>ул. Погодинская, д. 8, к. 1</t>
  </si>
  <si>
    <t>55.73366, 37.568695</t>
  </si>
  <si>
    <t>Школа-пансион "Росинка" Фонда развития Международного университета</t>
  </si>
  <si>
    <t>Московская обл., Одинцовский р-н, пос. Заречье, "Кунцево"</t>
  </si>
  <si>
    <t>55.674509, 37.393191</t>
  </si>
  <si>
    <t>Школа-Университет в Сокольниках</t>
  </si>
  <si>
    <t>ул. Старослободская, д. 6/8</t>
  </si>
  <si>
    <t>107113</t>
  </si>
  <si>
    <t>55.789841, 37.669711</t>
  </si>
  <si>
    <t>Экономико-Математическая школа при экономическом факультете МГУ им. М. В. Ломоносова</t>
  </si>
  <si>
    <t>Экономико-правовая школа "Потенциал"</t>
  </si>
  <si>
    <t>Экономическая школа-лицей</t>
  </si>
  <si>
    <t>Кадетская школа-интернат № 1 "Первый Московский кадетский корпус"</t>
  </si>
  <si>
    <t>ул. Вучетича, д. 30</t>
  </si>
  <si>
    <t>125206</t>
  </si>
  <si>
    <t>55.815018, 37.55911</t>
  </si>
  <si>
    <t>Кадетская школа-интернат № 5 "Преображенский кадетский корпус" (ГКОУ)</t>
  </si>
  <si>
    <t>ул. Лосиноотсровская, д. 22а</t>
  </si>
  <si>
    <t>107150</t>
  </si>
  <si>
    <t>55.825376, 37.709892</t>
  </si>
  <si>
    <t>Первый Московский кадетский корпус, Кадетская школа государственных воспитанниц (ГБОУ)</t>
  </si>
  <si>
    <t>Волжский бульвар, д. 52/29, стр. 1</t>
  </si>
  <si>
    <t>109263</t>
  </si>
  <si>
    <t>55.694454, 37.752904</t>
  </si>
  <si>
    <t>Кадетская школа-интернат № 11 "Московский дипломатический кадетский корпус"</t>
  </si>
  <si>
    <t>ул. Оршанская, д. 14</t>
  </si>
  <si>
    <t>55.741622, 37.408265</t>
  </si>
  <si>
    <t>Кадетская школа № 1770 "Московский музыкальный кадетский корпус"</t>
  </si>
  <si>
    <t>Коломенская наб., д. 20 и 115407, ул. Судостроительная, дом 43 к. 2</t>
  </si>
  <si>
    <t>55.686173, 37.68862</t>
  </si>
  <si>
    <t>Первый Московский кадетский корпус, Навигацкая школа</t>
  </si>
  <si>
    <t>ул. Кастанаевская, д. 59</t>
  </si>
  <si>
    <t>121108</t>
  </si>
  <si>
    <t>55.730806, 37.456639</t>
  </si>
  <si>
    <t>Кадетская школа № 1784 "Кадетская школа имени генерала армии В. А. Матросова"</t>
  </si>
  <si>
    <t>ул. Скаковая. д. 20</t>
  </si>
  <si>
    <t>125040</t>
  </si>
  <si>
    <t>55.780309, 37.568381</t>
  </si>
  <si>
    <t>Частное учреждение общеобразовательная школа "Личность"</t>
  </si>
  <si>
    <t>ул. Паперника, д.6,корп.2</t>
  </si>
  <si>
    <t>109456</t>
  </si>
  <si>
    <t>55.719404, 37.789456</t>
  </si>
  <si>
    <t>Частная школа-детский сад "АНО СОШ Академическая Гимназия"</t>
  </si>
  <si>
    <t>ул. Большая Тихоновская, д. 18 стр.1</t>
  </si>
  <si>
    <t>55.806833, 37.689626</t>
  </si>
  <si>
    <t>Частная школа "Ступени"</t>
  </si>
  <si>
    <t>ул. М. Поливановой, д. 12А</t>
  </si>
  <si>
    <t>55.677869, 37.452758</t>
  </si>
  <si>
    <t>Общеобразовательное частное учреждение "Образовательный центр имени С. Н. Олехника"</t>
  </si>
  <si>
    <t>Новогиреевская, 39А; Погонный проезд, 1Б; Окская, д. 5, корп. 3; район Куркино</t>
  </si>
  <si>
    <t>55.714855, 37.756676</t>
  </si>
  <si>
    <t>Частная образовательная школа "Данко"</t>
  </si>
  <si>
    <t>ул. Скобелевская, д. 25, к. 6</t>
  </si>
  <si>
    <t>113623</t>
  </si>
  <si>
    <t>55.547484, 37.560224</t>
  </si>
  <si>
    <t>Частная школа ВКС Ньютон— школа полного дня. Малый Предтеченский переулок, 1/2</t>
  </si>
  <si>
    <t>Частная школа "Венда"</t>
  </si>
  <si>
    <t>Прудовой пр-д, д. 9</t>
  </si>
  <si>
    <t>55.815433, 37.615461</t>
  </si>
  <si>
    <t>Частная школа "Интеграция" (НОУ)</t>
  </si>
  <si>
    <t>улица Ельнинская, д. 18, корпус 3</t>
  </si>
  <si>
    <t>Частная школа "Кладезь"</t>
  </si>
  <si>
    <t>ул. 9-я Парковая, д. 54а</t>
  </si>
  <si>
    <t>105264</t>
  </si>
  <si>
    <t>55.801916, 37.800397</t>
  </si>
  <si>
    <t>Частная школа "Международная Ломоносовская гимназия"</t>
  </si>
  <si>
    <t>ул. Шарикоподшипниковская, д.30А, к.1 (ЮВАО, Дубровка)</t>
  </si>
  <si>
    <t>55.717487, 37.672235</t>
  </si>
  <si>
    <t>Частная школа "Наследник"</t>
  </si>
  <si>
    <t>улица Борисовские пруды, д. 19, к. 1</t>
  </si>
  <si>
    <t>115211</t>
  </si>
  <si>
    <t>55.636031, 37.722163</t>
  </si>
  <si>
    <t>Школа олимпийского резерва Юг</t>
  </si>
  <si>
    <t>ул. Хавская, д. 24, к. 2</t>
  </si>
  <si>
    <t>117419</t>
  </si>
  <si>
    <t>55.713456, 37.612389</t>
  </si>
  <si>
    <t>Частная школа "Ретро"</t>
  </si>
  <si>
    <t>ул. 4-я Гражданская, д. 43, к. 8</t>
  </si>
  <si>
    <t>55.807486, 37.722028</t>
  </si>
  <si>
    <t>Частная школа "Сотрудничество"</t>
  </si>
  <si>
    <t>ул. Александра Солженицына, д. 9а</t>
  </si>
  <si>
    <t>55.743015, 37.656568</t>
  </si>
  <si>
    <t>Частная школа "Финансово-экономическая школа"</t>
  </si>
  <si>
    <t>ул. Милашенкова, д. 11а</t>
  </si>
  <si>
    <t>55.824324, 37.582044</t>
  </si>
  <si>
    <t>Частная школа "Эрудит-2" (ЧУ СОШ)</t>
  </si>
  <si>
    <t>Частная школа детский сад "Солнечный ветер"</t>
  </si>
  <si>
    <t>ул. Академика Варги, д. 2А</t>
  </si>
  <si>
    <t>55.631956, 37.477202</t>
  </si>
  <si>
    <t>Частная школа-детский сад НОУ СОШ "Татьянинская частная школа"</t>
  </si>
  <si>
    <t>ул. 3-я Карачаровская, д. 10</t>
  </si>
  <si>
    <t>109202</t>
  </si>
  <si>
    <t>55.733949, 37.748214</t>
  </si>
  <si>
    <t>Частная школа-детский сад "Ника"</t>
  </si>
  <si>
    <t>ул. Каховка, д. 33, корп. 2</t>
  </si>
  <si>
    <t>113461</t>
  </si>
  <si>
    <t>55.656504, 37.566791</t>
  </si>
  <si>
    <t>Частная школа-детский сад ЧОУ ОО Мшсо</t>
  </si>
  <si>
    <t>ул. Профсоюзная, д. 92</t>
  </si>
  <si>
    <t>117485</t>
  </si>
  <si>
    <t>55.649114, 37.528433</t>
  </si>
  <si>
    <t>Школа "ШИК 16" (ГАОУ)</t>
  </si>
  <si>
    <t>129223</t>
  </si>
  <si>
    <t>Школа "ЦПМ"</t>
  </si>
  <si>
    <t>Олимпийский проспект, д. 11с1</t>
  </si>
  <si>
    <t>55.789492, 37.621875</t>
  </si>
  <si>
    <t>Частная школа АНО СОШ "Феникс" с углублённым изучением английского языка</t>
  </si>
  <si>
    <t>ул. Таллинская д.12, корп. 5</t>
  </si>
  <si>
    <t>Частная школа "Макарун"</t>
  </si>
  <si>
    <t>2-й Балтийский пер., д. 3А</t>
  </si>
  <si>
    <t>125315</t>
  </si>
  <si>
    <t>55.808159, 37.522387</t>
  </si>
  <si>
    <t>Школа № 1995</t>
  </si>
  <si>
    <t>ул. Саморы Машела, 6 к. 3</t>
  </si>
  <si>
    <t>55.64605, 37.498653</t>
  </si>
  <si>
    <t>Школа № 1560</t>
  </si>
  <si>
    <t>Школа № 1306 "Школа молодых политиков"</t>
  </si>
  <si>
    <t>Мичуринский проспект, д. 15, корп. 2</t>
  </si>
  <si>
    <t>55.698224, 37.509083</t>
  </si>
  <si>
    <t>Частные общеобразовательные учреждения</t>
  </si>
  <si>
    <t>Московский лицей "Ступени"</t>
  </si>
  <si>
    <t>Скорняжный переулок, д. 3, стр. 2</t>
  </si>
  <si>
    <t>55.773449, 37.642752</t>
  </si>
  <si>
    <t>Государственные автономные профессиональные образовательные учреждения</t>
  </si>
  <si>
    <t>Московский государственный образовательный комплекс</t>
  </si>
  <si>
    <t>ул. Вишнёвая, д. 5</t>
  </si>
  <si>
    <t>55.828582, 37.444745</t>
  </si>
  <si>
    <t>Московский образовательный комплекс имени Виктора Талалихина</t>
  </si>
  <si>
    <t>ул. Полбина, д. 72, стр. 1</t>
  </si>
  <si>
    <t>55.668117, 37.721391</t>
  </si>
  <si>
    <t>Государственные бюджетные профессиональные образовательные учреждения</t>
  </si>
  <si>
    <t>Западный комплекс непрерывного образования</t>
  </si>
  <si>
    <t>ул. Гвардейская, д. 15, корп. 2</t>
  </si>
  <si>
    <t>55.724763, 37.422063</t>
  </si>
  <si>
    <t>Колледж индустрии гостеприимства и менеджмента № 23</t>
  </si>
  <si>
    <t>Погонный проезд, д. 5</t>
  </si>
  <si>
    <t>55.821507, 37.703972</t>
  </si>
  <si>
    <t>Колледж малого бизнеса № 4</t>
  </si>
  <si>
    <t>ул. Дубининская, д. 25, стр. 1</t>
  </si>
  <si>
    <t>55.726431, 37.637847</t>
  </si>
  <si>
    <t>Образовательный комплекс дизайна и технологий</t>
  </si>
  <si>
    <t>Политехнический колледж им. Н. Н. Годовикова</t>
  </si>
  <si>
    <t>ул. Зои и Александра Космодемьянских, д. 19</t>
  </si>
  <si>
    <t>55.822721, 37.516009</t>
  </si>
  <si>
    <t>Киноколледж № 40 "Московская международная киношкола"</t>
  </si>
  <si>
    <t>ул. Шаболовка, д. 44</t>
  </si>
  <si>
    <t>55.715383, 37.606927</t>
  </si>
  <si>
    <t>Лицей НИУ ВШЭ</t>
  </si>
  <si>
    <t>Большой Харитоньевский переулок, д. 4</t>
  </si>
  <si>
    <t>55.763635, 37.643857</t>
  </si>
  <si>
    <t>Гуманитарный лицей при Международном университете бизнеса и управления</t>
  </si>
  <si>
    <t>5-й пр-д Марьиной Рощи, д. 15а</t>
  </si>
  <si>
    <t>129594</t>
  </si>
  <si>
    <t>55.798207, 37.620106</t>
  </si>
  <si>
    <t>Лицей "Авогадро"</t>
  </si>
  <si>
    <t>ул. М. Пироговская, д. 1</t>
  </si>
  <si>
    <t>119831</t>
  </si>
  <si>
    <t>55.732306, 37.576277</t>
  </si>
  <si>
    <t>Лицей "Возрождение"</t>
  </si>
  <si>
    <t>ул. Рогова, д. 9, к. 2</t>
  </si>
  <si>
    <t>123060</t>
  </si>
  <si>
    <t>55.794755, 37.459514</t>
  </si>
  <si>
    <t>Лицей "Камелия +"</t>
  </si>
  <si>
    <t>Погонный пр., д. 1, к. 10а</t>
  </si>
  <si>
    <t>55.818736, 37.699382</t>
  </si>
  <si>
    <t>Лицей "Столичный"</t>
  </si>
  <si>
    <t>Лицей "Эверест"</t>
  </si>
  <si>
    <t>ул. Икшинская, д. 12</t>
  </si>
  <si>
    <t>55.886307, 37.537245</t>
  </si>
  <si>
    <t>Лицей Международного университета (в Москве)</t>
  </si>
  <si>
    <t>Ленинградский пр-кт, д. 17</t>
  </si>
  <si>
    <t>55.782005, 37.570779</t>
  </si>
  <si>
    <t>Московский академический художественный лицей</t>
  </si>
  <si>
    <t>Православный лицей духовной культуры во имя преподобного Серафима Саровского</t>
  </si>
  <si>
    <t>ул. 3-я Парковая, д. 34, стр. 1</t>
  </si>
  <si>
    <t>55.800387, 37.783518</t>
  </si>
  <si>
    <t>Вручную собранные адреса для школ, которые есть в данных, но не было в Wiki</t>
  </si>
  <si>
    <t>Сиреневый б-р, 20</t>
  </si>
  <si>
    <t>Школа 403</t>
  </si>
  <si>
    <t>55.801723, 37.790759</t>
  </si>
  <si>
    <t xml:space="preserve">2-я Дубровская ул., 3 </t>
  </si>
  <si>
    <t>Школа 467</t>
  </si>
  <si>
    <t>55.728991, 37.67139</t>
  </si>
  <si>
    <t>Кировоградская ул., 42, корп. 2</t>
  </si>
  <si>
    <t>Школа 1245</t>
  </si>
  <si>
    <t>55.599591, 37.593938</t>
  </si>
  <si>
    <t>Оршанская ул., 10, корп. 1</t>
  </si>
  <si>
    <t>Школа 1293</t>
  </si>
  <si>
    <t>55.742939, 37.410583</t>
  </si>
  <si>
    <t>Юровская ул., 97</t>
  </si>
  <si>
    <t>Школа 1298</t>
  </si>
  <si>
    <t>55.900133, 37.382393</t>
  </si>
  <si>
    <t>Пронская ул., 4, корп. 1</t>
  </si>
  <si>
    <t>Школа 1359</t>
  </si>
  <si>
    <t>55.701506, 37.84534</t>
  </si>
  <si>
    <t>Лечебная ул., 20</t>
  </si>
  <si>
    <t>Школа 1362</t>
  </si>
  <si>
    <t>55.78978, 37.741091</t>
  </si>
  <si>
    <t>ул. Васильцовский Стан, 6</t>
  </si>
  <si>
    <t>Школа 1367</t>
  </si>
  <si>
    <t>55.714653, 37.752176</t>
  </si>
  <si>
    <t>Бибиревская ул., 5</t>
  </si>
  <si>
    <t>Школа 1370</t>
  </si>
  <si>
    <t>55.881303, 37.59409</t>
  </si>
  <si>
    <t>ул. Крылатские Холмы, 45, корп. 2</t>
  </si>
  <si>
    <t>Школа 1371</t>
  </si>
  <si>
    <t>55.762166, 37.413709</t>
  </si>
  <si>
    <t>Федоскинская ул., 4</t>
  </si>
  <si>
    <t>Школа 1374</t>
  </si>
  <si>
    <t>55.868773, 37.703748</t>
  </si>
  <si>
    <t>Новгородская ул., 21А</t>
  </si>
  <si>
    <t>Школа 1430</t>
  </si>
  <si>
    <t>55.900824, 37.577984</t>
  </si>
  <si>
    <t>ул. Раменки, 15, корп. 1</t>
  </si>
  <si>
    <t>Школа 1434</t>
  </si>
  <si>
    <t>55.69075, 37.499938</t>
  </si>
  <si>
    <t>Угличская ул., 6А</t>
  </si>
  <si>
    <t>Школа 1449</t>
  </si>
  <si>
    <t>55.894641, 37.570159</t>
  </si>
  <si>
    <t>Брянская ул., 10</t>
  </si>
  <si>
    <t>Школа 1465</t>
  </si>
  <si>
    <t>55.745205, 37.559892</t>
  </si>
  <si>
    <t>ул. Адмирала Лазарева, 61, корп. 1</t>
  </si>
  <si>
    <t>Школа 1492</t>
  </si>
  <si>
    <t>55.537724, 37.508741</t>
  </si>
  <si>
    <t>Большая Марфинская ул., 1, корп. 5</t>
  </si>
  <si>
    <t>Школа 1494</t>
  </si>
  <si>
    <t>55.827808, 37.592087</t>
  </si>
  <si>
    <t>ул. Рословка, 8</t>
  </si>
  <si>
    <t>Школа 1564</t>
  </si>
  <si>
    <t>55.830255, 37.360466</t>
  </si>
  <si>
    <t>ул. Фомичёвой, 5</t>
  </si>
  <si>
    <t>Школа 1571</t>
  </si>
  <si>
    <t>55.85676, 37.444108</t>
  </si>
  <si>
    <t>ул. Усиевича, 6</t>
  </si>
  <si>
    <t>Школа 1575</t>
  </si>
  <si>
    <t>55.80488, 37.531801</t>
  </si>
  <si>
    <t>Ярославское ш., 8, корп. 6</t>
  </si>
  <si>
    <t>Школа 1577</t>
  </si>
  <si>
    <t>55.852672, 37.690471</t>
  </si>
  <si>
    <t>ул. Крылатские Холмы, 28, корп. 1</t>
  </si>
  <si>
    <t>Школа 1593</t>
  </si>
  <si>
    <t>55.764653, 37.41467</t>
  </si>
  <si>
    <t>Приречная ул., 1</t>
  </si>
  <si>
    <t>Школа 1596</t>
  </si>
  <si>
    <t>55.64162, 37.371335</t>
  </si>
  <si>
    <t>Хабаровская ул., 18А, стр. 1</t>
  </si>
  <si>
    <t>Школа 1598</t>
  </si>
  <si>
    <t>55.824516, 37.828021</t>
  </si>
  <si>
    <t>ул. Адмирала Лазарева, 77</t>
  </si>
  <si>
    <t>Школа 1786</t>
  </si>
  <si>
    <t>55.534591, 37.495294</t>
  </si>
  <si>
    <t>ул. Омская, 7</t>
  </si>
  <si>
    <t>Школа 1788</t>
  </si>
  <si>
    <t>55.61814, 37.263133</t>
  </si>
  <si>
    <t>Привольная ул., 37</t>
  </si>
  <si>
    <t>Школа 1793</t>
  </si>
  <si>
    <t>55.691542, 37.851251</t>
  </si>
  <si>
    <t>Дубнинская ул., 18Б</t>
  </si>
  <si>
    <t>Школа 1794</t>
  </si>
  <si>
    <t>55.870072, 37.56777</t>
  </si>
  <si>
    <t>Открытое ш., 23А</t>
  </si>
  <si>
    <t>Школа 1795</t>
  </si>
  <si>
    <t>55.827231, 37.752966</t>
  </si>
  <si>
    <t>Глебовская ул., 10Б</t>
  </si>
  <si>
    <t>Школа 1797</t>
  </si>
  <si>
    <t>55.811831, 37.71512</t>
  </si>
  <si>
    <t>Дубравная ул., 41, корп. 3</t>
  </si>
  <si>
    <t>Школа 1900</t>
  </si>
  <si>
    <t>55.841417, 37.361157</t>
  </si>
  <si>
    <t>ул. Барышиха, 17, корп. 1</t>
  </si>
  <si>
    <t>Школа 1944</t>
  </si>
  <si>
    <t>55.842378, 37.349183</t>
  </si>
  <si>
    <t>Старокачаловская ул., 22</t>
  </si>
  <si>
    <t>Школа 1945</t>
  </si>
  <si>
    <t>55.570472, 37.584685</t>
  </si>
  <si>
    <t>Новочерёмушкинская ул., 64, корп. 2</t>
  </si>
  <si>
    <t>Школа 1948</t>
  </si>
  <si>
    <t>55.664639, 37.559047</t>
  </si>
  <si>
    <t>2-я Напрудная ул., 17А</t>
  </si>
  <si>
    <t>Школа 1955</t>
  </si>
  <si>
    <t>55.879475, 37.688773</t>
  </si>
  <si>
    <t>Чечерский пр., 56</t>
  </si>
  <si>
    <t>Школа 1980</t>
  </si>
  <si>
    <t>55.532487, 37.528774</t>
  </si>
  <si>
    <t>аллея Витте, 2, корп. 1</t>
  </si>
  <si>
    <t>Школа 1981</t>
  </si>
  <si>
    <t>55.550045, 37.537595</t>
  </si>
  <si>
    <t>Ландышевая ул., 8</t>
  </si>
  <si>
    <t>Школа 1985</t>
  </si>
  <si>
    <t>55.886993, 37.39205</t>
  </si>
  <si>
    <t>Перервинский б-р, 21, корп. 4</t>
  </si>
  <si>
    <t>Школа 1987</t>
  </si>
  <si>
    <t>55.658545, 37.775038</t>
  </si>
  <si>
    <t>Родионовская ул., 8</t>
  </si>
  <si>
    <t>Школа 2005</t>
  </si>
  <si>
    <t>55.894192, 37.395778</t>
  </si>
  <si>
    <t>Новороссийская ул., 36</t>
  </si>
  <si>
    <t>Школа 2010</t>
  </si>
  <si>
    <t>55.669356, 37.760566</t>
  </si>
  <si>
    <t>ул. Татьяны Макаровой, 2</t>
  </si>
  <si>
    <t>Школа 2036</t>
  </si>
  <si>
    <t>55.710469, 37.88704</t>
  </si>
  <si>
    <t>Дмитровское ш., 165Е, корп. 8</t>
  </si>
  <si>
    <t>Школа 2044</t>
  </si>
  <si>
    <t>55.926993, 37.542671</t>
  </si>
  <si>
    <t>Трубная ул., 36</t>
  </si>
  <si>
    <t>Школа 2054</t>
  </si>
  <si>
    <t>55.772542, 37.625936</t>
  </si>
  <si>
    <t>г. Московский, 3-й микрорайон, 8</t>
  </si>
  <si>
    <t>Школа 2065</t>
  </si>
  <si>
    <t>55.595511, 37.346802</t>
  </si>
  <si>
    <t>поселение Вороновское, пос. ЛМС, 42А</t>
  </si>
  <si>
    <t>Школа 2073</t>
  </si>
  <si>
    <t>55.30251, 37.190459</t>
  </si>
  <si>
    <t>поселение Щаповское, пос. Щапово, 21</t>
  </si>
  <si>
    <t>Школа 2075</t>
  </si>
  <si>
    <t>55.4184, 37.410843</t>
  </si>
  <si>
    <t>поселение Рязановское, пос. Знамя Октября, мкр. Родники, 11</t>
  </si>
  <si>
    <t>Школа 2083</t>
  </si>
  <si>
    <t>55.46926, 37.541</t>
  </si>
  <si>
    <t>1-я Вольская ул., 22, корп. 2</t>
  </si>
  <si>
    <t>Школа 2089</t>
  </si>
  <si>
    <t>55.682503, 37.92644</t>
  </si>
  <si>
    <t>1-я Новокузьминская ул., 21</t>
  </si>
  <si>
    <t>Школа 2090</t>
  </si>
  <si>
    <t>55.714389, 37.792411</t>
  </si>
  <si>
    <t>поселение Мосрентген, пос. завода Мосрентген, 38</t>
  </si>
  <si>
    <t>Школа 2094</t>
  </si>
  <si>
    <t>55.620581, 37.476429</t>
  </si>
  <si>
    <t>Аэродромная ул., 9</t>
  </si>
  <si>
    <t>Школа 2097</t>
  </si>
  <si>
    <t>55.846866, 37.430328</t>
  </si>
  <si>
    <t>Ангарская ул., 22А</t>
  </si>
  <si>
    <t>Школа 2098</t>
  </si>
  <si>
    <t>55.87437, 37.519234</t>
  </si>
  <si>
    <t>Дегунинская ул., 18</t>
  </si>
  <si>
    <t>Школа 2100</t>
  </si>
  <si>
    <t>55.867359, 37.534316</t>
  </si>
  <si>
    <t>Голубинская ул., 13, корп. 2</t>
  </si>
  <si>
    <t>Школа 2103</t>
  </si>
  <si>
    <t>55.602963, 37.517473</t>
  </si>
  <si>
    <t>1-й Котельнический пер., 5</t>
  </si>
  <si>
    <t>Школа 2104</t>
  </si>
  <si>
    <t>55.743613, 37.646354</t>
  </si>
  <si>
    <t>ул. Гиляровского, 21</t>
  </si>
  <si>
    <t>Школа 2107</t>
  </si>
  <si>
    <t>55.777499, 37.629996</t>
  </si>
  <si>
    <t>б-р Дмитрия Донского, 14А</t>
  </si>
  <si>
    <t>Школа 2114</t>
  </si>
  <si>
    <t>55.565376, 37.570608</t>
  </si>
  <si>
    <t>ул. Цюрупы, 10</t>
  </si>
  <si>
    <t>Школа 2115</t>
  </si>
  <si>
    <t>55.6693, 37.576007</t>
  </si>
  <si>
    <t>г. Щербинка, ул. 40 лет Октября, 5/1</t>
  </si>
  <si>
    <t>Школа 2117</t>
  </si>
  <si>
    <t>55.511776, 37.57006</t>
  </si>
  <si>
    <t>г. Московский, ул. Атласова, 7, корп. 3</t>
  </si>
  <si>
    <t>Школа 2120</t>
  </si>
  <si>
    <t>55.600781, 37.360295</t>
  </si>
  <si>
    <t>ул. Ставропольская, 20</t>
  </si>
  <si>
    <t>Школа 2121</t>
  </si>
  <si>
    <t>55.67926, 37.751987</t>
  </si>
  <si>
    <t>ул. Плющева, 11А</t>
  </si>
  <si>
    <t>Школа 2126</t>
  </si>
  <si>
    <t>55.7426, 37.762668</t>
  </si>
  <si>
    <t>6-я Кожуховская ул., 8</t>
  </si>
  <si>
    <t>Школа 2129</t>
  </si>
  <si>
    <t>55.706487, 37.67219</t>
  </si>
  <si>
    <t>г. Троицк, Октябрьский пр-т, 6</t>
  </si>
  <si>
    <t>Гимназия г. Троицка</t>
  </si>
  <si>
    <t>55.472408, 37.293712</t>
  </si>
  <si>
    <t>г. Троицк, Сиреневый б-р, 4</t>
  </si>
  <si>
    <t>Гимназия им. Н. В. Пушкова</t>
  </si>
  <si>
    <t>55.470423, 37.297979</t>
  </si>
  <si>
    <t>ул. Фотиевой, 18</t>
  </si>
  <si>
    <t>Лицей Вторая школа им. В. Ф. Овчинникова</t>
  </si>
  <si>
    <t>г. Троицк, Школьная ул., 10А</t>
  </si>
  <si>
    <t>Лицей города Троицка</t>
  </si>
  <si>
    <t>55.475368, 37.300808</t>
  </si>
  <si>
    <t>2-й Сельскохозяйственный пр., 4, корп. 1</t>
  </si>
  <si>
    <t>образовательное высшего образования Московский городской педагогический университет</t>
  </si>
  <si>
    <t>55.833643, 37.643471</t>
  </si>
  <si>
    <t>ул. Тихомирова, 10, корп. 1</t>
  </si>
  <si>
    <t>профессиональное образовательное Первый Московский Образовательный Комплекс</t>
  </si>
  <si>
    <t>55.883742, 37.652382</t>
  </si>
  <si>
    <t>Малая Семёновская ул., 15</t>
  </si>
  <si>
    <t>Цифровая школа</t>
  </si>
  <si>
    <t>55.786364, 37.714213</t>
  </si>
  <si>
    <t>ул. Конёнкова, 8А</t>
  </si>
  <si>
    <t>Школа Бибирево</t>
  </si>
  <si>
    <t>55.889649, 37.610179</t>
  </si>
  <si>
    <t>Дмитровское ш., 137А</t>
  </si>
  <si>
    <t>Школа Дмитровский им. Героя Советского Союза В. П. Кислякова</t>
  </si>
  <si>
    <t>Raw данные рейтинга на 2025</t>
  </si>
  <si>
    <t>Место</t>
  </si>
  <si>
    <t>Район</t>
  </si>
  <si>
    <t>Округ</t>
  </si>
  <si>
    <t>1</t>
  </si>
  <si>
    <t>Школа №1502 "Энергия"</t>
  </si>
  <si>
    <t>Ивановское</t>
  </si>
  <si>
    <t>ВАО</t>
  </si>
  <si>
    <t>2</t>
  </si>
  <si>
    <t>Школа №444</t>
  </si>
  <si>
    <t>Измайлово</t>
  </si>
  <si>
    <t>3</t>
  </si>
  <si>
    <t>Школа №2036</t>
  </si>
  <si>
    <t>Косино-Ухтомский</t>
  </si>
  <si>
    <t>4</t>
  </si>
  <si>
    <t>Школа №1543</t>
  </si>
  <si>
    <t>Тропарево-Никулино</t>
  </si>
  <si>
    <t>ЗАО</t>
  </si>
  <si>
    <t>5</t>
  </si>
  <si>
    <t>Школа №2070 им. Г.А. Вартаняна</t>
  </si>
  <si>
    <t>поселение Сосенское</t>
  </si>
  <si>
    <t>НАО</t>
  </si>
  <si>
    <t>6</t>
  </si>
  <si>
    <t>Школа "Летово"</t>
  </si>
  <si>
    <t>7</t>
  </si>
  <si>
    <t>Школа №1568 им. Пабло Неруды</t>
  </si>
  <si>
    <t>Южное Медведково</t>
  </si>
  <si>
    <t>СВАО</t>
  </si>
  <si>
    <t>8</t>
  </si>
  <si>
    <t>Щукино</t>
  </si>
  <si>
    <t>СЗАО</t>
  </si>
  <si>
    <t>9</t>
  </si>
  <si>
    <t>Басманный</t>
  </si>
  <si>
    <t>ЦАО</t>
  </si>
  <si>
    <t>10</t>
  </si>
  <si>
    <t>Школа №1501</t>
  </si>
  <si>
    <t>Тверской</t>
  </si>
  <si>
    <t>11</t>
  </si>
  <si>
    <t>Школа №179</t>
  </si>
  <si>
    <t>12</t>
  </si>
  <si>
    <t>Пятьдесят седьмая школа</t>
  </si>
  <si>
    <t>Хамовники</t>
  </si>
  <si>
    <t>13</t>
  </si>
  <si>
    <t>Школа №1535</t>
  </si>
  <si>
    <t>14</t>
  </si>
  <si>
    <t>Школа ЦПМ</t>
  </si>
  <si>
    <t>Мещанский</t>
  </si>
  <si>
    <t>15</t>
  </si>
  <si>
    <t>Школа №1363</t>
  </si>
  <si>
    <t>Выхино-Жулебино</t>
  </si>
  <si>
    <t>ЮВАО</t>
  </si>
  <si>
    <t>16</t>
  </si>
  <si>
    <t>Школа на Юго-Востоке им. В.И. Чуйкова</t>
  </si>
  <si>
    <t>Кузьминки</t>
  </si>
  <si>
    <t>17</t>
  </si>
  <si>
    <t>Лицей "Вторая школа" им. В.Ф. Овчинникова</t>
  </si>
  <si>
    <t>Гагаринский</t>
  </si>
  <si>
    <t>ЮЗАО</t>
  </si>
  <si>
    <t>18</t>
  </si>
  <si>
    <t>Школа №2007 ФМШ</t>
  </si>
  <si>
    <t>Южное Бутово</t>
  </si>
  <si>
    <t>19</t>
  </si>
  <si>
    <t>Бауманская инженерная школа №1580</t>
  </si>
  <si>
    <t>Нагорный</t>
  </si>
  <si>
    <t>ЮАО</t>
  </si>
  <si>
    <t>20</t>
  </si>
  <si>
    <t>Школа №548 "Царицыно"</t>
  </si>
  <si>
    <t>Орехово-Борисово Южное</t>
  </si>
  <si>
    <t>21</t>
  </si>
  <si>
    <t>Школа №1504</t>
  </si>
  <si>
    <t>22</t>
  </si>
  <si>
    <t>Школа №2127</t>
  </si>
  <si>
    <t>Новокосино</t>
  </si>
  <si>
    <t>23</t>
  </si>
  <si>
    <t>Школа №67</t>
  </si>
  <si>
    <t>Дорогомилово</t>
  </si>
  <si>
    <t>24</t>
  </si>
  <si>
    <t>Школа "Технологии обучения"</t>
  </si>
  <si>
    <t>25</t>
  </si>
  <si>
    <t>Шуваловская школа №1448</t>
  </si>
  <si>
    <t>Раменки</t>
  </si>
  <si>
    <t>26</t>
  </si>
  <si>
    <t>Школа им. А.Н. Колмогорова</t>
  </si>
  <si>
    <t>27</t>
  </si>
  <si>
    <t>Школа-интернат МГУ</t>
  </si>
  <si>
    <t>28</t>
  </si>
  <si>
    <t>Школа №1542</t>
  </si>
  <si>
    <t>Солнцево</t>
  </si>
  <si>
    <t>29</t>
  </si>
  <si>
    <t>30</t>
  </si>
  <si>
    <t>Школа №1317</t>
  </si>
  <si>
    <t>31</t>
  </si>
  <si>
    <t>Школа №1329</t>
  </si>
  <si>
    <t>32</t>
  </si>
  <si>
    <t>Филевский парк</t>
  </si>
  <si>
    <t>33</t>
  </si>
  <si>
    <t>Школа №1194</t>
  </si>
  <si>
    <t>Крюково</t>
  </si>
  <si>
    <t>ЗелАО</t>
  </si>
  <si>
    <t>34</t>
  </si>
  <si>
    <t>Школа №1557 им. П.Л. Капицы</t>
  </si>
  <si>
    <t>Савелки</t>
  </si>
  <si>
    <t>35</t>
  </si>
  <si>
    <t>Школа №2083</t>
  </si>
  <si>
    <t>поселение Рязановское</t>
  </si>
  <si>
    <t>36</t>
  </si>
  <si>
    <t>Школа №152</t>
  </si>
  <si>
    <t>Аэропорт</t>
  </si>
  <si>
    <t>САО</t>
  </si>
  <si>
    <t>37</t>
  </si>
  <si>
    <t>Школа №1575</t>
  </si>
  <si>
    <t>38</t>
  </si>
  <si>
    <t>Школа №2098 им. Л.М. Доватора</t>
  </si>
  <si>
    <t>Западное Дегунино</t>
  </si>
  <si>
    <t>39</t>
  </si>
  <si>
    <t>Школа №1252 им. Сервантеса</t>
  </si>
  <si>
    <t>Сокол</t>
  </si>
  <si>
    <t>40</t>
  </si>
  <si>
    <t>Школа №218</t>
  </si>
  <si>
    <t>Тимирязевский</t>
  </si>
  <si>
    <t>41</t>
  </si>
  <si>
    <t>Школа №1474</t>
  </si>
  <si>
    <t>Ховрино</t>
  </si>
  <si>
    <t>42</t>
  </si>
  <si>
    <t>Пансион воспитанниц МО РФ</t>
  </si>
  <si>
    <t>Хорошевский</t>
  </si>
  <si>
    <t>43</t>
  </si>
  <si>
    <t>Лицей Финуниверситета</t>
  </si>
  <si>
    <t>44</t>
  </si>
  <si>
    <t>Школа №1558 им. Росалии де Кастро</t>
  </si>
  <si>
    <t>Бабушкинский</t>
  </si>
  <si>
    <t>45</t>
  </si>
  <si>
    <t>Школа №1449 им. М.В. Водопьянова</t>
  </si>
  <si>
    <t>Лианозово</t>
  </si>
  <si>
    <t>46</t>
  </si>
  <si>
    <t>Школа Марьина Роща им. В.Ф. Орлова</t>
  </si>
  <si>
    <t>Марьина роща</t>
  </si>
  <si>
    <t>47</t>
  </si>
  <si>
    <t>Школа №1518</t>
  </si>
  <si>
    <t>Останкинский</t>
  </si>
  <si>
    <t>48</t>
  </si>
  <si>
    <t>Школа №1537 "Информационные технологии"</t>
  </si>
  <si>
    <t>Ярославский</t>
  </si>
  <si>
    <t>49</t>
  </si>
  <si>
    <t>Школа №1298 "Профиль Куркино"</t>
  </si>
  <si>
    <t>Куркино</t>
  </si>
  <si>
    <t>50</t>
  </si>
  <si>
    <t>Школа №1538</t>
  </si>
  <si>
    <t>Митино</t>
  </si>
  <si>
    <t>51</t>
  </si>
  <si>
    <t>Школа №1571</t>
  </si>
  <si>
    <t>Северное Тушино</t>
  </si>
  <si>
    <t>52</t>
  </si>
  <si>
    <t>Школа №1517</t>
  </si>
  <si>
    <t>Хорошево-Мневники</t>
  </si>
  <si>
    <t>53</t>
  </si>
  <si>
    <t>54</t>
  </si>
  <si>
    <t>Школа №2107</t>
  </si>
  <si>
    <t>55</t>
  </si>
  <si>
    <t>Школа №2123 им. Мигеля Эрнандеса</t>
  </si>
  <si>
    <t>Пресненский</t>
  </si>
  <si>
    <t>56</t>
  </si>
  <si>
    <t>Школа №1529 им. А.С. Грибоедова</t>
  </si>
  <si>
    <t>57</t>
  </si>
  <si>
    <t>Школа №171</t>
  </si>
  <si>
    <t>58</t>
  </si>
  <si>
    <t>Школа №1359 им. М.Л. Миля</t>
  </si>
  <si>
    <t>59</t>
  </si>
  <si>
    <t>Школа №1547</t>
  </si>
  <si>
    <t>Марьино</t>
  </si>
  <si>
    <t>60</t>
  </si>
  <si>
    <t>Школа №2048</t>
  </si>
  <si>
    <t>Некрасовка</t>
  </si>
  <si>
    <t>61</t>
  </si>
  <si>
    <t>Академическая школа №1534</t>
  </si>
  <si>
    <t>Академический</t>
  </si>
  <si>
    <t>62</t>
  </si>
  <si>
    <t>Школа "Воробьевы горы"</t>
  </si>
  <si>
    <t>63</t>
  </si>
  <si>
    <t>Школа №1533 "ЛИТ"</t>
  </si>
  <si>
    <t>64</t>
  </si>
  <si>
    <t>Школа №192</t>
  </si>
  <si>
    <t>65</t>
  </si>
  <si>
    <t>Школа №1514</t>
  </si>
  <si>
    <t>Ломоносовский</t>
  </si>
  <si>
    <t>66</t>
  </si>
  <si>
    <t>Школа №109</t>
  </si>
  <si>
    <t>Теплый Стан</t>
  </si>
  <si>
    <t>67</t>
  </si>
  <si>
    <t>Школа №1532</t>
  </si>
  <si>
    <t>68</t>
  </si>
  <si>
    <t>Школа №1980</t>
  </si>
  <si>
    <t>69</t>
  </si>
  <si>
    <t>Предуниверситарий МИФИ</t>
  </si>
  <si>
    <t>Москворечье-Сабурово</t>
  </si>
  <si>
    <t>70</t>
  </si>
  <si>
    <t>Школа №1158</t>
  </si>
  <si>
    <t>Чертаново Северное</t>
  </si>
  <si>
    <t>71</t>
  </si>
  <si>
    <t>Школа №1797 "Богородская"</t>
  </si>
  <si>
    <t>Богородское</t>
  </si>
  <si>
    <t>72</t>
  </si>
  <si>
    <t>Вешняки</t>
  </si>
  <si>
    <t>73</t>
  </si>
  <si>
    <t>Школа №1512 им. Алии Молдагуловой</t>
  </si>
  <si>
    <t>74</t>
  </si>
  <si>
    <t>Школа №1290</t>
  </si>
  <si>
    <t>75</t>
  </si>
  <si>
    <t>Школа №2026</t>
  </si>
  <si>
    <t>76</t>
  </si>
  <si>
    <t>Школа №2031</t>
  </si>
  <si>
    <t>77</t>
  </si>
  <si>
    <t>Школа №1505 "Преображенская"</t>
  </si>
  <si>
    <t>Преображенское</t>
  </si>
  <si>
    <t>78</t>
  </si>
  <si>
    <t>Школа №1748 "Вертикаль"</t>
  </si>
  <si>
    <t>Северное Измайлово</t>
  </si>
  <si>
    <t>79</t>
  </si>
  <si>
    <t>Школа №1362</t>
  </si>
  <si>
    <t>Соколиная Гора</t>
  </si>
  <si>
    <t>80</t>
  </si>
  <si>
    <t>Школа №1584</t>
  </si>
  <si>
    <t>Кунцево</t>
  </si>
  <si>
    <t>81</t>
  </si>
  <si>
    <t>Школа №1400</t>
  </si>
  <si>
    <t>Можайский</t>
  </si>
  <si>
    <t>82</t>
  </si>
  <si>
    <t>Школа №1018</t>
  </si>
  <si>
    <t>Ново-Переделкино</t>
  </si>
  <si>
    <t>83</t>
  </si>
  <si>
    <t>Школа №1467</t>
  </si>
  <si>
    <t>84</t>
  </si>
  <si>
    <t>Школа №814</t>
  </si>
  <si>
    <t>85</t>
  </si>
  <si>
    <t>Школа №1000</t>
  </si>
  <si>
    <t>86</t>
  </si>
  <si>
    <t>87</t>
  </si>
  <si>
    <t>Фили-Давыдково</t>
  </si>
  <si>
    <t>88</t>
  </si>
  <si>
    <t>Школа №1589</t>
  </si>
  <si>
    <t>89</t>
  </si>
  <si>
    <t>Школа №2101</t>
  </si>
  <si>
    <t>90</t>
  </si>
  <si>
    <t>Школа №1150 им. К.К. Рокоссовского</t>
  </si>
  <si>
    <t>91</t>
  </si>
  <si>
    <t>Школа №1151</t>
  </si>
  <si>
    <t>92</t>
  </si>
  <si>
    <t>Школа №2065</t>
  </si>
  <si>
    <t>поселение Московский</t>
  </si>
  <si>
    <t>93</t>
  </si>
  <si>
    <t>ИТШ им. П.Р. Поповича</t>
  </si>
  <si>
    <t>94</t>
  </si>
  <si>
    <t>Школа-интернат №2</t>
  </si>
  <si>
    <t>95</t>
  </si>
  <si>
    <t>Школа №1570</t>
  </si>
  <si>
    <t>Беговой</t>
  </si>
  <si>
    <t>96</t>
  </si>
  <si>
    <t>Школа №224</t>
  </si>
  <si>
    <t>Войковский</t>
  </si>
  <si>
    <t>97</t>
  </si>
  <si>
    <t>Школа "Дмитровский" им. В.П. Кислякова</t>
  </si>
  <si>
    <t>Дмитровский</t>
  </si>
  <si>
    <t>98</t>
  </si>
  <si>
    <t>Школа №1576</t>
  </si>
  <si>
    <t>Коптево</t>
  </si>
  <si>
    <t>99</t>
  </si>
  <si>
    <t>Школа №185 им. В.С. Гризодубовой</t>
  </si>
  <si>
    <t>100</t>
  </si>
  <si>
    <t>Школа №1590 им. В.В. Колесника</t>
  </si>
  <si>
    <t>101</t>
  </si>
  <si>
    <t>Школа №597 "Новое поколение"</t>
  </si>
  <si>
    <t>102</t>
  </si>
  <si>
    <t>Школа №648 им. А.Г. Карлова</t>
  </si>
  <si>
    <t>103</t>
  </si>
  <si>
    <t>Школа №1287</t>
  </si>
  <si>
    <t>104</t>
  </si>
  <si>
    <t>Школа №1288 им. Н.В. Троян</t>
  </si>
  <si>
    <t>105</t>
  </si>
  <si>
    <t>Школа №1409</t>
  </si>
  <si>
    <t>106</t>
  </si>
  <si>
    <t>Школа №1539</t>
  </si>
  <si>
    <t>Алексеевский</t>
  </si>
  <si>
    <t>107</t>
  </si>
  <si>
    <t>Школа-интернат №1</t>
  </si>
  <si>
    <t>108</t>
  </si>
  <si>
    <t>Школа Глория</t>
  </si>
  <si>
    <t>Бибирево</t>
  </si>
  <si>
    <t>109</t>
  </si>
  <si>
    <t>Школа №1430 им. Г.В. Кисунько</t>
  </si>
  <si>
    <t>110</t>
  </si>
  <si>
    <t>Школа №1573</t>
  </si>
  <si>
    <t>111</t>
  </si>
  <si>
    <t>Школа №1955</t>
  </si>
  <si>
    <t>Лосиноостровский</t>
  </si>
  <si>
    <t>112</t>
  </si>
  <si>
    <t>Школа №1411</t>
  </si>
  <si>
    <t>Отрадное</t>
  </si>
  <si>
    <t>113</t>
  </si>
  <si>
    <t>Свиблово</t>
  </si>
  <si>
    <t>114</t>
  </si>
  <si>
    <t>Школа №1506</t>
  </si>
  <si>
    <t>Северное Медведково</t>
  </si>
  <si>
    <t>115</t>
  </si>
  <si>
    <t>Школа №2044 им. А.М. Серебрякова</t>
  </si>
  <si>
    <t>116</t>
  </si>
  <si>
    <t>Школа №709 им. В.И. Долгих</t>
  </si>
  <si>
    <t>117</t>
  </si>
  <si>
    <t>Школа №2005</t>
  </si>
  <si>
    <t>118</t>
  </si>
  <si>
    <t>Школа №1564 им. А.П. Белобородова</t>
  </si>
  <si>
    <t>119</t>
  </si>
  <si>
    <t>Школа №1944</t>
  </si>
  <si>
    <t>120</t>
  </si>
  <si>
    <t>Школа №827</t>
  </si>
  <si>
    <t>121</t>
  </si>
  <si>
    <t>Школа №58</t>
  </si>
  <si>
    <t>Строгино</t>
  </si>
  <si>
    <t>122</t>
  </si>
  <si>
    <t>Хорошевская школа</t>
  </si>
  <si>
    <t>123</t>
  </si>
  <si>
    <t>Школа №2097</t>
  </si>
  <si>
    <t>Южное Тушино</t>
  </si>
  <si>
    <t>124</t>
  </si>
  <si>
    <t>Школа №1234</t>
  </si>
  <si>
    <t>Арбат</t>
  </si>
  <si>
    <t>125</t>
  </si>
  <si>
    <t>Школа №627 им. Д.Д. Лелюшенко</t>
  </si>
  <si>
    <t>Замоскворечье</t>
  </si>
  <si>
    <t>126</t>
  </si>
  <si>
    <t>Школа №2054</t>
  </si>
  <si>
    <t>127</t>
  </si>
  <si>
    <t>128</t>
  </si>
  <si>
    <t>Школа №1520 им. Капцовых</t>
  </si>
  <si>
    <t>129</t>
  </si>
  <si>
    <t>Школа №1950</t>
  </si>
  <si>
    <t>130</t>
  </si>
  <si>
    <t>Инженерная Школа №1581</t>
  </si>
  <si>
    <t>Таганский</t>
  </si>
  <si>
    <t>131</t>
  </si>
  <si>
    <t>Школа №498</t>
  </si>
  <si>
    <t>132</t>
  </si>
  <si>
    <t>Школа №1574</t>
  </si>
  <si>
    <t>133</t>
  </si>
  <si>
    <t>Школа №1253</t>
  </si>
  <si>
    <t>134</t>
  </si>
  <si>
    <t>Медицинский Сеченовский Предуниверсарий</t>
  </si>
  <si>
    <t>135</t>
  </si>
  <si>
    <t>Школа №1799</t>
  </si>
  <si>
    <t>Якиманка</t>
  </si>
  <si>
    <t>136</t>
  </si>
  <si>
    <t>Школа №1420</t>
  </si>
  <si>
    <t>137</t>
  </si>
  <si>
    <t>Школа №1793 им. А.К. Новикова</t>
  </si>
  <si>
    <t>138</t>
  </si>
  <si>
    <t>Школа №1208 им. М.С. Шумилова</t>
  </si>
  <si>
    <t>139</t>
  </si>
  <si>
    <t>Марьинская школа №1566</t>
  </si>
  <si>
    <t>140</t>
  </si>
  <si>
    <t>Школа "Марьино" им. А.Е. Голованова</t>
  </si>
  <si>
    <t>141</t>
  </si>
  <si>
    <t>Школа им. Артема Боровика</t>
  </si>
  <si>
    <t>142</t>
  </si>
  <si>
    <t>Школа №1357 "На Братиславской"</t>
  </si>
  <si>
    <t>143</t>
  </si>
  <si>
    <t>Школа №2087 "Открытие"</t>
  </si>
  <si>
    <t>144</t>
  </si>
  <si>
    <t>Школа №491 "Марьино"</t>
  </si>
  <si>
    <t>145</t>
  </si>
  <si>
    <t>146</t>
  </si>
  <si>
    <t>Школа №2051</t>
  </si>
  <si>
    <t>147</t>
  </si>
  <si>
    <t>Школа №1367</t>
  </si>
  <si>
    <t>Рязанский</t>
  </si>
  <si>
    <t>148</t>
  </si>
  <si>
    <t>Школа №777 им. Е.В. Михайлова</t>
  </si>
  <si>
    <t>149</t>
  </si>
  <si>
    <t>Школа №654 им. А.Д. Фридмана</t>
  </si>
  <si>
    <t>Текстильщики</t>
  </si>
  <si>
    <t>150</t>
  </si>
  <si>
    <t>Школа №199</t>
  </si>
  <si>
    <t>151</t>
  </si>
  <si>
    <t>Школа №625</t>
  </si>
  <si>
    <t>152</t>
  </si>
  <si>
    <t>Школа №2086</t>
  </si>
  <si>
    <t>153</t>
  </si>
  <si>
    <t>Школа №17</t>
  </si>
  <si>
    <t>Коньково</t>
  </si>
  <si>
    <t>154</t>
  </si>
  <si>
    <t>Школа №117</t>
  </si>
  <si>
    <t>155</t>
  </si>
  <si>
    <t>Школа №118</t>
  </si>
  <si>
    <t>156</t>
  </si>
  <si>
    <t>Школа №2114</t>
  </si>
  <si>
    <t>Северное Бутово</t>
  </si>
  <si>
    <t>157</t>
  </si>
  <si>
    <t>Школа №1507</t>
  </si>
  <si>
    <t>158</t>
  </si>
  <si>
    <t>Школа №1948 "Лингвист-М"</t>
  </si>
  <si>
    <t>Черемушки</t>
  </si>
  <si>
    <t>159</t>
  </si>
  <si>
    <t>Школа №1354 "Вектор"</t>
  </si>
  <si>
    <t>160</t>
  </si>
  <si>
    <t>Школа №1883 "Бутово"</t>
  </si>
  <si>
    <t>161</t>
  </si>
  <si>
    <t>Школа №2009</t>
  </si>
  <si>
    <t>162</t>
  </si>
  <si>
    <t>Школа №508</t>
  </si>
  <si>
    <t>Бирюлево Восточное</t>
  </si>
  <si>
    <t>163</t>
  </si>
  <si>
    <t>Школа №947</t>
  </si>
  <si>
    <t>164</t>
  </si>
  <si>
    <t>Школа №1553 им. В.И. Вернадского</t>
  </si>
  <si>
    <t>Даниловский</t>
  </si>
  <si>
    <t>165</t>
  </si>
  <si>
    <t>Школа №1552</t>
  </si>
  <si>
    <t>Зябликово</t>
  </si>
  <si>
    <t>166</t>
  </si>
  <si>
    <t>Школа №1569 "Созвездие"</t>
  </si>
  <si>
    <t>167</t>
  </si>
  <si>
    <t>Школа №1579</t>
  </si>
  <si>
    <t>168</t>
  </si>
  <si>
    <t>Школа №507</t>
  </si>
  <si>
    <t>Нагатино-Садовники</t>
  </si>
  <si>
    <t>169</t>
  </si>
  <si>
    <t>Школа №544</t>
  </si>
  <si>
    <t>170</t>
  </si>
  <si>
    <t>Школа №1173</t>
  </si>
  <si>
    <t>Чертаново Центральное</t>
  </si>
  <si>
    <t>171</t>
  </si>
  <si>
    <t>Школа №1811 Восточное Измайлово</t>
  </si>
  <si>
    <t>Восточное Измайлово</t>
  </si>
  <si>
    <t>172</t>
  </si>
  <si>
    <t>Школа №1352</t>
  </si>
  <si>
    <t>Гольяново</t>
  </si>
  <si>
    <t>173</t>
  </si>
  <si>
    <t>Измайловская Школа №1508</t>
  </si>
  <si>
    <t>174</t>
  </si>
  <si>
    <t>Школа №1852</t>
  </si>
  <si>
    <t>Перово</t>
  </si>
  <si>
    <t>175</t>
  </si>
  <si>
    <t>Школа №1080</t>
  </si>
  <si>
    <t>176</t>
  </si>
  <si>
    <t>Школа №2033</t>
  </si>
  <si>
    <t>177</t>
  </si>
  <si>
    <t>Школа №1371 "Крылатское"</t>
  </si>
  <si>
    <t>Крылатское</t>
  </si>
  <si>
    <t>178</t>
  </si>
  <si>
    <t>Школа №1293</t>
  </si>
  <si>
    <t>179</t>
  </si>
  <si>
    <t>Школа №1238</t>
  </si>
  <si>
    <t>180</t>
  </si>
  <si>
    <t>Школа №2025</t>
  </si>
  <si>
    <t>181</t>
  </si>
  <si>
    <t>Школа №1306 "Школа молодых политиков"</t>
  </si>
  <si>
    <t>182</t>
  </si>
  <si>
    <t>Школа №1434 "Раменки"</t>
  </si>
  <si>
    <t>183</t>
  </si>
  <si>
    <t>Школа №1002</t>
  </si>
  <si>
    <t>184</t>
  </si>
  <si>
    <t>Школа №1347</t>
  </si>
  <si>
    <t>185</t>
  </si>
  <si>
    <t>Школа №2117</t>
  </si>
  <si>
    <t>город поселение Рязановское</t>
  </si>
  <si>
    <t>186</t>
  </si>
  <si>
    <t>Бескудниковский</t>
  </si>
  <si>
    <t>187</t>
  </si>
  <si>
    <t>Школа №201</t>
  </si>
  <si>
    <t>188</t>
  </si>
  <si>
    <t>Школа №1315</t>
  </si>
  <si>
    <t>Головинский</t>
  </si>
  <si>
    <t>189</t>
  </si>
  <si>
    <t>Школа №1583 им. К.А. Керимова</t>
  </si>
  <si>
    <t>190</t>
  </si>
  <si>
    <t>Школа №1251 им. Шарля де Голля</t>
  </si>
  <si>
    <t>191</t>
  </si>
  <si>
    <t>Школа №1415 Останкино</t>
  </si>
  <si>
    <t>192</t>
  </si>
  <si>
    <t>Школа №962</t>
  </si>
  <si>
    <t>193</t>
  </si>
  <si>
    <t>Школа №1499 им. И.А. Докукина</t>
  </si>
  <si>
    <t>Ростокино</t>
  </si>
  <si>
    <t>194</t>
  </si>
  <si>
    <t>Школа №138</t>
  </si>
  <si>
    <t>195</t>
  </si>
  <si>
    <t>Школа №1522 им. В.И. Чуркина</t>
  </si>
  <si>
    <t>196</t>
  </si>
  <si>
    <t>Школа №1551</t>
  </si>
  <si>
    <t>197</t>
  </si>
  <si>
    <t>Школа №1259</t>
  </si>
  <si>
    <t>198</t>
  </si>
  <si>
    <t>Экономический лицей им. Г.В Плеханова</t>
  </si>
  <si>
    <t>199</t>
  </si>
  <si>
    <t>Школа №2030</t>
  </si>
  <si>
    <t>200</t>
  </si>
  <si>
    <t>Школа №1468</t>
  </si>
  <si>
    <t>201</t>
  </si>
  <si>
    <t>Школа №2104 на Таганке</t>
  </si>
  <si>
    <t>202</t>
  </si>
  <si>
    <t>Школа №1540</t>
  </si>
  <si>
    <t>203</t>
  </si>
  <si>
    <t>Предуниверситарий МГЛУ</t>
  </si>
  <si>
    <t>204</t>
  </si>
  <si>
    <t>Школа им. В.В. Маяковского</t>
  </si>
  <si>
    <t>Южнопортовый</t>
  </si>
  <si>
    <t>205</t>
  </si>
  <si>
    <t>Школа №1279 "Эврика"</t>
  </si>
  <si>
    <t>Зюзино</t>
  </si>
  <si>
    <t>206</t>
  </si>
  <si>
    <t>Школа №1273</t>
  </si>
  <si>
    <t>207</t>
  </si>
  <si>
    <t>Школа №626 им. Н.И. Сац</t>
  </si>
  <si>
    <t>Котловка</t>
  </si>
  <si>
    <t>208</t>
  </si>
  <si>
    <t>Школа №2006</t>
  </si>
  <si>
    <t>209</t>
  </si>
  <si>
    <t>Школа №1101</t>
  </si>
  <si>
    <t>210</t>
  </si>
  <si>
    <t>Школа №1205</t>
  </si>
  <si>
    <t>211</t>
  </si>
  <si>
    <t>Школа №1355</t>
  </si>
  <si>
    <t>212</t>
  </si>
  <si>
    <t>Школа №1492</t>
  </si>
  <si>
    <t>213</t>
  </si>
  <si>
    <t>Школа №1034 им. В.В. Маркина</t>
  </si>
  <si>
    <t>Братеево</t>
  </si>
  <si>
    <t>214</t>
  </si>
  <si>
    <t>Школа №2116 "Зябликово"</t>
  </si>
  <si>
    <t>215</t>
  </si>
  <si>
    <t>Школа №1375</t>
  </si>
  <si>
    <t>216</t>
  </si>
  <si>
    <t>Школа №1770</t>
  </si>
  <si>
    <t>Нагатинский затон</t>
  </si>
  <si>
    <t>217</t>
  </si>
  <si>
    <t>Школа №878</t>
  </si>
  <si>
    <t>Орехово-Борисово Северное</t>
  </si>
  <si>
    <t>218</t>
  </si>
  <si>
    <t>Школа №949</t>
  </si>
  <si>
    <t>219</t>
  </si>
  <si>
    <t>Школа №1582</t>
  </si>
  <si>
    <t>220</t>
  </si>
  <si>
    <t>Школа №629</t>
  </si>
  <si>
    <t>Чертаново Южное</t>
  </si>
  <si>
    <t>221</t>
  </si>
  <si>
    <t>Школа №1516</t>
  </si>
  <si>
    <t>222</t>
  </si>
  <si>
    <t>Школа №922</t>
  </si>
  <si>
    <t>223</t>
  </si>
  <si>
    <t>Школа №1246</t>
  </si>
  <si>
    <t>Метрогородок</t>
  </si>
  <si>
    <t>224</t>
  </si>
  <si>
    <t>Школа №1795 "Лосиноостровская"</t>
  </si>
  <si>
    <t>225</t>
  </si>
  <si>
    <t>Школа №2072</t>
  </si>
  <si>
    <t>226</t>
  </si>
  <si>
    <t>Школа №429 "Соколиная гора"</t>
  </si>
  <si>
    <t>227</t>
  </si>
  <si>
    <t>Школа №1282 "Сокольники"</t>
  </si>
  <si>
    <t>Сокольники</t>
  </si>
  <si>
    <t>228</t>
  </si>
  <si>
    <t>Школа №1530 "Школа Ломоносова"</t>
  </si>
  <si>
    <t>229</t>
  </si>
  <si>
    <t>Школа №1440</t>
  </si>
  <si>
    <t>230</t>
  </si>
  <si>
    <t>Школа №1593</t>
  </si>
  <si>
    <t>231</t>
  </si>
  <si>
    <t>Школа №887</t>
  </si>
  <si>
    <t>232</t>
  </si>
  <si>
    <t>Школа №1195 им. П.И. Меренкова</t>
  </si>
  <si>
    <t>233</t>
  </si>
  <si>
    <t>Школа №1596</t>
  </si>
  <si>
    <t>234</t>
  </si>
  <si>
    <t>ЦОиС "Москва-98" Москомспорта</t>
  </si>
  <si>
    <t>Проспект Вернадского</t>
  </si>
  <si>
    <t>235</t>
  </si>
  <si>
    <t>Школа №1541</t>
  </si>
  <si>
    <t>236</t>
  </si>
  <si>
    <t>Школа №1498 "Московская Международная Школа"</t>
  </si>
  <si>
    <t>237</t>
  </si>
  <si>
    <t>Школа №37</t>
  </si>
  <si>
    <t>238</t>
  </si>
  <si>
    <t>ОАНО "Новая Школа"</t>
  </si>
  <si>
    <t>239</t>
  </si>
  <si>
    <t>Школа №1741</t>
  </si>
  <si>
    <t>Тропарёво-Никулино</t>
  </si>
  <si>
    <t>240</t>
  </si>
  <si>
    <t>Школа №2045 им. Д.А. Разумовского</t>
  </si>
  <si>
    <t>241</t>
  </si>
  <si>
    <t>Школа №1353 им. Д.Ф. Алексеева</t>
  </si>
  <si>
    <t>Матушкино</t>
  </si>
  <si>
    <t>242</t>
  </si>
  <si>
    <t>Школа №618</t>
  </si>
  <si>
    <t>243</t>
  </si>
  <si>
    <t>Школа №853</t>
  </si>
  <si>
    <t>Старое Крюково</t>
  </si>
  <si>
    <t>244</t>
  </si>
  <si>
    <t>Школа №2094</t>
  </si>
  <si>
    <t>Коммунарка</t>
  </si>
  <si>
    <t>245</t>
  </si>
  <si>
    <t>Школа №547</t>
  </si>
  <si>
    <t>246</t>
  </si>
  <si>
    <t>Школа №2109</t>
  </si>
  <si>
    <t>Щербинка</t>
  </si>
  <si>
    <t>247</t>
  </si>
  <si>
    <t>Школа №771</t>
  </si>
  <si>
    <t>248</t>
  </si>
  <si>
    <t>Школа №2100</t>
  </si>
  <si>
    <t>249</t>
  </si>
  <si>
    <t>Школа №1223</t>
  </si>
  <si>
    <t>250</t>
  </si>
  <si>
    <t>Школа №158</t>
  </si>
  <si>
    <t>Левобережный</t>
  </si>
  <si>
    <t>251</t>
  </si>
  <si>
    <t>Молжаниновский</t>
  </si>
  <si>
    <t>252</t>
  </si>
  <si>
    <t>Школа №1384 им. А.А. Леманского</t>
  </si>
  <si>
    <t>253</t>
  </si>
  <si>
    <t>Школа №1454 "Тимирязевская"</t>
  </si>
  <si>
    <t>254</t>
  </si>
  <si>
    <t>Школа №141 им. Рихарда Зорге</t>
  </si>
  <si>
    <t>255</t>
  </si>
  <si>
    <t>Школа №293 им. А.Т. Твардовского</t>
  </si>
  <si>
    <t>256</t>
  </si>
  <si>
    <t>Школа №1370</t>
  </si>
  <si>
    <t>Алтуфьевский</t>
  </si>
  <si>
    <t>257</t>
  </si>
  <si>
    <t>Школа №953</t>
  </si>
  <si>
    <t>258</t>
  </si>
  <si>
    <t>Школа №763</t>
  </si>
  <si>
    <t>259</t>
  </si>
  <si>
    <t>Гимназия РУТ (МИИТ)</t>
  </si>
  <si>
    <t>Марьина Роща</t>
  </si>
  <si>
    <t>260</t>
  </si>
  <si>
    <t>Школа "ШИК 16"</t>
  </si>
  <si>
    <t>261</t>
  </si>
  <si>
    <t>Школа №1554</t>
  </si>
  <si>
    <t>262</t>
  </si>
  <si>
    <t>Школа №950</t>
  </si>
  <si>
    <t>263</t>
  </si>
  <si>
    <t>Школа №283</t>
  </si>
  <si>
    <t>264</t>
  </si>
  <si>
    <t>Школа №1577</t>
  </si>
  <si>
    <t>265</t>
  </si>
  <si>
    <t>Школа №1358</t>
  </si>
  <si>
    <t>266</t>
  </si>
  <si>
    <t>Школа №1544</t>
  </si>
  <si>
    <t>267</t>
  </si>
  <si>
    <t>Школа №1900</t>
  </si>
  <si>
    <t>268</t>
  </si>
  <si>
    <t>Школа №1286</t>
  </si>
  <si>
    <t>269</t>
  </si>
  <si>
    <t>Школа №1155</t>
  </si>
  <si>
    <t>270</t>
  </si>
  <si>
    <t>Школа №1302</t>
  </si>
  <si>
    <t>271</t>
  </si>
  <si>
    <t>Школа №1519</t>
  </si>
  <si>
    <t>272</t>
  </si>
  <si>
    <t>Школа №1560 "Лидер"</t>
  </si>
  <si>
    <t>273</t>
  </si>
  <si>
    <t>Школа №1212 "Щукино"</t>
  </si>
  <si>
    <t>274</t>
  </si>
  <si>
    <t>Школа №2073</t>
  </si>
  <si>
    <t>Вороново</t>
  </si>
  <si>
    <t>ТАО</t>
  </si>
  <si>
    <t>275</t>
  </si>
  <si>
    <t>ГАОУ Гимназия им. Н.В. Пушкова</t>
  </si>
  <si>
    <t>Троицк</t>
  </si>
  <si>
    <t>276</t>
  </si>
  <si>
    <t>277</t>
  </si>
  <si>
    <t>Школа №1392 им. Д.В. Рябинкина</t>
  </si>
  <si>
    <t>278</t>
  </si>
  <si>
    <t>Школа №1231 им. В.Д. Поленова</t>
  </si>
  <si>
    <t>279</t>
  </si>
  <si>
    <t>Школа №315</t>
  </si>
  <si>
    <t>Красносельский</t>
  </si>
  <si>
    <t>280</t>
  </si>
  <si>
    <t>Школа №1270 "Вектор"</t>
  </si>
  <si>
    <t>281</t>
  </si>
  <si>
    <t>Школа №1905</t>
  </si>
  <si>
    <t>282</t>
  </si>
  <si>
    <t>Школа №2010 им. М.П. Судакова</t>
  </si>
  <si>
    <t>Люблино</t>
  </si>
  <si>
    <t>283</t>
  </si>
  <si>
    <t>Школа №2121 им. С.К. Куркоткина</t>
  </si>
  <si>
    <t>284</t>
  </si>
  <si>
    <t>Школа №2089</t>
  </si>
  <si>
    <t>285</t>
  </si>
  <si>
    <t>Школа №1222 им. И.Х. Баграмяна</t>
  </si>
  <si>
    <t>Нижегородский</t>
  </si>
  <si>
    <t>286</t>
  </si>
  <si>
    <t>Школа им. И.С. Полбина</t>
  </si>
  <si>
    <t>Печатники</t>
  </si>
  <si>
    <t>287</t>
  </si>
  <si>
    <t>Школа №2115</t>
  </si>
  <si>
    <t>288</t>
  </si>
  <si>
    <t>Газпром школа</t>
  </si>
  <si>
    <t>289</t>
  </si>
  <si>
    <t>Школа №1368</t>
  </si>
  <si>
    <t>290</t>
  </si>
  <si>
    <t>Школа №1786</t>
  </si>
  <si>
    <t>291</t>
  </si>
  <si>
    <t>Школа №1206</t>
  </si>
  <si>
    <t>Ясенево</t>
  </si>
  <si>
    <t>292</t>
  </si>
  <si>
    <t>Школа №1561</t>
  </si>
  <si>
    <t>293</t>
  </si>
  <si>
    <t>Школа №2103</t>
  </si>
  <si>
    <t>294</t>
  </si>
  <si>
    <t>Школа №667 им. К.Я. Самсонова</t>
  </si>
  <si>
    <t>Бирюлево Западное</t>
  </si>
  <si>
    <t>295</t>
  </si>
  <si>
    <t>Школа №1998 "Лукоморье"</t>
  </si>
  <si>
    <t>296</t>
  </si>
  <si>
    <t>Школа №463 им. Д.Н. Медведева</t>
  </si>
  <si>
    <t>Нагатинский Затон</t>
  </si>
  <si>
    <t>297</t>
  </si>
  <si>
    <t>Школа №1862</t>
  </si>
  <si>
    <t>298</t>
  </si>
  <si>
    <t>Школа №904</t>
  </si>
  <si>
    <t>Царицыно</t>
  </si>
  <si>
    <t>299</t>
  </si>
  <si>
    <t>Школа №1245</t>
  </si>
  <si>
    <t>300</t>
  </si>
  <si>
    <t>Школа №924</t>
  </si>
  <si>
    <t>301</t>
  </si>
  <si>
    <t>Школа №1360</t>
  </si>
  <si>
    <t>302</t>
  </si>
  <si>
    <t>Школа №734 им. А.Н. Тубельского</t>
  </si>
  <si>
    <t>303</t>
  </si>
  <si>
    <t>Школа №1598</t>
  </si>
  <si>
    <t>304</t>
  </si>
  <si>
    <t>Школа №368 "Лосиный остров"</t>
  </si>
  <si>
    <t>305</t>
  </si>
  <si>
    <t>Школа №1798 "Феникс"</t>
  </si>
  <si>
    <t>Новогиреево</t>
  </si>
  <si>
    <t>306</t>
  </si>
  <si>
    <t>Школа №1591</t>
  </si>
  <si>
    <t>307</t>
  </si>
  <si>
    <t>308</t>
  </si>
  <si>
    <t>Школа №1637</t>
  </si>
  <si>
    <t>309</t>
  </si>
  <si>
    <t>Школа №2126 "Перово"</t>
  </si>
  <si>
    <t>310</t>
  </si>
  <si>
    <t>Школа №920</t>
  </si>
  <si>
    <t>311</t>
  </si>
  <si>
    <t>Школа №2200</t>
  </si>
  <si>
    <t>312</t>
  </si>
  <si>
    <t>Школа-интернат №30 им. К.А. Микаэльяна</t>
  </si>
  <si>
    <t>313</t>
  </si>
  <si>
    <t>Школа №56 им. В.А. Легасова</t>
  </si>
  <si>
    <t>314</t>
  </si>
  <si>
    <t>Школа №64</t>
  </si>
  <si>
    <t>315</t>
  </si>
  <si>
    <t>Школа №806</t>
  </si>
  <si>
    <t>316</t>
  </si>
  <si>
    <t>317</t>
  </si>
  <si>
    <t>Гимназия "Сколково"</t>
  </si>
  <si>
    <t>318</t>
  </si>
  <si>
    <t>Школа №14</t>
  </si>
  <si>
    <t>319</t>
  </si>
  <si>
    <t>Школа №875</t>
  </si>
  <si>
    <t>320</t>
  </si>
  <si>
    <t>Школа №1248</t>
  </si>
  <si>
    <t>321</t>
  </si>
  <si>
    <t>Школа №97</t>
  </si>
  <si>
    <t>322</t>
  </si>
  <si>
    <t>Школа №1788</t>
  </si>
  <si>
    <t>Внуково</t>
  </si>
  <si>
    <t>323</t>
  </si>
  <si>
    <t>Школа №338 им. А.Ф. Авдеева</t>
  </si>
  <si>
    <t>324</t>
  </si>
  <si>
    <t>Школа №2120</t>
  </si>
  <si>
    <t>Филимонковский</t>
  </si>
  <si>
    <t>325</t>
  </si>
  <si>
    <t>Школа №2122 им. О.А. Юрасова</t>
  </si>
  <si>
    <t>326</t>
  </si>
  <si>
    <t>Школа №1550</t>
  </si>
  <si>
    <t>327</t>
  </si>
  <si>
    <t>Школа им. Е.Н. Чернышева</t>
  </si>
  <si>
    <t>328</t>
  </si>
  <si>
    <t>Школа №1383</t>
  </si>
  <si>
    <t>329</t>
  </si>
  <si>
    <t>Школа №656 им. А.С. Макаренко</t>
  </si>
  <si>
    <t>330</t>
  </si>
  <si>
    <t>Школа №1250</t>
  </si>
  <si>
    <t>331</t>
  </si>
  <si>
    <t>Школа №1296</t>
  </si>
  <si>
    <t>Восточное Дегунино</t>
  </si>
  <si>
    <t>332</t>
  </si>
  <si>
    <t>Школа №1794 им. А.С. Чуфистова</t>
  </si>
  <si>
    <t>333</t>
  </si>
  <si>
    <t>Школа №1159</t>
  </si>
  <si>
    <t>334</t>
  </si>
  <si>
    <t>Школа №236 им. Г.И. Щедрина</t>
  </si>
  <si>
    <t>335</t>
  </si>
  <si>
    <t>Школа №1125 им. Я.Н. Федоренко</t>
  </si>
  <si>
    <t>336</t>
  </si>
  <si>
    <t>Школа №1164</t>
  </si>
  <si>
    <t>Савеловский</t>
  </si>
  <si>
    <t>337</t>
  </si>
  <si>
    <t>Школа №1601 им. Е.К. Лютцкова</t>
  </si>
  <si>
    <t>338</t>
  </si>
  <si>
    <t>Школа №1249</t>
  </si>
  <si>
    <t>339</t>
  </si>
  <si>
    <t>Предуниверсарий МАИ</t>
  </si>
  <si>
    <t>340</t>
  </si>
  <si>
    <t>Школа №1503</t>
  </si>
  <si>
    <t>341</t>
  </si>
  <si>
    <t>Школа №1095</t>
  </si>
  <si>
    <t>342</t>
  </si>
  <si>
    <t>Школа №281</t>
  </si>
  <si>
    <t>343</t>
  </si>
  <si>
    <t>Школа №1412</t>
  </si>
  <si>
    <t>344</t>
  </si>
  <si>
    <t>Школа №1413</t>
  </si>
  <si>
    <t>345</t>
  </si>
  <si>
    <t>Школа №1236 им. С.В. Милашенкова</t>
  </si>
  <si>
    <t>Бутырский</t>
  </si>
  <si>
    <t>346</t>
  </si>
  <si>
    <t>Школа №1416 "Лианозово"</t>
  </si>
  <si>
    <t>347</t>
  </si>
  <si>
    <t>Школа №1381</t>
  </si>
  <si>
    <t>348</t>
  </si>
  <si>
    <t>Школа №1494</t>
  </si>
  <si>
    <t>Марфино</t>
  </si>
  <si>
    <t>349</t>
  </si>
  <si>
    <t>Школа №1531 им. С.К. Годовикова</t>
  </si>
  <si>
    <t>350</t>
  </si>
  <si>
    <t>Школа №285 им. В.А. Молодцова</t>
  </si>
  <si>
    <t>351</t>
  </si>
  <si>
    <t>Школа №956</t>
  </si>
  <si>
    <t>352</t>
  </si>
  <si>
    <t>Школа №1387</t>
  </si>
  <si>
    <t>353</t>
  </si>
  <si>
    <t>Школа №1747 им. Д.М. Румянцева</t>
  </si>
  <si>
    <t>354</t>
  </si>
  <si>
    <t>Школа №830</t>
  </si>
  <si>
    <t>Покровское-Стрешнево</t>
  </si>
  <si>
    <t>355</t>
  </si>
  <si>
    <t>Школа №883 им. М.Ф. Лукина</t>
  </si>
  <si>
    <t>356</t>
  </si>
  <si>
    <t>Школа №69 им. Б.Ш. Окуджавы</t>
  </si>
  <si>
    <t>357</t>
  </si>
  <si>
    <t>Школа №705</t>
  </si>
  <si>
    <t>358</t>
  </si>
  <si>
    <t>Школа №1210</t>
  </si>
  <si>
    <t>359</t>
  </si>
  <si>
    <t>Школа №1874</t>
  </si>
  <si>
    <t>360</t>
  </si>
  <si>
    <t>Гимназия города Троицка</t>
  </si>
  <si>
    <t>361</t>
  </si>
  <si>
    <t>Школа №91</t>
  </si>
  <si>
    <t>362</t>
  </si>
  <si>
    <t>363</t>
  </si>
  <si>
    <t>Школа №354 им. Д.М. Карбышева</t>
  </si>
  <si>
    <t>364</t>
  </si>
  <si>
    <t>Православная Свято-Петровская школа</t>
  </si>
  <si>
    <t>365</t>
  </si>
  <si>
    <t>Пушкинская школа №1500</t>
  </si>
  <si>
    <t>366</t>
  </si>
  <si>
    <t>Школа №1284</t>
  </si>
  <si>
    <t>367</t>
  </si>
  <si>
    <t>Школа №1239</t>
  </si>
  <si>
    <t>368</t>
  </si>
  <si>
    <t>Школа №1241 "На Красной Пресне"</t>
  </si>
  <si>
    <t>369</t>
  </si>
  <si>
    <t>Лицей МПГУ</t>
  </si>
  <si>
    <t>370</t>
  </si>
  <si>
    <t>Капотня</t>
  </si>
  <si>
    <t>371</t>
  </si>
  <si>
    <t>Школа №641 им. Сергея Есенина</t>
  </si>
  <si>
    <t>372</t>
  </si>
  <si>
    <t>Лефортово</t>
  </si>
  <si>
    <t>373</t>
  </si>
  <si>
    <t>Школа №1228 "Лефортово"</t>
  </si>
  <si>
    <t>374</t>
  </si>
  <si>
    <t>Школа им. Ф.М. Достоевского</t>
  </si>
  <si>
    <t>375</t>
  </si>
  <si>
    <t>Школа №460</t>
  </si>
  <si>
    <t>376</t>
  </si>
  <si>
    <t>Школа №2090 им. Л.Х. Паперника</t>
  </si>
  <si>
    <t>377</t>
  </si>
  <si>
    <t>Школа №2129 им. П.И. Романова</t>
  </si>
  <si>
    <t>378</t>
  </si>
  <si>
    <t>Школа №45 им. Л.И. Мильграма</t>
  </si>
  <si>
    <t>379</t>
  </si>
  <si>
    <t>Школа №1265</t>
  </si>
  <si>
    <t>380</t>
  </si>
  <si>
    <t>Школа "Ника"</t>
  </si>
  <si>
    <t>381</t>
  </si>
  <si>
    <t>Школа №170 им. А.П. Чехова</t>
  </si>
  <si>
    <t>382</t>
  </si>
  <si>
    <t>Школа №7</t>
  </si>
  <si>
    <t>383</t>
  </si>
  <si>
    <t>Школа №1995</t>
  </si>
  <si>
    <t>Обручевский</t>
  </si>
  <si>
    <t>384</t>
  </si>
  <si>
    <t>Школа №1356</t>
  </si>
  <si>
    <t>385</t>
  </si>
  <si>
    <t>Школа №1613</t>
  </si>
  <si>
    <t>386</t>
  </si>
  <si>
    <t>Школа №15</t>
  </si>
  <si>
    <t>387</t>
  </si>
  <si>
    <t>Школа №1981</t>
  </si>
  <si>
    <t>388</t>
  </si>
  <si>
    <t>Школа им. Н.М. Карамзина</t>
  </si>
  <si>
    <t>389</t>
  </si>
  <si>
    <t>Школа №1212</t>
  </si>
  <si>
    <t>390</t>
  </si>
  <si>
    <t>Школа №1861 "Загорье"</t>
  </si>
  <si>
    <t>391</t>
  </si>
  <si>
    <t>Школа №902 "Диалог"</t>
  </si>
  <si>
    <t>392</t>
  </si>
  <si>
    <t>Школа №2001</t>
  </si>
  <si>
    <t>393</t>
  </si>
  <si>
    <t>Школа №998</t>
  </si>
  <si>
    <t>394</t>
  </si>
  <si>
    <t>Школа №1272</t>
  </si>
  <si>
    <t>395</t>
  </si>
  <si>
    <t>Школа №630 им. Г.П.Кравченко</t>
  </si>
  <si>
    <t>Донской</t>
  </si>
  <si>
    <t>396</t>
  </si>
  <si>
    <t>Школа №1450 "Олимп"</t>
  </si>
  <si>
    <t>397</t>
  </si>
  <si>
    <t>Школа №1207</t>
  </si>
  <si>
    <t>398</t>
  </si>
  <si>
    <t>Школа №1466 им. Н. Рушевой</t>
  </si>
  <si>
    <t>399</t>
  </si>
  <si>
    <t>Школа №556</t>
  </si>
  <si>
    <t>400</t>
  </si>
  <si>
    <t>Школа №1526 на Покровской</t>
  </si>
  <si>
    <t>№</t>
  </si>
  <si>
    <t>Классы</t>
  </si>
  <si>
    <t>Государственное бюджетное общеобразовательное учреждение города Москвы "Школа № 1034 имени Героя Советского Союза В.В. Маркина"</t>
  </si>
  <si>
    <t>10 классы</t>
  </si>
  <si>
    <t>Государственное бюджетное общеобразовательное учреждение города Москвы "Школа № 1505 "Преображенская"</t>
  </si>
  <si>
    <t>Государственное бюджетное общеобразовательное учреждение города Москвы "Школа № 1637"</t>
  </si>
  <si>
    <t>Государственное бюджетное общеобразовательное учреждение города Москвы "Школа N 224"</t>
  </si>
  <si>
    <t>Государственное бюджетное общеобразовательное учреждение города Москвы "Школа N 491 "Марьино"</t>
  </si>
  <si>
    <t>Государственное бюджетное общеобразовательное учреждение города Москвы "Школа N 556"</t>
  </si>
  <si>
    <t>Государственное бюджетное общеобразовательное учреждение города Москвы "Школа № 1207"</t>
  </si>
  <si>
    <t>Государственное бюджетное общеобразовательное учреждение города Москвы "Школа № 1392 имени Д.В. Рябинкина"</t>
  </si>
  <si>
    <t>Государственное бюджетное общеобразовательное учреждение города Москвы "Школа № 1430 имени Героя Социалистического Труда Г.В. Кисунько"</t>
  </si>
  <si>
    <t>Государственное бюджетное общеобразовательное учреждение города Москвы "Пушкинская школа № 1500"</t>
  </si>
  <si>
    <t>Государственное бюджетное общеобразовательное учреждение города Москвы "Школа N 1539"</t>
  </si>
  <si>
    <t>Государственное бюджетное общеобразовательное учреждение города Москвы "Школа № 1550"</t>
  </si>
  <si>
    <t>Государственное бюджетное общеобразовательное учреждение города Москвы "Школа № 1788"</t>
  </si>
  <si>
    <t>Государственное бюджетное общеобразовательное учреждение города Москвы "Школа № 1852"</t>
  </si>
  <si>
    <t>Государственное бюджетное общеобразовательное учреждение города Москвы "Школа N 1998 "Лукоморье"</t>
  </si>
  <si>
    <t>Государственное бюджетное общеобразовательное учреждение города Москвы "Школа № 2000"</t>
  </si>
  <si>
    <t>Государственное бюджетное общеобразовательное учреждение города Москвы "Школа № 2115"</t>
  </si>
  <si>
    <t>Государственное бюджетное общеобразовательное учреждение города Москвы "Школа N 2117"</t>
  </si>
  <si>
    <t>Государственное бюджетное общеобразовательное учреждение города Москвы "Школа № 56 имени академика В.А. Легасова"</t>
  </si>
  <si>
    <t>Государственное бюджетное общеобразовательное учреждение города Москвы "Школа № 67"</t>
  </si>
  <si>
    <t>Государственное бюджетное общеобразовательное учреждение города Москвы "Школа N 236 имени Героя Советского Союза Г. И. Щедрина"</t>
  </si>
  <si>
    <t>Государственное бюджетное общеобразовательное учреждение города Москвы "Школа № 544"</t>
  </si>
  <si>
    <t>Государственное бюджетное общеобразовательное учреждение города Москвы "Школа №777 имени Героя Советского Союза Е.В. Михайлова"</t>
  </si>
  <si>
    <t>Государственное бюджетное общеобразовательное учреждение города Москвы "Школа № 1195"</t>
  </si>
  <si>
    <t>Государственное бюджетное общеобразовательное учреждение города Москвы "Школа № 1273"</t>
  </si>
  <si>
    <t>Государственное бюджетное общеобразовательное учреждение города Москвы "Школа № 1355"</t>
  </si>
  <si>
    <t>Государственное бюджетное общеобразовательное учреждение города Москвы "Школа № 1498 "Московская Международная Школа"</t>
  </si>
  <si>
    <t>Государственное бюджетное общеобразовательное учреждение города Москвы "Школа N 1533 "ЛИТ"</t>
  </si>
  <si>
    <t>Государственное бюджетное общеобразовательное учреждение города Москвы "Школа N 1540"</t>
  </si>
  <si>
    <t>Государственное бюджетное общеобразовательное учреждение города Москвы "Марьинская школа № 1566 памяти Героев Сталинградской битвы"</t>
  </si>
  <si>
    <t>Государственное бюджетное общеобразовательное учреждение города Москвы "Школа N 1679"</t>
  </si>
  <si>
    <t>Государственное бюджетное общеобразовательное учреждение города Москвы "Школа N 1861 "Загорье"</t>
  </si>
  <si>
    <t>Государственное бюджетное общеобразовательное учреждение города Москвы "Школа N 1862"</t>
  </si>
  <si>
    <t>Государственное бюджетное общеобразовательное учреждение города Москвы "Школа N 1945 "Синяя птица"</t>
  </si>
  <si>
    <t>Государственное бюджетное общеобразовательное учреждение города Москвы "Школа N 2006"</t>
  </si>
  <si>
    <t>Государственное бюджетное общеобразовательное учреждение города Москвы "Школа № 2010 имени Героя Советского Союза М.П. Судакова"</t>
  </si>
  <si>
    <t>Государственное бюджетное общеобразовательное учреждение города Москвы "Школа № 2045 имени Героя Российской Федерации Д.А. Разумовского"</t>
  </si>
  <si>
    <t>Государственное бюджетное общеобразовательное учреждение города Москвы "Школа N 2073"</t>
  </si>
  <si>
    <t>Государственное бюджетное общеобразовательное учреждение города Москвы "Школа N 2094"</t>
  </si>
  <si>
    <t>Государственное бюджетное общеобразовательное учреждение города Москвы "Школа N 2103"</t>
  </si>
  <si>
    <t>Государственное бюджетное общеобразовательное учреждение города Москвы "Школа N 2120"</t>
  </si>
  <si>
    <t>Государственное бюджетное общеобразовательное учреждение города Москвы "Школа "Бескудниково"</t>
  </si>
  <si>
    <t>Государственное бюджетное общеобразовательное учреждение города Москвы "Романовская школа"</t>
  </si>
  <si>
    <t>Государственное бюджетное общеобразовательное учреждение города Москвы "Цифровая школа"</t>
  </si>
  <si>
    <t>Государственное бюджетное общеобразовательное учреждение города Москвы "Школа имени дважды Героя Советского Союза И.С. Полбина"</t>
  </si>
  <si>
    <t>Государственное бюджетное общеобразовательное учреждение города Москвы "Школа имени В.В. Маяковского"</t>
  </si>
  <si>
    <t>Государственное бюджетное общеобразовательное учреждение города Москвы "Школа N 7"</t>
  </si>
  <si>
    <t>Государственное бюджетное общеобразовательное учреждение города Москвы "Школа № 69 имени Б.Ш. Окуджавы"</t>
  </si>
  <si>
    <t>Государственное бюджетное общеобразовательное учреждение города Москвы "Школа № 113"</t>
  </si>
  <si>
    <t>Государственное бюджетное общеобразовательное учреждение города Москвы "Школа № 185 имени Героя Советского Союза, Героя Социалистического Труда В.С. Гризодубовой"</t>
  </si>
  <si>
    <t>Государственное бюджетное общеобразовательное учреждение города Москвы "Школа № 236 имени Героя Советского Союза Г. И. Щедрина"</t>
  </si>
  <si>
    <t>Государственное бюджетное общеобразовательное учреждение города Москвы "Школа № 507"</t>
  </si>
  <si>
    <t>Государственное бюджетное общеобразовательное учреждение города Москвы "Школа № 648 имени Героя Российской Федерации А.Г. Карлова"</t>
  </si>
  <si>
    <t>Государственное бюджетное общеобразовательное учреждение города Москвы "Школа № 654 имени А.Д. Фридмана"</t>
  </si>
  <si>
    <t>Государственное бюджетное общеобразовательное учреждение города Москвы "Школа № 763"</t>
  </si>
  <si>
    <t>Государственное бюджетное общеобразовательное учреждение города Москвы "Школа № 814"</t>
  </si>
  <si>
    <t>Государственное бюджетное общеобразовательное учреждение города Москвы "Школа № 875"</t>
  </si>
  <si>
    <t>Государственное бюджетное общеобразовательное учреждение города Москвы "Школа № 887"</t>
  </si>
  <si>
    <t>Государственное бюджетное общеобразовательное учреждение города Москвы "Школа № 924"</t>
  </si>
  <si>
    <t>Государственное бюджетное общеобразовательное учреждение города Москвы "Школа № 950"</t>
  </si>
  <si>
    <t>Государственное бюджетное общеобразовательное учреждение Города Москвы "Школа № 1018"</t>
  </si>
  <si>
    <t>Государственное бюджетное общеобразовательное учреждение города Москвы "Школа № 1095"</t>
  </si>
  <si>
    <t>Государственное бюджетное общеобразовательное учреждение города Москвы "Школа № 1206"</t>
  </si>
  <si>
    <t>Государственное бюджетное общеобразовательное учреждение города Москвы "Школа № 1208 имени Героя Советского Союза М.С. Шумилова"</t>
  </si>
  <si>
    <t>Государственное бюджетное общеобразовательное учреждение города Москвы "Школа № 1231 имени В.Д. Поленова"</t>
  </si>
  <si>
    <t>Государственное бюджетное общеобразовательное учреждение города Москвы "Школа № 1238"</t>
  </si>
  <si>
    <t>Государственное бюджетное общеобразовательное учреждение города Москвы "Школа № 1249"</t>
  </si>
  <si>
    <t>Государственное бюджетное общеобразовательное учреждение города Москвы "Школа № 1251 имени генерала Шарля де Голля"</t>
  </si>
  <si>
    <t>Государственное бюджетное общеобразовательное учреждение города Москвы "Школа N 1259"</t>
  </si>
  <si>
    <t>Государственное бюджетное общеобразовательное учреждение города Москвы "Школа № 1286"</t>
  </si>
  <si>
    <t>Государственное бюджетное общеобразовательное учреждение города Москвы "Школа № 1288 имени Героя Советского Союза Н.В. Троян"</t>
  </si>
  <si>
    <t>Государственное бюджетное общеобразовательное учреждение города Москвы "Школа № 1290"</t>
  </si>
  <si>
    <t>Государственное бюджетное общеобразовательное учреждение города Москвы "Школа № 1298 "Профиль Куркино"</t>
  </si>
  <si>
    <t>Государственное бюджетное общеобразовательное учреждение города Москвы "Школа № 1311"</t>
  </si>
  <si>
    <t>Государственное бюджетное общеобразовательное учреждение города Москвы "Школа № 1315"</t>
  </si>
  <si>
    <t>Государственное бюджетное общеобразовательное учреждение города Москвы "Школа № 1347"</t>
  </si>
  <si>
    <t>Государственное бюджетное общеобразовательное учреждение города Москвы "Школа № 1353 имени генерала Д.Ф. Алексеева"</t>
  </si>
  <si>
    <t>Государственное бюджетное общеобразовательное учреждение города Москвы "Школа № 1359 имени авиаконструктора М.Л. Миля"</t>
  </si>
  <si>
    <t>Государственное бюджетное общеобразовательное учреждение города Москвы "Школа № 1371 "Крылатское"</t>
  </si>
  <si>
    <t>Государственное бюджетное общеобразовательное учреждение города Москвы "Школа № 1391"</t>
  </si>
  <si>
    <t>Государственное бюджетное общеобразовательное учреждение города Москвы "Школа № 467"</t>
  </si>
  <si>
    <t>Государственное бюджетное общеобразовательное учреждение города Москвы "Школа № 1468"</t>
  </si>
  <si>
    <t>Государственное бюджетное общеобразовательное учреждение города Москвы "Школа № 1494"</t>
  </si>
  <si>
    <t>Государственное бюджетное общеобразовательное учреждение города Москвы "Измайловская школа № 1508"</t>
  </si>
  <si>
    <t>Государственное бюджетное общеобразовательное учреждение города Москвы "Школа № 1520 имени Капцовых"</t>
  </si>
  <si>
    <t>Государственное бюджетное общеобразовательное учреждение города Москвы "Школа № 1541"</t>
  </si>
  <si>
    <t>Государственное бюджетное общеобразовательное учреждение города Москвы "Школа N 1551"</t>
  </si>
  <si>
    <t>Государственное бюджетное общеобразовательное учреждение города Москвы "Школа № 1569 "Созвездие"</t>
  </si>
  <si>
    <t>Государственное бюджетное общеобразовательное учреждение города Москвы "Школа № 1570"</t>
  </si>
  <si>
    <t>Государственное бюджетное общеобразовательное учреждение города Москвы "Бауманская инженерная школа N 1580"</t>
  </si>
  <si>
    <t>Государственное бюджетное общеобразовательное учреждение города Москвы "Школа № 1582"</t>
  </si>
  <si>
    <t>Государственное бюджетное общеобразовательное учреждение города Москвы "Школа N 1601 имени Героя Советского Союза Е.К. Лютикова"</t>
  </si>
  <si>
    <t>Государственное бюджетное общеобразовательное учреждение города Москвы "Школа № 1679"</t>
  </si>
  <si>
    <t>Государственное бюджетное общеобразовательное учреждение города Москвы "Школа № 1861 "Загорье"</t>
  </si>
  <si>
    <t>Государственное бюджетное общеобразовательное учреждение города Москвы "Школа № 1883 "Бутово"</t>
  </si>
  <si>
    <t>Государственное бюджетное общеобразовательное учреждение города Москвы "Школа № 1944"</t>
  </si>
  <si>
    <t>Государственное бюджетное общеобразовательное учреждение города Москвы "Школа № 1945 "Синяя птица"</t>
  </si>
  <si>
    <t>Государственное бюджетное общеобразовательное учреждение  города Москвы "Школа № 1995"</t>
  </si>
  <si>
    <t>Государственное бюджетное общеобразовательное учреждение города Москвы "Школа N 2005"</t>
  </si>
  <si>
    <t>Государственное бюджетное общеобразовательное учреждение города Москвы "Школа № 2006"</t>
  </si>
  <si>
    <t>Государственное бюджетное общеобразовательное города Москвы "Школа № 2083"</t>
  </si>
  <si>
    <t>Государственное бюджетное общеобразовательное города Москвы "Школа № 2087 "Открытие"</t>
  </si>
  <si>
    <t>Государственное бюджетное общеобразовательное города Москвы "Школа № 2104 на Таганке"</t>
  </si>
  <si>
    <t>Государственное бюджетное общеобразовательное учреждение  города Москвы "Школа № 2115"</t>
  </si>
  <si>
    <t>Государственное бюджетное общеобразовательное учреждение города Москвы "Школа № 2120"</t>
  </si>
  <si>
    <t>Государственное бюджетное общеобразовательное учреждение города Москвы "Школа № 2200"</t>
  </si>
  <si>
    <t>Государственное бюджетное общеобразовательное учреждение города Москвы "Московская международная школа"</t>
  </si>
  <si>
    <t>Государственное бюджетное общеобразовательное учреждение города Москвы "Инженерно-техническая школа имени дважды Героя Советского Союза П.Р. Поповича"</t>
  </si>
  <si>
    <t>Государственное бюджетное общеобразовательное учреждение города Москвы "Школа № 7"</t>
  </si>
  <si>
    <t>Государственное бюджетное общеобразовательное учреждение города Москвы "Школа № 123"</t>
  </si>
  <si>
    <t>Государственное бюджетное общеобразовательное учреждение города Москвы "Школа № 149 имени Героя Советского Союза Ю.Н. Зыкова"</t>
  </si>
  <si>
    <t>Государственное бюджетное общеобразовательное учреждение города  Москвы "Школа № 158"</t>
  </si>
  <si>
    <t>Государственное бюджетное общеобразовательное учреждение города Москвы "Школа № 199"</t>
  </si>
  <si>
    <t>Государственное бюджетное общеобразовательное учреждение города Москвы "Школа № 283"</t>
  </si>
  <si>
    <t>Государственное бюджетное общеобразовательное учреждение города Москвы "Школа N 827"</t>
  </si>
  <si>
    <t>Государственное бюджетное общеобразовательное учреждение города Москвы "Школа № 947"</t>
  </si>
  <si>
    <t>Государственное бюджетное общеобразовательное учреждение города Москвы "Школа № 956"</t>
  </si>
  <si>
    <t>Государственное бюджетное общеобразовательное учреждение города Москвы "Школа № 998"</t>
  </si>
  <si>
    <t>Государственпое бюджетное общеобразовательное учреждение города Москвы "Школа № 1347"</t>
  </si>
  <si>
    <t>Государственное бюджетное общеобразовательное учреждение города Москвы "Школа № 1387"</t>
  </si>
  <si>
    <t>Государственное бюджетное общеобразовательное учреждение города Москвы "Школа № 1416 "Лианозово"</t>
  </si>
  <si>
    <t>Государственное бюджетное общеобразовательное учреждение города Москвы "Школа № 1449 имени Героя Советского Союза М.В. Водопьянова"</t>
  </si>
  <si>
    <t>Государственное бюджетное общеобразовательное учреждение города Москвы "Школа N 1507"</t>
  </si>
  <si>
    <t>Государственное бюджетное общеобразовательное учреждение города Москвы "Школа N 1537 "Информационные технологии"</t>
  </si>
  <si>
    <t>Государственное бюджетное общеобразовательное учреждение города Москвы "Школа № 1539"</t>
  </si>
  <si>
    <t>Государственное бюджетное общеобразовательное учреждение города Москвы "Школа № 1542"</t>
  </si>
  <si>
    <t>Государственное бюджетное общеобразовательное учреждение города Москвы "Школа № 1552"</t>
  </si>
  <si>
    <t>Государственное бюджетное общеобразовательное учреждение города Москвы "Школа N 1570"</t>
  </si>
  <si>
    <t>Государственное бюджетное общеобразовательное учреждение города Москвы "Школа № 1862"</t>
  </si>
  <si>
    <t>Государственное бюджетное общеобразовательное учреждение города Москвы "Школа № 2048"</t>
  </si>
  <si>
    <t>Государственное бюджетное общеобразовательное учреждение города Москвы "Школа № 2100"</t>
  </si>
  <si>
    <t>Государственное бюджетное общеобразовательное учреждение города Москвы "Школа № 2127"</t>
  </si>
  <si>
    <t>Государственное бюджетное общеобразовательное учреждение города Москвы  "Школа "Марьино" имени маршала авиации А.Е. Голованова"</t>
  </si>
  <si>
    <t>Государственное бюджетное общеобразовательное учреждение города Москвы "Школа "Тропарево"</t>
  </si>
  <si>
    <t>Государственное бюджетное общеобразовательное учреждение города Москвы "Школа имени Ф.М. Достоевского"</t>
  </si>
  <si>
    <t>Государственное бюджетное общеобразовательное учреждение города  Москвы "Школа № 1368"</t>
  </si>
  <si>
    <t>Государственное бюджетное общеобразовательное учреждение города Москвы "Школа № 1793 имени Героя Советского Союза А.К. Новикова"</t>
  </si>
  <si>
    <t>Государственное бюджетное общеобразовательное учреждение города Москвы "Школа № 138"</t>
  </si>
  <si>
    <t>11 классы</t>
  </si>
  <si>
    <t>Государственное бюджетное общеобразовательное учреждение города Москвы "Школа № 141 имени Героя Советского Союза Рихарда Зорге"</t>
  </si>
  <si>
    <t>Государственное бюджетное общеобразовательное учреждение города Москвы "Школа N 648 имени Героя Российской Федерации А.Г. Карлова"</t>
  </si>
  <si>
    <t>Государственное бюджетное общеобразовательное учреждение города  Москвы "Школа N 667 имени Героя Советского Союза К.Я. Самсонова"</t>
  </si>
  <si>
    <t>Государственное бюджетное общеобразовательное учреждение города Москвы "Школа № 727"</t>
  </si>
  <si>
    <t>Государственное бюджетное общеобразовательное учреждение города Москвы "Школа № 777 имени Героя Советского Союза Е.В. Михайлова"</t>
  </si>
  <si>
    <t>Государственное бюджетное общеобразовательное учреждение города Москвы "Школа № 853"</t>
  </si>
  <si>
    <t>Государственное бюджетное общеобразовательное учреждение города Москвы "Школа № 902 "Диалог"</t>
  </si>
  <si>
    <t>Государственное бюджетное общеобразовательное учреждение города Москвы "Школа № 1101"</t>
  </si>
  <si>
    <t>Государственное бюджетное общеобразовательное учреждение города Москвы "Школа № 1210"</t>
  </si>
  <si>
    <t>Государственное бюджетное общеобразовательное учреждение города Москвы "Школа N 1257"</t>
  </si>
  <si>
    <t>Государственное бюджетное общеобразовательное учреждение города Москвы "Школа № 1259"</t>
  </si>
  <si>
    <t>Государственное бюджетное общеобразовательное учреждение города Москвы "Школа № 1293"</t>
  </si>
  <si>
    <t>Государственное бюджетное общеобразовательное учреждение города Москвы "Школа N 1387"</t>
  </si>
  <si>
    <t>Государственное бюджетное общеобразовательное учреждение города Москвы "Школа № 1400"</t>
  </si>
  <si>
    <t>Государственное бюджетное Общеобразовательное учреждение города Москвы "Школа № 1412"</t>
  </si>
  <si>
    <t>Государственное бюджетное общеобразовательное учреждение города Москвы "Школа № 1454 "Тимирязевская"</t>
  </si>
  <si>
    <t>Государственное бюджетное общеобразовательное учреждение города Москвы "Школа N 1494"</t>
  </si>
  <si>
    <t>Государственное бюджетное общеобразовательное учреждение города Москвы "Школа № 1529 имени А.С. Грибоедова"</t>
  </si>
  <si>
    <t>Государственное бюджетное общеобразовательное учреждение города Москвы "Школа № 1544"</t>
  </si>
  <si>
    <t>Государственное бюджетное общеобразовательное учреждение города Москвы "Школа № 1601 имени Героя Советского Союза Е.К. Лютикова"</t>
  </si>
  <si>
    <t>Государственное бюджетное общеобразовательное учреждение города  Москвы "Школа № 1770"</t>
  </si>
  <si>
    <t>Государственное бюджетное общеобразовательное учреждение города  Москвы "Школа У° 1862"</t>
  </si>
  <si>
    <t>Государственное бюджетное общеобразовательное учреждение города Москвы "Школа № 1995"</t>
  </si>
  <si>
    <t>Государственное бюджетное общеобразовательное учреждение города Москвы "Школа N 2065"</t>
  </si>
  <si>
    <t>Государственное бюджетное общеобразовательное учреждение города Москвы "Школа № 2101"</t>
  </si>
  <si>
    <t>Государственное бюджетное общеобразовательное учреждение города Москвы "Школа "Дмитровский" имени Героя Советского Союза В.П. Кислякова"</t>
  </si>
  <si>
    <t>Государственное бюджетное общеобразовательное учреждение города Москвы "Школа "Кузьминки"</t>
  </si>
  <si>
    <t>Государственное бюджетное общеобразовательное учреждение города  Москвы "Школа "Марьино" имени маршала авиации А.Е. Голованова"</t>
  </si>
  <si>
    <t>Государственное бюджетное общеобразовательное учреждение города Москвы "Школа в Капотне"</t>
  </si>
  <si>
    <t>Государственное бюджетное общеобразовательное учреждение города Москвы "Школа на Юго-Востоке имени Маршала В.И. Чуйкова"</t>
  </si>
  <si>
    <t>Государственное бюджетное общеобразовательное учреждение города Москвы  "Школа № 7"</t>
  </si>
  <si>
    <t>Государственное бюджетное общеобразовательное учреждение города Москвы "Школа № 17"</t>
  </si>
  <si>
    <t>Государственное бюджетное общеобразовательное учреждение города Москвы "Школа N 152"</t>
  </si>
  <si>
    <t>Государственное бюджетное общеобразовательное учреждение города Москвы "Школа № 285 имени В.А. Молодцова"</t>
  </si>
  <si>
    <t>Государственное бюджетное общеобразовательное учреждение города Москвы "Школа N 319"</t>
  </si>
  <si>
    <t>Государственное бюджетное общеобразовательное учреждение города  Москвы "Школа № 498"</t>
  </si>
  <si>
    <t>Государственное бюджетное общеобразовательное учреждение города Москвы "Школа № 504"</t>
  </si>
  <si>
    <t>Государственное бюджетное общеобразовательное учреждение города  Москвы "Школа № 629"</t>
  </si>
  <si>
    <t>Государственное бюджетное общеобразовательное учреждение города  Москвы "Школа № 727"</t>
  </si>
  <si>
    <t>Государственное бюджетное общеобразовательное учреждение города Москвы "Школа № 827"</t>
  </si>
  <si>
    <t>Государственное бюджетное общеобразовательное учреждение города Москвы "Школа № 904"</t>
  </si>
  <si>
    <t>Государственное бюджетное общеобразовательное учреждение города Москвы "Школа № 962"</t>
  </si>
  <si>
    <t>Государственное бюджетное общеобразовательное учреждение города Москвы "Школа № 1018"</t>
  </si>
  <si>
    <t>Государственное бюджетное общеобразовательное учреждение города Москвы "Школа N 1173"</t>
  </si>
  <si>
    <t>Государственное бюджетное общеобразовательное учреждение города Москвы "Школа № 1228 "Лефортово"</t>
  </si>
  <si>
    <t>Государственное бюджетное общеобразовательное учреждение города Москвы "Школа № 1234"</t>
  </si>
  <si>
    <t>Государственное бюджетное общеобразовательное учреждение города Москвы "Школа № 1236 имени С.В. Милашенкова"</t>
  </si>
  <si>
    <t>Государственное бюджетное общеобразовательное учреждение города Москвы "Школа N 1287"</t>
  </si>
  <si>
    <t>Государственное бюджетное общеобразовательное учреждение города Москвы "Школа № 1412"</t>
  </si>
  <si>
    <t>Государственное бюджетное общеобразовательное учреждение города Москвы "Школа № 1413"</t>
  </si>
  <si>
    <t>Государственное бюджетное общеобразовательное учреждение города Москвы "Школа N 1420"</t>
  </si>
  <si>
    <t>Государственное бюджетное общеобразовательное учреждение города Москвы "Школа № 1533 "ЛИТ"</t>
  </si>
  <si>
    <t>Государственное бюджетное общеобразовательное учреждение города Москвы "Школа № 1551"</t>
  </si>
  <si>
    <t>Государственное бюджетное общеобразовательное учреждение города Москвы "Школа № 1564 имени Героя Советского Союза А.П. Белобородова"</t>
  </si>
  <si>
    <t>Государственное бюджетное общеобразовательное учреждение города Москвы "Школа № 1573"</t>
  </si>
  <si>
    <t>Государственное бюджетное общеобразовательное учреждение города Москвы "Школа № 1574"</t>
  </si>
  <si>
    <t>Государственное бюджетное общеобразовательное учреждение города Москвы "Школа № 1577"</t>
  </si>
  <si>
    <t>Государственное бюджетное общеобразовательное учреждение города Москвы "Школа № 1579"</t>
  </si>
  <si>
    <t>Государственное бюджетное общеобразовательное учреждение города Москвы "Школа N 1598"</t>
  </si>
  <si>
    <t>Государственное бюджетное общеобразовательное учреждение города Москвы "Школа 1799"</t>
  </si>
  <si>
    <t>Государственное бюджетное общеобразовательное учреждение города Москвы "Школа № 1905"</t>
  </si>
  <si>
    <t>Государственное бюджетное общеобразовательное учреждение города Москвы "Школа № 1955"</t>
  </si>
  <si>
    <t>Государственное бюджетное общеобразовательное учреждение города Москвы "Школа N 2026"</t>
  </si>
  <si>
    <t>Государственное бюджетное общеобразовательное учреждение города Москвы "Школа № 2030"</t>
  </si>
  <si>
    <t>Государственное бюджетное общеобразовательное учреждение города Москвы "Школа N 2031"</t>
  </si>
  <si>
    <t>Государственное бюджетное общеобразовательное учреждение города Москвы "Школа № 2126 "Перово"</t>
  </si>
  <si>
    <t>Государственное бюджетное общеобразовательное учреждение города Москвы "Лицей "Вторая школа" имени В.Ф. Овчинникова"</t>
  </si>
  <si>
    <t>Государственное бюджетное общеобразовательное учреждение города Москвы "Школа на Яузе"</t>
  </si>
  <si>
    <t>Государственное бюджетное общеобразовательное учреждение города Москвы "Вешняковская школа"</t>
  </si>
  <si>
    <t>Государственное бюджетное общеобразовательное учреждение города Москвы "Школа "Марьино" имени маршала авиации А.Е. Голованова"</t>
  </si>
  <si>
    <t>Государственное бюджетное общеобразовательное учреждение города Москвы "Школа им. Н.М. Карамзина"</t>
  </si>
  <si>
    <t>Государственное бюджетное общеобразовательное учреждение города Москвы "Школа № 429 "Соколиная гора"</t>
  </si>
  <si>
    <t>Государственное бюджетное общеобразовательное учреждение города Москвы "Школа № 556"</t>
  </si>
  <si>
    <t>Государственное бюджетное общеобразовательное учреждение города Москвы "Школа № 626 имени Н.И. Сац"</t>
  </si>
  <si>
    <t>Государственное бюджетное общеобразовательное учреждение города Москвы "Школа № 641 имени Сергея Есенина"</t>
  </si>
  <si>
    <t>Государственное бюджетное общеобразовательное учреждение города Москвы "Школа N 654 имени А.Д. Фридмана"</t>
  </si>
  <si>
    <t>Государственное бюджетное общеобразовательное учреждение города Москвы "Школа № 949"</t>
  </si>
  <si>
    <t>Государственное бюджетное общеобразовательное учреждение города Москвы "Школа N 1080"</t>
  </si>
  <si>
    <t>Государственное бюджетное общеобразовательное учреждение города Москвы "Школа № 1103 имени Героя Российской Федерации А.В. Соломатина"</t>
  </si>
  <si>
    <t>Государственное бюджетное общеобразовательное учреждение города Москвы "Школа № 1213"</t>
  </si>
  <si>
    <t>Государственное бюджетное общеобразовательное учреждение города Москвы "Школа № 1287"</t>
  </si>
  <si>
    <t>Государственное бюджетное общеобразовательное учреждение города Москвы "Школа № 1324"</t>
  </si>
  <si>
    <t>Государственное бюджетное общеобразовательное учреждение города Москвы "Школа № 1352"</t>
  </si>
  <si>
    <t>Государственное бюджетное общеобразовательное учреждение Москвы "Школа N 1370"</t>
  </si>
  <si>
    <t>Государственное бюджетное общеобразовательное учреждение Москвы "Школа № 1381"</t>
  </si>
  <si>
    <t>Государственное бюджетное общеобразовательное учреждение Москвы "Школа № 1530 "Школа Ломоносова"</t>
  </si>
  <si>
    <t>Государственное бюджетное общеобразовательное учреждение Москвы "Школа № 1539"</t>
  </si>
  <si>
    <t>Государственное бюджетное общеобразовательное учреждение города Москвы "Школа № 41 имени Григория Алексеевича Тарана"</t>
  </si>
  <si>
    <t>Государственное бюджетное общеобразовательное учреждение города Москвы "Школа № 97"</t>
  </si>
  <si>
    <t>Государственное бюджетное общеобразовательное учреждение города Москвы "Школа № 167 имени Маршала Л.А. Говорова"</t>
  </si>
  <si>
    <t>Государственное бюджетное общеобразовательное учреждение города Москвы "Школа № 224"</t>
  </si>
  <si>
    <t>Государственное бюджетное общеобразовательное учреждение города Москвы "Школа № 463 имени Героя Советского Союза Д.Н.Медведева"</t>
  </si>
  <si>
    <t>Государственное бюджетное общеобразовательное учреждение города Москвы "Школа № 508"</t>
  </si>
  <si>
    <t>Государственное бюджетное общеобразовательное учреждение города Москвы "Школа № 656 имени А.С. Макаренко"</t>
  </si>
  <si>
    <t>Государственное бюджетное общеобразовательное учреждение города Москвы "Школа N 709"</t>
  </si>
  <si>
    <t>Государственное бюджетное общеобразовательное учреждение города Москвы "Школа № 883 имени Героя Российской Федерации генерал- лейтенанта М.Ф. Лукина"</t>
  </si>
  <si>
    <t>Государственное бюджетное общеобразовательное учреждение города Москвы "Школа N 998"</t>
  </si>
  <si>
    <t>Государственное бюджетное общеобразовательное учреждение города Москвы "Школа № 1164"</t>
  </si>
  <si>
    <t>Государственное бюджетное общеобразовательное учреждение города Москвы "Школа N 1179"</t>
  </si>
  <si>
    <t>Государственное бюджетное общеобразовательное учреждение города Москвы "Школа N 1205"</t>
  </si>
  <si>
    <t>Государственное бюджетное общеобразовательное учреждение города Москвы "Школа № 1212"</t>
  </si>
  <si>
    <t>Государственное бюджетное общеобразовательное учреждение города Москвы "Школа № 1220"</t>
  </si>
  <si>
    <t>Государственное бюджетное общеобразовательное учреждение города Москвы "Школа 1245"</t>
  </si>
  <si>
    <t>Государственное бюджетное общеобразовательное учреждение города Москвы "Школа N 1252 имени Сервантеса"</t>
  </si>
  <si>
    <t>Государственное бюджетное общеобразовательное учреждение города Москвы "Школа № 1282 "Сокольники"</t>
  </si>
  <si>
    <t>Государственное бюджетное общеобразовательное учреждение города Москвы "Школа № 1310"</t>
  </si>
  <si>
    <t>Государственное бюджетное общеобразовательное учреждение города Москвы "Школа N 1357 "На Братиславской"</t>
  </si>
  <si>
    <t>Государственное бюджетное общеобразовательное учреждение города Москвы "Школа № 1362"</t>
  </si>
  <si>
    <t>Государственное бюджетное общеобразовательное учреждение города Москвы "Школа № 1415 "Останкино"</t>
  </si>
  <si>
    <t>Государственное бюджетное общеобразовательное учреждение города Москвы "Школа N 1503"</t>
  </si>
  <si>
    <t>Государственное бюджетное общеобразовательное учреждение города Москвы "Школа № 1515"</t>
  </si>
  <si>
    <t>Государственное бюджетное общеобразовательное учреждение города Москвы "Школа № 1596"</t>
  </si>
  <si>
    <t>Государственное бюджетное общеобразовательное учреждение города Москвы "Школа № 1798 "Феникс"</t>
  </si>
  <si>
    <t>Государственное бюджетное общеобразовательное учреждение города Москвы "Школа № 1874"</t>
  </si>
  <si>
    <t>Государственное бюджетное общеобразовательное учреждение города Москвы "Школа № 2072"</t>
  </si>
  <si>
    <t>Государственное бюджетное общеобразовательное учреждение города Москвы "Школа "Свиблово"</t>
  </si>
  <si>
    <t>Государственное бюджетное общеобразовательное учреждение города Москвы "Школа Бибирево"</t>
  </si>
  <si>
    <t>Государственное бюджетное общеобразовательное учреждение города Москвы "Школа имени Артема Боровика"</t>
  </si>
  <si>
    <t>Государственное бюджетное общеобразовательное учреждение города Москвы "Школа имени Героя Российской Федерации Е.Н. Чернышёва"</t>
  </si>
  <si>
    <t>Государственное бюджетное общеобразовательное учреждение города Москвы "Школа № 15"</t>
  </si>
  <si>
    <t>Государственное бюджетное общеобразовательное учреждение города Москвы "Школа 17"</t>
  </si>
  <si>
    <t>Государственное бюджетное общеобразовательное учреждение города Москвы "Школа № 109"</t>
  </si>
  <si>
    <t>Государственное бюджетное общеобразовательное учреждение города Москвы "Школа 117"</t>
  </si>
  <si>
    <t>Государственное бюджетное общеобразовательное учреждение города Москвы "Школа 152"</t>
  </si>
  <si>
    <t>Государственное бюджетное общеобразовательное учреждение города Москвы "Школа 491 "Марьино"</t>
  </si>
  <si>
    <t>Государственное бюджетное общеобразовательное учреждение города Москвы "Школа № 664"</t>
  </si>
  <si>
    <t>Государственное бюджетное общеобразовательное учреждение города Москвы "Школа № 760 имени А.П. Маресьева"</t>
  </si>
  <si>
    <t>Государственное бюджетное общеобразовательное учреждение города Москвы "Школа N 853"</t>
  </si>
  <si>
    <t>Государственное бюджетное общеобразовательное учреждение города Москвы "Школа № 854"</t>
  </si>
  <si>
    <t>Государственное бюджетное общеобразовательное учреждение города Москвы "Школа N 950"</t>
  </si>
  <si>
    <t>Государственное бюджетное общеобразовательное учреждение города Москвы "Школа N 1210"</t>
  </si>
  <si>
    <t>Государственное бюджетное общеобразовательное учреждение города Москвы "Школа № 1222 имени Маршала Советского Союза И.Х. Баграмяна"</t>
  </si>
  <si>
    <t>Государственное бюджетное общеобразовательное учреждение города Москвы "Школа № 1223"</t>
  </si>
  <si>
    <t>Государственное бюджетное общеобразовательное учреждение города Москвы "Школа № 1239"</t>
  </si>
  <si>
    <t>Государственное бюджетное общеобразовательное учреждение города Москвы "Школа № 1241 "На Красной Пресне"</t>
  </si>
  <si>
    <t>Государственное бюджетное общеобразовательное учреждение города Москвы "Школа № 1245"</t>
  </si>
  <si>
    <t>Государственное бюджетное общеобразовательное учреждение города Москвы "Школа № 1248"</t>
  </si>
  <si>
    <t>Государственное бюджетное общеобразовательное учреждение города Москвы "Школа № 1250"</t>
  </si>
  <si>
    <t>Государственное бюджетное общеобразовательное учреждение города Москвы "Школа № 1272"</t>
  </si>
  <si>
    <t>Государственное бюджетное общеобразовательное учреждение города Москвы "Школа № 1279 "Эврика"</t>
  </si>
  <si>
    <t>Государственное бюджетное общеобразовательное учреждение города Москвы "Школа N 1324"</t>
  </si>
  <si>
    <t>Государственное бюджетное общеобразовательное учреждение города Москвы " Школа № 1354 "Вектор"</t>
  </si>
  <si>
    <t>Государственное бюджетное общеобразовательное учреждение города Москвы "Школа № 1357 "На Братиславской"</t>
  </si>
  <si>
    <t>Государственное бюджетное общеобразовательное учреждение города Москвы "Школа N 1367"</t>
  </si>
  <si>
    <t>Государственное бюджетное общеобразовательное учреждение города Москвы "Школа N 1391"</t>
  </si>
  <si>
    <t>Государственное бюджетное общеобразовательное учреждение города Москвы "Школа N 1512 имени Героя Советского Союза Алии Молдагуловой"</t>
  </si>
  <si>
    <t>Государственное бюджетное общеобразовательное учреждение города Москвы "Школа № 1528" имени Героя Советского Союза И.В. Панфилова</t>
  </si>
  <si>
    <t>Государственное бюджетное общеобразовательное учреждение города Москвы "Школа N 1694 "Ясенево" имени П.М. Фитина</t>
  </si>
  <si>
    <t>Государственное бюджетное общеобразовательное учреждение города Москвы "Школа N 1944"</t>
  </si>
  <si>
    <t>Государственное бюджетное общеобразовательное учреждение города Москвы "Школа № 2009"</t>
  </si>
  <si>
    <t>Государственное бюджетное общеобразовательное учреждение города Москвы "Школа № 2054"</t>
  </si>
  <si>
    <t>Государственное бюджетное общеобразовательное учреждение города Москвы "Школа № 2086"</t>
  </si>
  <si>
    <t>Государственное бюджетное общеобразовательное учреждение города Москвы "Школа № 2103"</t>
  </si>
  <si>
    <t>Государственное бюджетное общеобразовательное учреждение города Москвы "Школа № 2107"</t>
  </si>
  <si>
    <t>Государственное бюджетное общеобразовательное учреждение города Москвы "Школа № 171"</t>
  </si>
  <si>
    <t>10, 11 классы</t>
  </si>
  <si>
    <t>Государственное бюджетное общеобразовательное учреждение города Москвы "Школа № 192"</t>
  </si>
  <si>
    <t>Государственное бюджетное общеобразовательное учреждение города Москвы "Школа N 354 имени Д.М. Карбышева"</t>
  </si>
  <si>
    <t>Государственное бюджетное общеобразовательное учреждение города Москвы "Школа № 444"</t>
  </si>
  <si>
    <t>Государственное автономное общеобразовательное учреждение города Москвы "Школа № 548 "Царицыно"</t>
  </si>
  <si>
    <t>Государственное бюджетное общеобразовательное учреждение города Москвы "Школа N 627 имени генерала Д.Д. Лелюшенко"</t>
  </si>
  <si>
    <t>Государственное бюджетное общеобразовательное учреждение города Москвы "Школа № 1002"</t>
  </si>
  <si>
    <t>Государственное бюджетное общеобразовательное учреждение города Москвы "Школа № 1158"</t>
  </si>
  <si>
    <t>Государственное бюджетное общеобразовательное учреждение города Москвы "Школа № 1194"</t>
  </si>
  <si>
    <t>Государственное бюджетное общеобразовательное учреждение города Москвы "Школа № 1253"</t>
  </si>
  <si>
    <t>Государственное бюджетное общеобразовательное учреждение города Москвы "Школа № 1329"</t>
  </si>
  <si>
    <t>Государственное бюджетное общеобразовательное учреждение города Москвы "Школа № 1354 "Вектор"</t>
  </si>
  <si>
    <t>Государственное бюджетное общеобразовательное учреждение города Москвы "Школа № 1363"</t>
  </si>
  <si>
    <t>Государственное бюджетное общеобразовательное учреждение города Москвы "Школа № 1367"</t>
  </si>
  <si>
    <t>Государственное бюджетное общеобразовательное учреждение города Москвы "Школа № 1375"</t>
  </si>
  <si>
    <t>Государственное бюджетное общеобразовательное учреждение города Москвы "Школа № 1409"</t>
  </si>
  <si>
    <t>Государственное бюджетное общеобразовательное учреждение города Москвы "Школа № 1420"</t>
  </si>
  <si>
    <t>Государственное бюджетное общеобразовательное учреждение города Москвы "Школа № 1434 "Раменки"</t>
  </si>
  <si>
    <t>Государственное бюдиетное общеобразовательное учреждение города Москвы "Школа № 1468"</t>
  </si>
  <si>
    <t>Государственное бюджетное общеобразовательное учреждение города Москвы "Школа № 1474"</t>
  </si>
  <si>
    <t>Государственное бюджетное общеобразовательное учреждение города Москвы "Школа № 1501"</t>
  </si>
  <si>
    <t>Государственное бюджетное общеобразовательное учреждение города Москвы "Школа № 1502 "Энергия"</t>
  </si>
  <si>
    <t>Государственное бюджетное общеобразовательное учреждение города Москвы "Школа № 1506"</t>
  </si>
  <si>
    <t>Государственное бюджетное общеобразовательное учреждение города Москвы "Школа N 1516"</t>
  </si>
  <si>
    <t>Государственное бюджетное общеобразовательное учреждение города Москвы "Школа № 1517"</t>
  </si>
  <si>
    <t>Государственное бюджетное общеобразовательное учреждение города Москвы "Школа № 1527"</t>
  </si>
  <si>
    <t>Государственное бюджетное общеобразовательное учреждение города Москвы "Школа N 1530 "Школа Ломоносова"</t>
  </si>
  <si>
    <t>Государственное бюджетное общеобразовательное учреждение города Москвы "Академическая школа № 1534"</t>
  </si>
  <si>
    <t>Государственное бюджетное общеобразовательное учреждение города Москвы "Школа № 1535"</t>
  </si>
  <si>
    <t>Государственное бюджетное общеобразовательное учреждение города Москвы "Школа № 1538"</t>
  </si>
  <si>
    <t>Государственное бюджетное общеобразовательное учреждение города Москвы "Школа № 1553 имени В.И. Вернадского"</t>
  </si>
  <si>
    <t>Государственное бюджетное общеобразовательное учреждение города Москвы "Школа № 1557 имени Петра Леонидовича Капицы"</t>
  </si>
  <si>
    <t>Государственное бюджетное общеобразовательное учреждение города Москвы "Школа № 1560 "Лидер"</t>
  </si>
  <si>
    <t>Государственное бюджетное общеобразовательное учреждение города Москвы "Школа № 1561"</t>
  </si>
  <si>
    <t>Государственное бюджетное общеобразовательное учреждение города Москвы "Школа № 1571"</t>
  </si>
  <si>
    <t>Государственное бюджетное общеобразовательное учреждение города Москвы "Школа № 1583 имени К. А. Керимова"</t>
  </si>
  <si>
    <t>Государственное бюджетное общеобразовательное учреждение города Москвы "Школа № 1584"</t>
  </si>
  <si>
    <t>Государственное бюджетное общеобразовательное учреждение города Москвы "Школа № 1636 "НИКА"</t>
  </si>
  <si>
    <t>Государственное бюджетное общеобразовательное учреждение города Москвы "Школа № 1747"</t>
  </si>
  <si>
    <t>Государственное Бюджетное общеобразовательное учреждение города Москвы "Школа № 1748 "Вертикаль"</t>
  </si>
  <si>
    <t>Государственное бюджетное общеобразовательное учреждение города Москвы "Школа № 1799"</t>
  </si>
  <si>
    <t>Государственное бюджетное общеобразовательное учреждение города Москвы "Школа № 1811 "Восточное Измайлово"</t>
  </si>
  <si>
    <t>Государственное бюджетное общеобразовательное учреждение города Москвы "Школа № 1950"</t>
  </si>
  <si>
    <t>Государственное бюджетное общеобразовательное учреждение города Москвы "Школа № 2005"</t>
  </si>
  <si>
    <t>Государственное бюджетное общеобразовательное учреждение города Москвы "Школа № 2033"</t>
  </si>
  <si>
    <t>Государственное бюджетное общеобразовательное учреждение города Москвы "Школа № 2036"</t>
  </si>
  <si>
    <t>Государственное бюджетное общеобразовательное учреждение города Москвы "Школа № 2051"</t>
  </si>
  <si>
    <t>Государственное бюджетное общеобразовательное учреждение города Москвы "Школа № 2070 имени Героя Советского Союза Г.А. Вартаняна"</t>
  </si>
  <si>
    <t>Государственное бюджетное общеобразовательное учреждение города Москвы "Школа № 2087 "Открытие"</t>
  </si>
  <si>
    <t>Государственное бюджетное общеобразовательное учреждение города Москвы "Школа № 2097"</t>
  </si>
  <si>
    <t>Государственное бюджетное общеобразовательное учреждение города Москвы "Школа № 2098 "Многопрофильный образовательный центр" имени Героя Советского Союза Л.М. Доватора"</t>
  </si>
  <si>
    <t>Государственное бюджетное общеобразовательное учреждение города Москвы "Курчатовская школа"</t>
  </si>
  <si>
    <t>Государственное бюджетное общеобразовательное учреждение города Москвы "Школа в Некрасовке"</t>
  </si>
  <si>
    <t>Государственное бюджетное общеобразовательное учреждение города Москвы "Школа Новокосино" имени Героя Советского Союза, адмирала А.П. Михайловского</t>
  </si>
  <si>
    <t>Государственное бюджетное общеобразовательное учреждение города Москвы "Образовательный центр "Протон"</t>
  </si>
  <si>
    <t>Государственное бюджетное общеобразовательное учреждение города Москвы "Школа "Покровский квартал"</t>
  </si>
  <si>
    <t>Государственное бюджетное общеобразовательное учреждение города Москвы "Школа Марьина Роща имени В.Ф. Орлова"</t>
  </si>
  <si>
    <t>Государственное бюджетное общеобразовательное учреждение города Москвы "Школа "Интеграл"</t>
  </si>
  <si>
    <t>Государственное бюджетное  общеобразовательное  учреждение  города Москвы "Школа №  41 имени Григория Алексеевича Тарана"</t>
  </si>
  <si>
    <t>Государственное Бюджетное общеобразовательное учреждение города Москвы "Школа № 67"</t>
  </si>
  <si>
    <t>Государственное бюджетное общеобразовательное учреждение города Москвы "Школа N 185 имени Героя Советского Союза, Героя Социалистического Труда В.С. Гризодубовой"</t>
  </si>
  <si>
    <t>Государственное бюджетное общеобразовательное учреждение города Москвы "Школа № 354 имени Д.М. Карбышева"</t>
  </si>
  <si>
    <t>Государственное бюджетное общеобразовательное учреждение города Москвы "Школа № 597 "Новое поколение"</t>
  </si>
  <si>
    <t>Государственное бюджетное общеобразовательное учреждение города Москвы "Школа № 618"</t>
  </si>
  <si>
    <t>Государственное бюджетное общеобразовательное учреждение города Москвы "Школа № 627 имени генерала Д.Д. Лелюшенко"</t>
  </si>
  <si>
    <t>Государственное бюджетное общеобразовательное учреждение города Москвы "Школа № 667 имени Героя Советского Союза К.Я. Самсонова"</t>
  </si>
  <si>
    <t>Государственное бюджетное общеобразовательное учреждение города Москвы "Школа № 709"</t>
  </si>
  <si>
    <t>Государственное бюджетное общеобразовательное учреждение города Москвы "Школа № 878"</t>
  </si>
  <si>
    <t>Государственное бюджетное общеобразовательное учреждение города Москвы "Школа № 953"</t>
  </si>
  <si>
    <t>Государственное бюджетное общеобразовательное учреждение города Москвы "Школа N 1101"</t>
  </si>
  <si>
    <t>Государственное бюджетное общеобразовательное учреждение города Москвы "Школа № 1150 имени дважды Героя Советского Союза К.К. Рокоссовского"</t>
  </si>
  <si>
    <t>Государственное бюджетное общеобразовательное учреждение города Москвы "Школа № 1151"</t>
  </si>
  <si>
    <t>Государственное бюджетное общеобразовательное учреждение города Москвы "Школа № 1191"</t>
  </si>
  <si>
    <t>Государственное бюджетное общеобразовательное учреждение города Москвы "Школа № 1205"</t>
  </si>
  <si>
    <t>Государственное Бюджетное общеобразовательное учреждение города Москвы "Школа № 1353 имени генерала Д.Ф. Алексеева"</t>
  </si>
  <si>
    <t>Государственное бюджетное общеобразовательное учреждение города Москвы "Школа № 1360"</t>
  </si>
  <si>
    <t>Государственное бюджетное общеобразовательное учреждение города Москвы "Школа № 1368"</t>
  </si>
  <si>
    <t>60.</t>
  </si>
  <si>
    <t>Государственное бюджетное общеобразовательное учреждение города Москвы "Школа № 1411"</t>
  </si>
  <si>
    <t>Государственное бюджетное общеобразовательное учреждение города Москвы "Школа № 1440"</t>
  </si>
  <si>
    <t>Государственное бюджетное общеобразовательное учреждение города Москвы "Школа № 1467"</t>
  </si>
  <si>
    <t>Государственное бюджетное общеобразовательное учреждение города Москвы "Школа № 1492"</t>
  </si>
  <si>
    <t>Государственное бюджетное общеобразовательное учреждение города Москвы "Школа № 1507"</t>
  </si>
  <si>
    <t>Государственное бюджетное общеобразовательное учреждение города Москвы "Школа № 1512 имени Героя Советского Союза Алии Молдагуловой"</t>
  </si>
  <si>
    <t>Государственное бюджетное общеобразовательное учреждение города Москвы "Школа № 1514"</t>
  </si>
  <si>
    <t>Государственное бюджетное общеобразовательное учреждение города Москвы "Школа № 1516"</t>
  </si>
  <si>
    <t>Государственное бюджетное общеобразовательное учреждение города Москвы "Школа № 1519"</t>
  </si>
  <si>
    <t>Государственное бюджетное общеобразовательное учреждение города Москвы "Школа № 1524"</t>
  </si>
  <si>
    <t>Государственное бюджетное общеобразовательное учреждение города Москвы "Школа № 1530 "Школа Ломоносова"</t>
  </si>
  <si>
    <t>Государственное бюджетное общеобразовательное учреждение города Москвы "Школа № 1532"</t>
  </si>
  <si>
    <t>Государственное бюджетное общеобразовательное учреждение города Москвы "Школа № 1537 "Информационные технологии"</t>
  </si>
  <si>
    <t>Государственное бюджетное общеобразовательное учреждение города Москвы "Школа № 1547"</t>
  </si>
  <si>
    <t>Государственное бюджетное общеобразовательное учреящение города Москвы "Школа № 1552"</t>
  </si>
  <si>
    <t>9 .</t>
  </si>
  <si>
    <t>Государственное бюджетное общеобразовательное учреждение города Москвы "Школа № 1568 имени Пабло Неруды"</t>
  </si>
  <si>
    <t>Государственное бюджетное общеобразовательное учреждение города Москвы "Школа № 1575"</t>
  </si>
  <si>
    <t>Государственное бюджетное общеобразовательное учреждение города Москвы "Школа № 1576"</t>
  </si>
  <si>
    <t>Государственное бюджетное общеобразовательное учреждение города Москвы "Бауманская инженерная школа № 1580"</t>
  </si>
  <si>
    <t>Государственное бюджетное общеобразовательное учреждение города Москвы "Инженерная школа № 1581"</t>
  </si>
  <si>
    <t>Государственное бюджетное общеобразовательное учреждение города Москвы "Школа № 1591"</t>
  </si>
  <si>
    <t>Государственное бюджетное общеобразовательное учреждение города Москвы "Школа № 1593"</t>
  </si>
  <si>
    <t>Государственное бюджетное общеобразовательное учреждение города Москвы "Школа N 1747"</t>
  </si>
  <si>
    <t>Государственное бюджетное общеобразовательное учреждение города Москвы "Школа № 1748 "Вертикаль"</t>
  </si>
  <si>
    <t>Государственное бюджетное общеобразовательное учреждение города Москвы "Школа № 1770"</t>
  </si>
  <si>
    <t>Государственное бюджетное общеобразовательное учреждение города Москвы "Школа № 1795 "Лосиноостровская"</t>
  </si>
  <si>
    <t>Государственное бюджетное общеобразовательное учреждение города Москвы "Школа № 1797 "Богородская"</t>
  </si>
  <si>
    <t>Государственное бюджетное общеобразовательное учреждение города Москвы "Школа N 1900"</t>
  </si>
  <si>
    <t>Государственное бюджетное общеобразовательное учреждение города Москвы "Школа № 1980"</t>
  </si>
  <si>
    <t>Государственное бюджетное общеобразовательное учреждение города Москвы "Школа № 1981"</t>
  </si>
  <si>
    <t>Государственное бюджетное общеобразовательное учреждение города Москвы "Школа № 2025"</t>
  </si>
  <si>
    <t>Государственное бюджетное общеобразовательное учреждение города Москвы "Школа № 2044 имени Героя Советского Союза А.М. Серебрякова"</t>
  </si>
  <si>
    <t>Государственное бюджетное общеобразовательное учреждение города Москвы "Школа № 2065"</t>
  </si>
  <si>
    <t>Государственное бюджетное общеобразовательное учреждение города Москвы "Школа № 2083"</t>
  </si>
  <si>
    <t>Государственное бюджетное общеобразовательное учреждение города Москвы "Школа № 2089"</t>
  </si>
  <si>
    <t>Государственное бюджетное общеобразовательное учреждение города Москвы "Школа № 2109"</t>
  </si>
  <si>
    <t>Государственное бюджетное общеобразовательное учреждение города Москвы "Школа № 2114"</t>
  </si>
  <si>
    <t>Государственное бюджетное общеобразовательное учреждение города Москвы "Школа № 2116 "Зябликово"</t>
  </si>
  <si>
    <t>Государственное бюджетное общеобразовательное учреждение города Москвы "Школа № 2121 имени Маршала Советского Союза С.К. Куркоткина"</t>
  </si>
  <si>
    <t>Государственное бюджетное общеобразовательное учреждение города Москвы "Школа Глория"</t>
  </si>
  <si>
    <t>Государственное бюджетное общеобразовательное учреждение города Москвы "Школа на проспекте Вернадского"</t>
  </si>
  <si>
    <t>Государственное бюджетное профессиональное образовательное учреждение города Москвы "Первый Московский Образовательный Комплекс"</t>
  </si>
  <si>
    <t>Государственное бюджетное общеобразовательное учреждение города Москвы "Школа № 45 имени Л.И. Мильграма"</t>
  </si>
  <si>
    <t>Государственное бюджетное общеобразовательное учреждение города Москвы "Школа № 64"</t>
  </si>
  <si>
    <t>Государственное бюджетное общеобразовательное учреждение города Москвы "Школа № 152"</t>
  </si>
  <si>
    <t>Государственное бюджетное общеобразовательное учреждение города Москвы "Школа № 338 имени Героя Советского Союза А.Ф. Авдеева"</t>
  </si>
  <si>
    <t>Государственное бюджетное общеобразовательное учреждение города Москвы "Школа № 460 имени дважды Героев Советского Союза А.А. Головачёва и С.Ф. Шутова"</t>
  </si>
  <si>
    <t>Государственное бюджетное общеобразовательное учреждение города Москвы "Школа № 403 имени Героя Советского Союза Д.Н.Медведева"</t>
  </si>
  <si>
    <t>Государственное бюджетное общеобразовательное учреждение города Москвы "Школа № 498"</t>
  </si>
  <si>
    <t>Государственное бюджетное общеобразовательное учреждение города Москвы "Школа № 630 имени дважды Героя Советского Союза Г.П. Кравченко"</t>
  </si>
  <si>
    <t>Государственное бюджетное общеобразовательное учреждение города Москвы "Школа N 667 имени Героя Советского Союза К.Я. Самсонова"</t>
  </si>
  <si>
    <t>Государственное бюджетное общеобразовательное учреждение города Москвы "Школа № 771"</t>
  </si>
  <si>
    <t>Государственное бюджетное общеобразовательное учреждение города Москвы "Школа № 1000"</t>
  </si>
  <si>
    <t>Государственное бюджетное общеобразовательное учреждение города Москвы "Школа № 1212 Щукино"</t>
  </si>
  <si>
    <t>Государственное бюджетное общеобразовательное учреждение города Москвы "Школа № 1252 имени Сервантеса"</t>
  </si>
  <si>
    <t>Государственное бюджетное общеобразовательное учреждение города Москвы "Школа № 1302"</t>
  </si>
  <si>
    <t>Государственное бюджетное общеобразовательное учреждение города Москвы "Школа № 1317"</t>
  </si>
  <si>
    <t>Государственное бюджетное общеобразовательное учреждение города Москвы "Школа № 1358"</t>
  </si>
  <si>
    <t>Государственное бюджетное общеобразовательное учреждение города Москвы "Школа № 1384 имени А.А. Леманского"</t>
  </si>
  <si>
    <t>Государственное бюджетное общеобразовательное учреждение города Москвы "Шуваловская школа № 1448"</t>
  </si>
  <si>
    <t>Государственное бюджетное общеобразовательное учреждение города Москвы "Школа N 1449 имени Героя Советского Союза М.В. Водопьянова"</t>
  </si>
  <si>
    <t>Государственное бюджетное общеобразовательное учреждение города Москвы "Школа № 1503"</t>
  </si>
  <si>
    <t>Государственное бюджетное общеобразовательное учреждение города Москвы "Школа № 1504"</t>
  </si>
  <si>
    <t>Государственное автономное общеобразовательное учреждение города Москвы "Школа № 1518"</t>
  </si>
  <si>
    <t>Государственное бюджетное общеобразовательное учреждение города Москвы "Школа № 1554"</t>
  </si>
  <si>
    <t>Государственное бюджетное общеобразовательное учреждение города Москвы "Школа N 1568 имени Пабло Неруды"</t>
  </si>
  <si>
    <t>Государственное бюджетное общеобразовательное учреждение города Москвы "Школа N 1576"</t>
  </si>
  <si>
    <t>Государственное бюджетное общеобразовательное учреждение города Москвы "Школа N 1579"</t>
  </si>
  <si>
    <t>Государственное бюджетное общеобразовательное учреждение города Москвы "Бауманская инженерная школа №1580"</t>
  </si>
  <si>
    <t>Государственное бюджетное общеобразовательное учреждение города Москвы "Школа N 1582"</t>
  </si>
  <si>
    <t>Государственное бюджетное общеобразовательное учреждение города Москвы "Школа № 1589"</t>
  </si>
  <si>
    <t>Государственное бюджетное общеобразовательное учреждение города Москвы "Школа N 2107"</t>
  </si>
  <si>
    <t>Государственное бюджетное общеобразовательное учреждение города Москвы "Школа № 2129" имени Героя Советского Союза П.И. Романова</t>
  </si>
  <si>
    <t>Государственное бюджетное общеобразовательное учреждение города Москвы "Школа № 368 "Лосиный остров"</t>
  </si>
  <si>
    <t>Государственное бюджетное общеобразовательное учреждение города Москвы "Школа № 554"</t>
  </si>
  <si>
    <t>Государственное бюджетное общеобразовательное учреждение города Москвы "Школа N 902 "Диалог"</t>
  </si>
  <si>
    <t>Государственное бюджетное общеобразовательное учреждение города Москвы "Школа № 1173"</t>
  </si>
  <si>
    <t>Государственное бюджетное общеобразовательное учреждение города Москвы "Школа № 1270 "Вектор"</t>
  </si>
  <si>
    <t>Государственное бюджетное общеобразовательное учреждение города Москвы "Школа № 1285"</t>
  </si>
  <si>
    <t>Государственное бюджетное общеобразовательное учреждение города Москвы "Школа № 1370"</t>
  </si>
  <si>
    <t>Государственное бюджетное общеобразовательное учреждение города Москвы "Школа N 1440"</t>
  </si>
  <si>
    <t>Государственное Бюджетное общеобразовательное учреждение города Москвы "Школа № 1465 имени адмирала Н.Г. Кузнецова"</t>
  </si>
  <si>
    <t>Государственное бюджетное общеобразовательное учреждение города Москвы "Школа 1466 имени Надежды Рушевой"</t>
  </si>
  <si>
    <t>Государственное бюджетное общеобразовательное учреждение города Москвы "Школа № 1522 имени В.И. Чуркина"</t>
  </si>
  <si>
    <t>SO.</t>
  </si>
  <si>
    <t>Государственное бюджетное общеобразовательное учреждение города Москвы "Школа 1584"</t>
  </si>
  <si>
    <t>Государственное бюджетное общеобразовательное учреждение города Москвы "Школа № 1590 имени Героя Советского Союза В.В. Колесника"</t>
  </si>
  <si>
    <t>Государственное бюджетное общеобразовательное учреждение города Москвы "Школа № 1935 имени Героя Советского Союза В. И. Кузнецова"</t>
  </si>
  <si>
    <t>Государственное бюджетное общеобразовательное учреждение города Москвы "Школа № 1948 "Лингвист-М"</t>
  </si>
  <si>
    <t>Государственное бюджетное общеобразовательное учреждение города Москвы "Школа N› 2127"</t>
  </si>
  <si>
    <t>Государственное Бюджетное общеобразовательное учреждение города Москвы "Школа № 429 "Соколиная гора"</t>
  </si>
  <si>
    <t>Государственное бюджетное общеобразовательное учреждение города Москвы "Школа № 625"</t>
  </si>
  <si>
    <t>Государственное бюджетное общеобразовательное учреждение города Москвы "Школа N 1212"</t>
  </si>
  <si>
    <t>Государственное автономное общеобразовательное учреждение города Москвы Школа № 1306 - "Школа молодых политиков"</t>
  </si>
  <si>
    <t>Государственное бюджетное общеобразовательное учреждение города Москвы "Школа N 1415 "Останкино"</t>
  </si>
  <si>
    <t>Государственное бюджетное общеобразовательное учреждение города Москвы "Школа N 1430 имени Героя Социалистического Труда Г.В. Кисунько"</t>
  </si>
  <si>
    <t>Государственное бюджетное общеобразовательное учреждение города Москвы "Школа № 1466 имени Надежды Рушевой"</t>
  </si>
  <si>
    <t>Государственное бюджетное общеобразовательное учреждение города Москвы "Школа № 1558 имени Росалии де Кастро"</t>
  </si>
  <si>
    <t>Государственное бюджетное общеобразовательное учреждение города Москвы "Школа № 2031"</t>
  </si>
  <si>
    <t>Государственное бюджетное общеобразовательное учреждение города Москвы "Школа № 2123 имени Мигеля Эрнандеса"</t>
  </si>
  <si>
    <t>Государственное бюджетное общеобразовательное учреждение города Москвы "Школа N 2129" имени Героя Советского Союза П.И. Романова</t>
  </si>
  <si>
    <t>№ п/п</t>
  </si>
  <si>
    <t xml:space="preserve">Классы </t>
  </si>
  <si>
    <t>Государственное бюджетное общеобразовательное учреждение города Москвы "Школа № 201 ордена Трудового Красного Знамени имени Героев Советского Союза Зои и Александра Космодемьянских"</t>
  </si>
  <si>
    <t>Государственное бюджетное общеобразовательное учреждение города Москвы "Школа № 709 имени дважды Героя Социалистического труда В.И. Долгих"</t>
  </si>
  <si>
    <t>Государственное бюджетное общеобразовательное учреждение города Москвы "Школа № 806"</t>
  </si>
  <si>
    <t>Государственное бюджетное общеобразовательное учреждение города Москвы "Школа 1741"</t>
  </si>
  <si>
    <t>Государственное бюджетное общеобразовательное учреждение города Москвы "Школа № 1900"</t>
  </si>
  <si>
    <t>Государственное бюджетное общеобразовательное учреждение города Москвы "Школа № 1935 имени Героя Советского Союза В.И. Кузнецова"</t>
  </si>
  <si>
    <t>Государственное бюджетное общеобразовательное учреждение города Москвы "Школа № 2090 имени Героя Советского Союза Л.Х. Паперника"</t>
  </si>
  <si>
    <t>Государственное бюджетное общеобразовательное учреждение города Москвы "Школа № 2117"</t>
  </si>
  <si>
    <t>Государственное бюджетное общеобразовательное учреждение города Москвы "Школа № 236 имени Героя Советского Союза Г.И. Щедрина"</t>
  </si>
  <si>
    <t>Государственное бюджетное общеобразовательное учреждение города Москвы "Школа № 463 имени Героя Советского Союза Д.Н. Медведева"</t>
  </si>
  <si>
    <t>Государственное бюджетное общеобразовательное учреждение города Москвы "Школа № 609"</t>
  </si>
  <si>
    <t>Государственное бюджетное общеобразовательное учреждение города Москвы "Школа № 1155"</t>
  </si>
  <si>
    <t>Государственное бюджетное общеобразовательное учреждение города Москвы "Школа № 1381"</t>
  </si>
  <si>
    <t>Государственное бюджетное общеобразовательное учреждение города Москвы "Школа № 1540"</t>
  </si>
  <si>
    <t>Государственное бюджетное общеобразовательное учреждение города Москвы "Школа № 1598"</t>
  </si>
  <si>
    <t>Государственное бюджетное общеобразовательное учреждение города Москвы "Школа № 1694 "Ясенево" имени П.М. Фитина</t>
  </si>
  <si>
    <t>Государственное бюджетное общеобразовательное учреждение города Москвы "Школа № 2075"</t>
  </si>
  <si>
    <t>Государственное бюджетное общеобразовательное учреждение города Москвы "Школа № 2094"</t>
  </si>
  <si>
    <t>Государственное бюджетное общеобразовательное учреждение города Москвы "Школа Перспектива"</t>
  </si>
  <si>
    <t>Государственное бюджетное общеобразовательное учреждение города Москвы "Школа N 56 имени академика В.А. Легасова"</t>
  </si>
  <si>
    <t>Государственное бюджетное общеобразовательное учреждение города Москвы "Школа N 123"</t>
  </si>
  <si>
    <t>Государственное бюджетное общеобразовательное учреждение города Москвы "Школа N 138"</t>
  </si>
  <si>
    <t>Государственное бюджетное общеобразовательное учреждение города Москвы "Школа N 158"</t>
  </si>
  <si>
    <t>Государственное бюджетное общеобразовательное учреждение города Москвы "Школа N 199"</t>
  </si>
  <si>
    <t>Государственное бюджетное общеобразовательное учреждение города Москвы "Школа N 544"</t>
  </si>
  <si>
    <t>Государственное бюджетное общеобразовательное учреждение города Москвы "Школа N 625"</t>
  </si>
  <si>
    <t>Государственное бюджетное общеобразовательное учреждение города Москвы "Школа N 630 имени дважды Героя Советского Союза Г.П. Кравченко"</t>
  </si>
  <si>
    <t>Государственное бюджетное общеобразовательное учреждение города Москвы "Школа N 777 имени Героя Советского Союза Е.В. Михайлова"</t>
  </si>
  <si>
    <t>Государственное бюджетное общеобразовательное учреждение города Москвы "Школа N 947"</t>
  </si>
  <si>
    <t>Государственное бюджетное общеобразовательное учреждение города Москвы "Школа N 956"</t>
  </si>
  <si>
    <t>Государственное бюджетное общеобразовательное учреждение города Москвы "Школа N 1158"</t>
  </si>
  <si>
    <t>Государственное бюджетное общеобразовательное учреждение города Москвы "Школа N 1194"</t>
  </si>
  <si>
    <t>Государственное бюджетное общеобразовательное учреждение города Москвы "Школа N 1207"</t>
  </si>
  <si>
    <t>Государственное бюджетное общеобразовательное учреждение города Москвы "Школа N 1231 имени В.Д. Поленова"</t>
  </si>
  <si>
    <t>Государственное бюджетное общеобразовательное учреждение города Москвы "Школа N 1238"</t>
  </si>
  <si>
    <t>Государственное бюджетное общеобразовательное учреждение города Москвы "Школа N 1253"</t>
  </si>
  <si>
    <t>Государственное бюджетное общеобразовательное учреждение города Москвы "Школа N 1282 "Сокольники"</t>
  </si>
  <si>
    <t>Государственное бюджетное общеобразовательное учреждение города Москвы "Школа N 1298 "Профиль Куркино"</t>
  </si>
  <si>
    <t>Государственное автономное общеобразовательное учреждение города Москвы Школа N 1306 - "Школа молодых политиков"</t>
  </si>
  <si>
    <t>Государственное бюджетное общеобразовательное учреждение города Москвы "Школа N 1317"</t>
  </si>
  <si>
    <t>Государственное бюджетное общеобразовательное учреждение города Москвы "Школа N 1329"</t>
  </si>
  <si>
    <t>Государственное бюджетное общеобразовательное учреждение города Москвы "Школа N 1347"</t>
  </si>
  <si>
    <t>Государственное бюджетное общеобразовательное учреждение города Москвы "Школа N 1359 имени авиаконструктора М.Л. Миля"</t>
  </si>
  <si>
    <t>Государственное бюджетное общеобразовательное учреждение города Москвы "Школа N 1363"</t>
  </si>
  <si>
    <t>Государственное бюджетное общеобразовательное учреждение города Москвы "Школа N 1400"</t>
  </si>
  <si>
    <t>Государственное бюджетное общеобразовательное учреждение города Москвы "Школа N 1409"</t>
  </si>
  <si>
    <t>Государственное бюджетное общеобразовательное учреждение города Москвы "Школа N 1416 "Лианозово"</t>
  </si>
  <si>
    <t>Государственное бюджетное общеобразовательное учреждение города Москвы "Шуваловская школа N 1448"</t>
  </si>
  <si>
    <t>Государственное бюджетное общеобразовательное учреждение города Москвы "Школа N 1454 "Тимирязевская"</t>
  </si>
  <si>
    <t>Государственное бюджетное общеобразовательное учреждение города Москвы "Школа N 1466 имени Надежды Рушевой"</t>
  </si>
  <si>
    <t>Государственное бюджетное общеобразовательное учреждение города Москвы "Школа N 1468"</t>
  </si>
  <si>
    <t>Государственное бюджетное общеобразовательное учреждение города Москвы "Школа N 1474"</t>
  </si>
  <si>
    <t>Государственное бюджетное общеобразовательное учреждение города Москвы "Школа N 1498 "Московская Международная Школа"</t>
  </si>
  <si>
    <t>Государственное бюджетное общеобразовательное учреждение города Москвы "Школа N 1501"</t>
  </si>
  <si>
    <t>Государственное бюджетное общеобразовательное учреждение города Москвы "Школа N 1505 "Преображенская"</t>
  </si>
  <si>
    <t>Государственное бюджетное общеобразовательное учреждение города Москвы "Измайловская школа N 1508"</t>
  </si>
  <si>
    <t>Государственное бюджетное общеобразовательное учреждение города Москвы "Школа N 1517"</t>
  </si>
  <si>
    <t>Государственное бюджетное общеобразовательное учреждение города Москвы "Школа N 1541"</t>
  </si>
  <si>
    <t>Государственное бюджетное общеобразовательное учреждение города Москвы "Школа N 1542"</t>
  </si>
  <si>
    <t>Государственное бюджетное общеобразовательное учреждение города Москвы "Школа N 1544"</t>
  </si>
  <si>
    <t>Государственное бюджетное общеобразовательное учреждение города Москвы "Школа N 1547"</t>
  </si>
  <si>
    <t>Государственное бюджетное общеобразовательное учреждение города Москвы "Школа N 1552"</t>
  </si>
  <si>
    <t>Государственное бюджетное общеобразовательное учреждение города Москвы "Школа N 1553 имени В.И. Вернадского"</t>
  </si>
  <si>
    <t>Государственное бюджетное общеобразовательное учреждение города Москвы "Школа N 1557 имени Петра Леонидовича Капицы"</t>
  </si>
  <si>
    <t>Государственное бюджетное общеобразовательное учреждение города Москвы "Школа N 1560 "Лидер"</t>
  </si>
  <si>
    <t>Государственное бюджетное общеобразовательное учреждение города Москвы "Марьинская школа N 1566 памяти Героев Сталинградской битвы"</t>
  </si>
  <si>
    <t>Государственное бюджетное общеобразовательное учреждение города Москвы "Школа N 1571"</t>
  </si>
  <si>
    <t>Государственное бюджетное общеобразовательное учреждение города Москвы "Школа N 1575"</t>
  </si>
  <si>
    <t>Государственное бюджетное общеобразовательное учреждение города Москвы "Школа N 1583 имени К.А. Керимова"</t>
  </si>
  <si>
    <t>Государственное бюджетное общеобразовательное учреждение города Москвы "Школа N 1584"</t>
  </si>
  <si>
    <t>Государственное бюджетное общеобразовательное учреждение города Москвы "Школа N 1636 "НИКА"</t>
  </si>
  <si>
    <t>Государственное бюджетное общеобразовательное учреждение города Москвы "Школа N 1770"</t>
  </si>
  <si>
    <t>Государственное бюджетное общеобразовательное учреждение города Москвы "Школа N 1811 "Восточное Измайлово"</t>
  </si>
  <si>
    <t>Государственное бюджетное общеобразовательное учреждение города Москвы "Школа N 1950"</t>
  </si>
  <si>
    <t>Государственное бюджетное общеобразовательное учреждение города Москвы "Школа N 1980"</t>
  </si>
  <si>
    <t>Государственное бюджетное общеобразовательное учреждение города Москвы "Школа N 2000"</t>
  </si>
  <si>
    <t>Государственное бюджетное общеобразовательное учреждение города Москвы "Школа N 2045 имени Героя Российской Федерации Д.А. Разумовского"</t>
  </si>
  <si>
    <t>Государственное бюджетное общеобразовательное учреждение города Москвы "Школа N 2048"</t>
  </si>
  <si>
    <t>Государственное бюджетное общеобразовательное учреждение города Москвы "Школа N 2070 имени Героя Советского Союза Г.А. Вартаняна"</t>
  </si>
  <si>
    <t>Государственное бюджетное общеобразовательное учреждение города Москвы "Школа N 2083"</t>
  </si>
  <si>
    <t>Государственное бюджетное общеобразовательное учреждение города Москвы "Школа N 2087 "Открытие"</t>
  </si>
  <si>
    <t>Государственное бюджетное общеобразовательное учреждение города Москвы "Школа N 2097"</t>
  </si>
  <si>
    <t>Государственное бюджетное общеобразовательное учреждение города Москвы "Школа N 2098 "Многопрофильный образовательный центр" имени Героя Советского Союза Л.М. Доватора"</t>
  </si>
  <si>
    <t>Государственное бюджетное общеобразовательное учреждение города Москвы "Школа N 2100"</t>
  </si>
  <si>
    <t>Государственное бюджетное общеобразовательное учреждение города Москвы "Школа N 2127"</t>
  </si>
  <si>
    <t>Государственное бюджетное общеобразовательное учреждение города Москвы "Школа N 1212 Щукино"</t>
  </si>
  <si>
    <t>Государственное бюджетное общеобразовательное учреждение города Москвы "Школа N 149 имени Героя Советского Союза Ю.Н. Зыкова"</t>
  </si>
  <si>
    <t>Государственное бюджетное общеобразовательное учреждение города Москвы "Школа N 283"</t>
  </si>
  <si>
    <t>Государственное бюджетное общеобразовательное учреждение города Москвы "Школа N 285 имени В.А. Молодцова"</t>
  </si>
  <si>
    <t>Государственное бюджетное общеобразовательное учреждение города Москвы "Школа N 338 имени Героя Советского Союза А.Ф. Авдеева"</t>
  </si>
  <si>
    <t>Государственное бюджетное общеобразовательное учреждение города Москвы "Школа N 429 "Соколиная гора"</t>
  </si>
  <si>
    <t>Государственное бюджетное общеобразовательное учреждение города Москвы "Школа N 444"</t>
  </si>
  <si>
    <t>Государственное бюджетное общеобразовательное учреждение города Москвы "Школа N 463 имени Героя Советского Союза Д.Н.Медведева"</t>
  </si>
  <si>
    <t>Государственное бюджетное общеобразовательное учреждение города Москвы "Школа N 949"</t>
  </si>
  <si>
    <t>Государственное бюджетное общеобразовательное учреждение города Москвы "Школа N 1228 "Лефортово"</t>
  </si>
  <si>
    <t>Государственное бюджетное общеобразовательное учреждение города Москвы "Школа N 1270 "Вектор"</t>
  </si>
  <si>
    <t>Государственное бюджетное общеобразовательное учреждение города Москвы "Школа N 1290"</t>
  </si>
  <si>
    <t>Государственное бюджетное общеобразовательное учреждение города Москвы "Школа N 1293"</t>
  </si>
  <si>
    <t>Государственное бюджетное общеобразовательное учреждение города Москвы "Школа N 1362"</t>
  </si>
  <si>
    <t>Государственное бюджетное общеобразовательное учреждение города Москвы "Школа N 1413"</t>
  </si>
  <si>
    <t>Государственное бюджетное общеобразовательное учреждение города Москвы "Школа N 1502 "Энергия"</t>
  </si>
  <si>
    <t>Государственное автономное общеобразовательное учреждение города Москвы "Школа N 1518"</t>
  </si>
  <si>
    <t>Государственное бюджетное общеобразовательное учреждение города Москвы "Школа N 1524"</t>
  </si>
  <si>
    <t>Государственное бюджетное общеобразовательное учреждение города Москвы "Школа N 1527"</t>
  </si>
  <si>
    <t>Государственное бюджетное общеобразовательное учреждение города Москвы "Школа N 1564 имени Героя Советского Союза А.П.Белобородова"</t>
  </si>
  <si>
    <t>Государственное бюджетное общеобразовательное учреждение города Москвы "Школа N 1637"</t>
  </si>
  <si>
    <t>Государственное бюджетное общеобразовательное учреждение города Москвы "Школа N 1799"</t>
  </si>
  <si>
    <t>Государственное бюджетное общеобразовательное учреждение города Москвы "Школа N 2072"</t>
  </si>
  <si>
    <t>Государственное бюджетное общеобразовательное учреждение города Москвы "Школа N 2101"</t>
  </si>
  <si>
    <t>Государственное бюджетное общеобразовательное учреждение города Москвы "Школа N 2123 имени Мигеля Эрнандеса"</t>
  </si>
  <si>
    <t>Государственное бюджетное общеобразовательное учреждение города Москвы "Школа N 1558 имени Росалии де Кастро"</t>
  </si>
  <si>
    <t>Государственное бюджетное общеобразовательное учреждение города Москвы "Школа N 86 имени М.Е. Катукова"</t>
  </si>
  <si>
    <t>Государственное бюджетное общеобразовательное учреждение города Москвы "Школа N 324 "Жар-птица"</t>
  </si>
  <si>
    <t>Государственное бюджетное общеобразовательное учреждение города Москвы "Школа N 498"</t>
  </si>
  <si>
    <t>Государственное бюджетное общеобразовательное учреждение города Москвы "Школа N 727"</t>
  </si>
  <si>
    <t>Государственное бюджетное общеобразовательное учреждение города Москвы "Школа N 760 имени А.П. Маресьева"</t>
  </si>
  <si>
    <t>Государственное бюджетное общеобразовательное учреждение города Москвы "Школа N 1195"</t>
  </si>
  <si>
    <t>Государственное бюджетное общеобразовательное учреждение города Москвы "Школа N 1251 имени генерала Шарля де Голля"</t>
  </si>
  <si>
    <t>Государственное бюджетное общеобразовательное учреждение города Москвы "Школа N 1353 имени генерала Д.Ф. Алексеева"</t>
  </si>
  <si>
    <t>Государственное бюджетное общеобразовательное учреждение города Москвы "Школа N 1354 "Вектор"</t>
  </si>
  <si>
    <t>Государственное бюджетное общеобразовательное учреждение города Москвы "Школа N 1370"</t>
  </si>
  <si>
    <t>Государственное бюджетное общеобразовательное учреждение города Москвы "Школа N 1371 "Крылатское"</t>
  </si>
  <si>
    <t>Государственное бюджетное общеобразовательное учреждение города Москвы "Пушкинская школа N 1500"</t>
  </si>
  <si>
    <t>Государственное бюджетное общеобразовательное учреждение города Москвы "Школа N 1793 имени Героя Советского Союза А.К. Новикова"</t>
  </si>
  <si>
    <t>Государственное бюджетное общеобразовательное учреждение города Москвы "Школа N 1795 "Лосиноостровская"</t>
  </si>
  <si>
    <t>Государственное бюджетное общеобразовательное учреждение города Москвы "Школа N 2009"</t>
  </si>
  <si>
    <t>Государственное бюджетное общеобразовательное учреждение города Москвы "Школа № 14"</t>
  </si>
  <si>
    <t>Государственное бюджетное общеобразовательное учреждение города Москвы "Школа № 37"</t>
  </si>
  <si>
    <t>Государственное бюджетное общеобразовательное учреждение города Москвы "Школа № 1284"</t>
  </si>
  <si>
    <t>Государственное бюджетное общеобразовательное учреждение города Москвы "Школа № 1296"</t>
  </si>
  <si>
    <t>Государственное бюджетное общеобразовательное учреждение города Москвы "Школа № 1531 имени С. К. Годовикова"</t>
  </si>
  <si>
    <t>Государственное бюджетное общеобразовательное учреждение города Москвы "Школа № 1786"</t>
  </si>
  <si>
    <t>Государственное бюджетное общеобразовательное учреждение города Москвы "Школа № 1985"</t>
  </si>
  <si>
    <t>Государственное бюджетное общеобразовательное учреждение города Москвы "Школа № 2104 на Таганке"</t>
  </si>
  <si>
    <t>Сайт</t>
  </si>
  <si>
    <t>Адрес</t>
  </si>
  <si>
    <t>1.</t>
  </si>
  <si>
    <t>11 класс</t>
  </si>
  <si>
    <t>2.</t>
  </si>
  <si>
    <t>3.</t>
  </si>
  <si>
    <t>Государственное бюджетное общеобразовательное учреждение города Москвы "Школа № 58"</t>
  </si>
  <si>
    <t>10 класс</t>
  </si>
  <si>
    <t>4.</t>
  </si>
  <si>
    <t>5.</t>
  </si>
  <si>
    <t>Государственное бюджетное общеобразовательное учреждение города Москвы "Школа № 86 имени М.Е. Катукова"</t>
  </si>
  <si>
    <t>6.</t>
  </si>
  <si>
    <t>Государственное бюджетное общеобразовательное учреждение города Москвы "Школа № 118"</t>
  </si>
  <si>
    <t>7.</t>
  </si>
  <si>
    <t>8.</t>
  </si>
  <si>
    <t>10, 11 класс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</si>
  <si>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</si>
  <si>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</si>
  <si>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</si>
  <si>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</si>
  <si>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</si>
  <si>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</si>
  <si>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</si>
  <si>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</si>
  <si>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</si>
  <si>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</si>
  <si>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Государственное бюджетное общеобразовательное учреждение города Москвы "Школа № 491 "Марьино"</t>
  </si>
  <si>
    <t>19.</t>
  </si>
  <si>
    <t>20.</t>
  </si>
  <si>
    <t>21.</t>
  </si>
  <si>
    <t>22.</t>
  </si>
  <si>
    <t>Государственное бюджетное общеобразовательное учреждение города Москвы "Школа № 547"</t>
  </si>
  <si>
    <t>23.</t>
  </si>
  <si>
    <t>24.</t>
  </si>
  <si>
    <t>25.</t>
  </si>
  <si>
    <t>26.</t>
  </si>
  <si>
    <t>27.</t>
  </si>
  <si>
    <t>Государственное бюджетное общеобразовательное учреждение города Москвы "Школа № 629"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</si>
  <si>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</si>
  <si>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</si>
  <si>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</si>
  <si>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</si>
  <si>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</si>
  <si>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</si>
  <si>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</si>
  <si>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</si>
  <si>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</si>
  <si>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</si>
  <si>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</si>
  <si>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</si>
  <si>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</si>
  <si>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Государственное бюджетное общеобразовательное учреждение города Москвы "Школа № 937 имени Героя Российской Федерации А.В. Перова"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</si>
  <si>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</si>
  <si>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</si>
  <si>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</si>
  <si>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</si>
  <si>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</si>
  <si>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</si>
  <si>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</si>
  <si>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</si>
  <si>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</si>
  <si>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</si>
  <si>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</si>
  <si>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</si>
  <si>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</si>
  <si>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</si>
  <si>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</si>
  <si>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</si>
  <si>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</si>
  <si>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</si>
  <si>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</si>
  <si>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</si>
  <si>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</si>
  <si>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</si>
  <si>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</si>
  <si>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</si>
  <si>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</si>
  <si>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</si>
  <si>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</si>
  <si>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</si>
  <si>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</si>
  <si>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</si>
  <si>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</si>
  <si>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</si>
  <si>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</si>
  <si>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</si>
  <si>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</si>
  <si>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</si>
  <si>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Государственное бюджетное общеобразовательное учреждение города Москвы "Школа № 1374"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</si>
  <si>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</si>
  <si>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</si>
  <si>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</si>
  <si>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</si>
  <si>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</si>
  <si>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</si>
  <si>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</si>
  <si>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</si>
  <si>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</si>
  <si>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</si>
  <si>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</si>
  <si>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</si>
  <si>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</si>
  <si>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</si>
  <si>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</si>
  <si>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</si>
  <si>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</si>
  <si>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</si>
  <si>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</si>
  <si>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</si>
  <si>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</si>
  <si>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</si>
  <si>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</si>
  <si>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</si>
  <si>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</si>
  <si>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</si>
  <si>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</si>
  <si>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</si>
  <si>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</si>
  <si>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</si>
  <si>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</si>
  <si>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</si>
  <si>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</si>
  <si>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</si>
  <si>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</si>
  <si>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</si>
  <si>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</si>
  <si>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</si>
  <si>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</si>
  <si>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</si>
  <si>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</si>
  <si>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</si>
  <si>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</si>
  <si>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</si>
  <si>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</si>
  <si>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</si>
  <si>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</si>
  <si>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</si>
  <si>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</si>
  <si>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</si>
  <si>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</si>
  <si>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</si>
  <si>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</si>
  <si>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</si>
  <si>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</si>
  <si>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</si>
  <si>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</si>
  <si>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Государственное бюджетное общеобразовательное учреждение города Москвы "Школа № 1747 имени Героя Советского Союза Д.М. Румянцева"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</si>
  <si>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</si>
  <si>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</si>
  <si>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</si>
  <si>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</si>
  <si>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</si>
  <si>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</si>
  <si>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</si>
  <si>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</si>
  <si>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</si>
  <si>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</si>
  <si>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</si>
  <si>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</si>
  <si>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</si>
  <si>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</si>
  <si>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</si>
  <si>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</si>
  <si>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</si>
  <si>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</si>
  <si>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</si>
  <si>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</si>
  <si>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Государственное бюджетное общеобразовательное учреждение города Москвы "Школа № 1998 "Лукоморье"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</si>
  <si>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</si>
  <si>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</si>
  <si>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</si>
  <si>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</si>
  <si>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</si>
  <si>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</si>
  <si>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</si>
  <si>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</si>
  <si>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</si>
  <si>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</si>
  <si>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</si>
  <si>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</si>
  <si>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</si>
  <si>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</si>
  <si>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</si>
  <si>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</si>
  <si>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</si>
  <si>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</si>
  <si>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</si>
  <si>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</si>
  <si>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</si>
  <si>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</si>
  <si>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</si>
  <si>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</si>
  <si>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</si>
  <si>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</si>
  <si>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</si>
  <si>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</si>
  <si>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</si>
  <si>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</si>
  <si>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</si>
  <si>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</si>
  <si>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</si>
  <si>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</si>
  <si>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Государственное автономное общеобразовательное учреждение города Москвы "Гимназия г. Троицка"</t>
  </si>
  <si>
    <t>189.</t>
  </si>
  <si>
    <t>Государственное автономное общеобразовательное учреждение города Москвы "Лицей города Троицка"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</si>
  <si>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</si>
  <si>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</si>
  <si>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</si>
  <si>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</si>
  <si>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</si>
  <si>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</si>
  <si>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</si>
  <si>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</si>
  <si>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</si>
  <si>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</si>
  <si>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</si>
  <si>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</si>
  <si>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</si>
  <si>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</si>
  <si>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</si>
  <si>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</si>
  <si>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</si>
  <si>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</si>
  <si>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https://sch138sz.mskobr.ru/</t>
  </si>
  <si>
    <t>ул. Генерала Глаголева, д. 10, к. 2</t>
  </si>
  <si>
    <t>https://sch171c.mskobr.ru/</t>
  </si>
  <si>
    <t>ул. 2-я Фрунзенская, д. 7А</t>
  </si>
  <si>
    <t>https://sch185s.mskobr.ru/</t>
  </si>
  <si>
    <t>https://sch192uz.mskobr.ru/</t>
  </si>
  <si>
    <t>Ленинский проспект, д. 34А</t>
  </si>
  <si>
    <t>https://sch199uz.mskobr.ru/</t>
  </si>
  <si>
    <t>ул. Дмитрия Ульянова,  д. 15</t>
  </si>
  <si>
    <t>https://gym201s.mskobr.ru/</t>
  </si>
  <si>
    <t>ул. Зои и Александра Космодемьянских, д. 3, к. 1</t>
  </si>
  <si>
    <t>https://sch338tn.mskobr.ru/</t>
  </si>
  <si>
    <t>п. Коммунарка, ул. Александры Монаховой,			д. 94А;			п. Коммунарка, ул. Потаповская Роща, д. 22</t>
  </si>
  <si>
    <t>https://sch354c.mskobr.ru/</t>
  </si>
  <si>
    <t>Лефортовский переулок, д. 10</t>
  </si>
  <si>
    <t>https://schv444.mskobr.ru/</t>
  </si>
  <si>
    <t>ул. 8-я Парковая, д. 9</t>
  </si>
  <si>
    <t>https://lyc507u.mskobr.ru/</t>
  </si>
  <si>
    <t>https://sch544u.mskobr.ru/</t>
  </si>
  <si>
    <t>Шипиловский проезд, д. 73</t>
  </si>
  <si>
    <t>https://gympushkova.mskobr.ru/</t>
  </si>
  <si>
    <t>ул. Домодедовская, д. 35,			к. 2</t>
  </si>
  <si>
    <t>https://sch618zg.mskobr.ru/</t>
  </si>
  <si>
    <t>город Зеленоград, к. 222А</t>
  </si>
  <si>
    <t>https://sch627.mskobr.ru/</t>
  </si>
  <si>
    <t>https://sch641uv.mskobr.ru/</t>
  </si>
  <si>
    <t>Волгоградский проспект,			д. 66, к. 4</t>
  </si>
  <si>
    <t>https://sch648.mskobr.ru/</t>
  </si>
  <si>
    <t>https://sch667u.mskobr.ru/</t>
  </si>
  <si>
    <t>Востряковский проезд,			д. 13А, стр. 1</t>
  </si>
  <si>
    <t>https://sch827sz.mskobr.ru/</t>
  </si>
  <si>
    <t>ул. Туристская, д. 19, к. 5</t>
  </si>
  <si>
    <t>https://sch853zg.mskobr.ru/</t>
  </si>
  <si>
    <t>г. Зеленоград, к. 913А</t>
  </si>
  <si>
    <t>https://sch947u.mskobr.ru/</t>
  </si>
  <si>
    <t>ул. Лебедянская, д. 14, к. 3</t>
  </si>
  <si>
    <t>https://sch956sv-new.mskobr.ru/</t>
  </si>
  <si>
    <t>https://sch962sv.mskobr.ru/</t>
  </si>
  <si>
    <t>ул. Санникова, д. 3, к. 3</t>
  </si>
  <si>
    <t>Солнцевский проспект,			д. 16А/1</t>
  </si>
  <si>
    <t>https://sch1034.mskobr.ru/</t>
  </si>
  <si>
    <t>ул. Братеевская, д. 18</t>
  </si>
  <si>
    <t>https://sch1101uz.mskobr.ru/</t>
  </si>
  <si>
    <t>https://sch1158.mskobr.ru/</t>
  </si>
  <si>
    <t>Битцевский пр., д. 10</t>
  </si>
  <si>
    <t>https://sch1194zg.mskobr.ru/</t>
  </si>
  <si>
    <t>г. Зеленоград, к. 1530</t>
  </si>
  <si>
    <t>https://sch1195.mskobr.ru/</t>
  </si>
  <si>
    <t>ул. Рябиновая, д. 8, к. 2</t>
  </si>
  <si>
    <t>https://sch1208uv.mskobr.ru/</t>
  </si>
  <si>
    <t>ул. Шумилова, д. 9</t>
  </si>
  <si>
    <t>https://sch1231.mskobr.ru/</t>
  </si>
  <si>
    <t>Спасопесковский пер., д. 6, стр. 7</t>
  </si>
  <si>
    <t>https://sch1238.mskobr.ru/</t>
  </si>
  <si>
    <t>ул. Лукинская, д. 12, к. 1</t>
  </si>
  <si>
    <t>https://sch1253c.mskobr.ru/</t>
  </si>
  <si>
    <t>Зубовский бульвар, д. 5, стр. 1</t>
  </si>
  <si>
    <t>https://sch1259.mskobr.ru/</t>
  </si>
  <si>
    <t>5-й Монетчиковский пер.,         д. 7</t>
  </si>
  <si>
    <t>https://sch1288s.mskobr.ru/</t>
  </si>
  <si>
    <t>Хорошевское шоссе, д. 21</t>
  </si>
  <si>
    <t>https://sch1298sz.mskobr.ru/</t>
  </si>
  <si>
    <t>ул. Юровская, д. 99</t>
  </si>
  <si>
    <t>https://sch1329.mskobr.ru/</t>
  </si>
  <si>
    <t>ул. Лобачевского, д. 66</t>
  </si>
  <si>
    <t>https://sch1347.mskobr.ru/</t>
  </si>
  <si>
    <t>ул. 50 лет Октября, д. 13А</t>
  </si>
  <si>
    <t>https://sch1354uz.mskobr.ru/</t>
  </si>
  <si>
    <t>ул. Изюмская, д. 34, к. 3</t>
  </si>
  <si>
    <t>https://sch1355uz.mskobr.ru/</t>
  </si>
  <si>
    <t>ул. Джанкойская, д. 7</t>
  </si>
  <si>
    <t>https://sch1357uv.mskobr.ru/</t>
  </si>
  <si>
    <t>Перервинский бульвар,			д. 10, к. 1</t>
  </si>
  <si>
    <t>https://sch1359uv.mskobr.ru/</t>
  </si>
  <si>
    <t>Лермонтовский пр-т, д. 14, к. 2</t>
  </si>
  <si>
    <t>https://sch1363uv.mskobr.ru/</t>
  </si>
  <si>
    <t>Ферганский проезд, д. 5,			к. 2</t>
  </si>
  <si>
    <t>https://lyc1367uv.mskobr.ru/</t>
  </si>
  <si>
    <t>ул. Саратовская, д. 16, к. 2</t>
  </si>
  <si>
    <t>https://sch1375u.mskobr.ru/</t>
  </si>
  <si>
    <t>ул. Высокая, д. 14</t>
  </si>
  <si>
    <t>https://sch1387.mskobr.ru/</t>
  </si>
  <si>
    <t>ул. Соколово-Мещерская,			д. 27</t>
  </si>
  <si>
    <t>Государственное бюджетное общеобразовательное учреждение города Москвы "Школа № 1392 имени Д.В.Рябинкина"</t>
  </si>
  <si>
    <t>https://schtn1392.mskobr.ru/</t>
  </si>
  <si>
    <t>ул. 2-я Нововатутинская, д. 2</t>
  </si>
  <si>
    <t>https://gym1409s-new.mskobr.ru/</t>
  </si>
  <si>
    <t>ул. Авиаконструктора Микояна, д. 2</t>
  </si>
  <si>
    <t>https://sch1412sv.mskobr.ru/</t>
  </si>
  <si>
    <t>https://sch1434.mskobr.ru/</t>
  </si>
  <si>
    <t>ул. Раменки, д. 15, к. 1</t>
  </si>
  <si>
    <t>https://sch1449sv.mskobr.ru/</t>
  </si>
  <si>
    <t>ул. Новгородская, д. 7А</t>
  </si>
  <si>
    <t>https://sch1454s.mskobr.ru/</t>
  </si>
  <si>
    <t>ул.Тимирязевская, д. 14 А</t>
  </si>
  <si>
    <t>https://sch1468.mskobr.ru/</t>
  </si>
  <si>
    <t>ул. Новорогожская, д. 3Б</t>
  </si>
  <si>
    <t>https://sch1474s.mskobr.ru/</t>
  </si>
  <si>
    <t>ул. Клинская д. 24А</t>
  </si>
  <si>
    <t>https://lycc1501.mskobr.ru/</t>
  </si>
  <si>
    <t>ул. Долгоруковская, д. 6, стр. 2</t>
  </si>
  <si>
    <t>https://1502.mskobr.ru/</t>
  </si>
  <si>
    <t>ул. Молостовых, д. 10А,			ул. 2-я Бухвостова, д. 6</t>
  </si>
  <si>
    <t>https://gym1505v.mskobr.ru/</t>
  </si>
  <si>
    <t>ул. 2-я Пугачевская, д. 12А</t>
  </si>
  <si>
    <t>https://gym1506.mskobr.ru/</t>
  </si>
  <si>
    <t>ул. Широкая, д.1А</t>
  </si>
  <si>
    <t>https://gym1516.mskobr.ru/</t>
  </si>
  <si>
    <t>ул. Новосибирская, д. 3А</t>
  </si>
  <si>
    <t>https://1517.mskobr.ru/</t>
  </si>
  <si>
    <t>ул. Живописная, д. 11, к. 1</t>
  </si>
  <si>
    <t>https://gym1527u.mskobr.ru/</t>
  </si>
  <si>
    <t>просп. Андропова, д. 17,			к. 5</t>
  </si>
  <si>
    <t>https://gym1530.mskobr.ru/</t>
  </si>
  <si>
    <t>ул. Егерская, д. 4</t>
  </si>
  <si>
    <t>https://gym1534uz.mskobr.ru/</t>
  </si>
  <si>
    <t>https://lyc1535.mskobr.ru/</t>
  </si>
  <si>
    <t>Малый Саввинский пер.,			д. 8</t>
  </si>
  <si>
    <t>https://gym1538sz.mskobr.ru/</t>
  </si>
  <si>
    <t>Новотушинский проезд,			д. 8, к. 2</t>
  </si>
  <si>
    <t>https://gym1539sv.mskobr.ru/</t>
  </si>
  <si>
    <t>ул. Новоалексеевская, д. 8</t>
  </si>
  <si>
    <t>https://1541.mskobr.ru/</t>
  </si>
  <si>
    <t>просп. Вернадского, д. 55</t>
  </si>
  <si>
    <t>https://gym1544sz.mskobr.ru/</t>
  </si>
  <si>
    <t>ул. Пенягинская, д. 14</t>
  </si>
  <si>
    <t>https://gymu1552.mskobr.ru/</t>
  </si>
  <si>
    <t>https://lycu1553.mskobr.ru/</t>
  </si>
  <si>
    <t>ул. Дербеневская, д.13</t>
  </si>
  <si>
    <t>https://lyc1557zg.mskobr.ru/</t>
  </si>
  <si>
    <t>г. Зеленоград, к. 344а</t>
  </si>
  <si>
    <t>https://1560.mskobr.ru/</t>
  </si>
  <si>
    <t>ул. Мневники д. 14, к. 1</t>
  </si>
  <si>
    <t>https://sch1561uz.mskobr.ru/</t>
  </si>
  <si>
    <t>ул. Голубинская, д. 23, к. 3</t>
  </si>
  <si>
    <t>https://lyc1564.mskobr.ru/</t>
  </si>
  <si>
    <t>Уваровский пер., д. 8</t>
  </si>
  <si>
    <t>https://gym1569u.mskobr.ru/</t>
  </si>
  <si>
    <t>Ореховый бульвар, д. 35,			к. 3</t>
  </si>
  <si>
    <t>https://lyc1571sz.mskobr.ru/</t>
  </si>
  <si>
    <t>ул. Фомичевой, д. 1, к. 1</t>
  </si>
  <si>
    <t>https://gum1573.mskobr.ru/</t>
  </si>
  <si>
    <t>https://lyc1574.mskobr.ru/</t>
  </si>
  <si>
    <t>ул. 1-я Миусская, д. 4</t>
  </si>
  <si>
    <t>https://gym1583s-new.mskobr.ru/</t>
  </si>
  <si>
    <t>https://sch1584.mskobr.ru/</t>
  </si>
  <si>
    <t>Рублевское шоссе, д. 24,			к. 3</t>
  </si>
  <si>
    <t>Государственное бюджетное общеобразовательное учреждение города Москвы "Школа № 1619 имени М.И. Цветаевой"</t>
  </si>
  <si>
    <t>https://1619.mskobr.ru/</t>
  </si>
  <si>
    <t>ул. Таллинская, д. 12, к. 4</t>
  </si>
  <si>
    <t>https://gym1636u.mskobr.ru/</t>
  </si>
  <si>
    <t>ул. Воронежская, д. 7, к. 2</t>
  </si>
  <si>
    <t>Государственное бюджетное общеобразовательное учреждение города Москвы "Московская международная школа" (ГБОУ Школа № 1637)</t>
  </si>
  <si>
    <t>https://gymmg.mskobr.ru/</t>
  </si>
  <si>
    <t>ул. 3-я Владимирская,			д. 12 А</t>
  </si>
  <si>
    <t>https://sch1747sz.mskobr.ru/</t>
  </si>
  <si>
    <t>ул., Барышиха, д. 32</t>
  </si>
  <si>
    <t>https://gym1748v.mskobr.ru/</t>
  </si>
  <si>
    <t>ул. Сиреневый бульвар,			д. 73, к. 3</t>
  </si>
  <si>
    <t>https://sch1770.mskobr.ru/</t>
  </si>
  <si>
    <t>ул., Корабельная, д. 13А</t>
  </si>
  <si>
    <t>https://gum1788tn.mskobr.ru/</t>
  </si>
  <si>
    <t>п. Внуковское, ул. Бориса Пастернака, д. 16</t>
  </si>
  <si>
    <t>https://lyc1793uv.mskobr.ru/</t>
  </si>
  <si>
    <t>ул. Маршала Полубоярова, д. 12</t>
  </si>
  <si>
    <t>https://sch1799.mskobr.ru/</t>
  </si>
  <si>
    <t>ул. Бродников пер., д. 3</t>
  </si>
  <si>
    <t>https://1811.mskobr.ru/</t>
  </si>
  <si>
    <t>ул. Нижняя Первомайская, д. 51</t>
  </si>
  <si>
    <t>https://sch1861u.mskobr.ru/</t>
  </si>
  <si>
    <t>ул. Михневская, д. 8, к. 2</t>
  </si>
  <si>
    <t>https://sch1862u.mskobr.ru/</t>
  </si>
  <si>
    <t>ул. Артековская, д. 3</t>
  </si>
  <si>
    <t>https://sch1950.mskobr.ru/</t>
  </si>
  <si>
    <t>ул. Красина, д. 20, стр. 1</t>
  </si>
  <si>
    <t>https://sch1995uz.mskobr.ru/</t>
  </si>
  <si>
    <t>ул. Саморы Машела, д. 6			к. 3</t>
  </si>
  <si>
    <t>https://sch2005sz.mskobr.ru/</t>
  </si>
  <si>
    <t>ул. Родионовская, д. 6/7</t>
  </si>
  <si>
    <t>https://sch2006uz.mskobr.ru/</t>
  </si>
  <si>
    <t>ул. Грина, д. 18, к. 3, стр. 1</t>
  </si>
  <si>
    <t>https://sch2033v.mskobr.ru/</t>
  </si>
  <si>
    <t>ул. 13-я Парковая, д. 33</t>
  </si>
  <si>
    <t>https://sch2036v.mskobr.ru/</t>
  </si>
  <si>
    <t>ул. Дмитриевского, д. 5</t>
  </si>
  <si>
    <t>https://sch2045zg.mskobr.ru/</t>
  </si>
  <si>
    <t>г. Зеленоград, к. 2011</t>
  </si>
  <si>
    <t>https://2048.mskobr.ru/</t>
  </si>
  <si>
    <t>ул. Липчанского, д. 6А</t>
  </si>
  <si>
    <t>https://sch2051uv-new.mskobr.ru/</t>
  </si>
  <si>
    <t>ул. Проспект Защитников Москвы, д. 9, к. 2</t>
  </si>
  <si>
    <t>https://sch2054.mskobr.ru/</t>
  </si>
  <si>
    <t>ул. Петровка, д. 23/10, стр. 18, 21</t>
  </si>
  <si>
    <t>https://sch2065tn.mskobr.ru/</t>
  </si>
  <si>
    <t>г. Московский, 3-й микрорайон,д. 8</t>
  </si>
  <si>
    <t>https://sch2070.mskobr.ru/</t>
  </si>
  <si>
    <t>ул. Эдварда Грига, д. 3,			ул. Александры Монаховой, д.107, к. 3</t>
  </si>
  <si>
    <t>https://sch2087uv.mskobr.ru/</t>
  </si>
  <si>
    <t>ул. Батайский проезд, д. 45</t>
  </si>
  <si>
    <t>https://sch2094tn.mskobr.ru/</t>
  </si>
  <si>
    <t>ул. Большое Понизовье, д. 9</t>
  </si>
  <si>
    <t>https://sch2097sz.mskobr.ru/</t>
  </si>
  <si>
    <t>ул. Туристская, д. 11, к. 2</t>
  </si>
  <si>
    <t>https://sch2098s.mskobr.ru/</t>
  </si>
  <si>
    <t>ул. Ангарская, д. 22А</t>
  </si>
  <si>
    <t>https://sch2107.mskobr.ru/</t>
  </si>
  <si>
    <t>ул. Гиляровского, д. 21</t>
  </si>
  <si>
    <t>https://sch2117.mskobr.ru/</t>
  </si>
  <si>
    <t>ул. 40 лет Октября, д.5/1</t>
  </si>
  <si>
    <t>https://sch2120tn.mskobr.ru/</t>
  </si>
  <si>
    <t>г. Московский, ул. Бианки, д. 9А</t>
  </si>
  <si>
    <t>https://2127.mskobr.ru/</t>
  </si>
  <si>
    <t>ул. Салтыковская, д. 13Б</t>
  </si>
  <si>
    <t>Государственное автономное общеобразовательное учреждение города Москвы "Гимназия имени Н.В. Пушкова"</t>
  </si>
  <si>
    <t>г. Троицк ул. Профессора Летохова, д. 1</t>
  </si>
  <si>
    <t>ТиНАО</t>
  </si>
  <si>
    <t>https://veshsch.mskobr.ru/</t>
  </si>
  <si>
    <t>https://kurchat.mskobr.ru/</t>
  </si>
  <si>
    <t>https://rs.mskobr.ru/</t>
  </si>
  <si>
    <t>ул. Большой Кондратьевский пер, д. 3</t>
  </si>
  <si>
    <t>https://dmitrovsky.mskobr.ru/</t>
  </si>
  <si>
    <t>ул. Карельский бульвар,			д. 20</t>
  </si>
  <si>
    <t>https://integral.mskobr.ru/</t>
  </si>
  <si>
    <t>ул. Барклая, д. 5А</t>
  </si>
  <si>
    <t>https://maryno.mskobr.ru/</t>
  </si>
  <si>
    <t>ул. Батайский проезд, д. 23</t>
  </si>
  <si>
    <t>https://pkvartal.mskobr.ru/</t>
  </si>
  <si>
    <t>ул. Большой Трёхсвятительский пер.,			д. 4</t>
  </si>
  <si>
    <t>https://kapotnya.mskobr.ru/</t>
  </si>
  <si>
    <t>ул. Капотня, 5-й квартал,			д. 29</t>
  </si>
  <si>
    <t>https://gym1595.mskobr.ru/</t>
  </si>
  <si>
    <t>ул. Вертолетчиков, д. 2В</t>
  </si>
  <si>
    <t>https://mayak.mskobr.ru/</t>
  </si>
  <si>
    <t>ул. Крутицкий Вал, д. 5</t>
  </si>
  <si>
    <t>https://sch-mr.mskobr.ru/</t>
  </si>
  <si>
    <t>ул. Новосущевская, д. 20</t>
  </si>
  <si>
    <t>https://sch1200.mskobr.ru/</t>
  </si>
  <si>
    <t>ул. Новокосинская, д. 13А, стр. 1</t>
  </si>
  <si>
    <t>Государственное бюджетное общеобразовательное учреждение города Москвы "Школа № 158"</t>
  </si>
  <si>
    <t>Государственное бюджетное общеобразовательное учреждение города Москвы "Школа № 281"</t>
  </si>
  <si>
    <t>Государственное бюджетное общеобразовательное учреждение города Москвы "Школа № 534"</t>
  </si>
  <si>
    <t>Государственное бюджетное общеобразовательное учреждение города Москвы "Школа № 1794 имени А.С. Чуфистова"</t>
  </si>
  <si>
    <t>Государственное бюджетное общеобразовательное учреждение города Москвы "Школа № 2073"</t>
  </si>
  <si>
    <t>Государственное автономное образовательное учреждение высшего образования города Москвы "Московский городской педагогический университет"</t>
  </si>
  <si>
    <t>муниципальный округ Раменки</t>
  </si>
  <si>
    <t>муниципальный округ Вешняки</t>
  </si>
  <si>
    <t>муниципальный округ Измайлово</t>
  </si>
  <si>
    <t>муниципальный округ Щукино</t>
  </si>
  <si>
    <t>муниципальный округ Марьино</t>
  </si>
  <si>
    <t>муниципальный округ Филевский Парк</t>
  </si>
  <si>
    <t>муниципальный округ Красносельский</t>
  </si>
  <si>
    <t>муниципальный округ Пресненский</t>
  </si>
  <si>
    <t>муниципальный округ Дмитровский</t>
  </si>
  <si>
    <t>муниципальный округ Басманный</t>
  </si>
  <si>
    <t>муниципальный округ Свиблово</t>
  </si>
  <si>
    <t>муниципальный округ Тропарево-Никулино</t>
  </si>
  <si>
    <t>муниципальный округ Крюково</t>
  </si>
  <si>
    <t>муниципальный округ Чертаново Северное</t>
  </si>
  <si>
    <t>муниципальный округ Митино</t>
  </si>
  <si>
    <t>муниципальный округ Можайский</t>
  </si>
  <si>
    <t>муниципальный округ Орехово-Борисово Южное</t>
  </si>
  <si>
    <t>муниципальный округ Кузьминки</t>
  </si>
  <si>
    <t>муниципальный округ Лефортово</t>
  </si>
  <si>
    <t>муниципальный округ Арбат</t>
  </si>
  <si>
    <t>муниципальный округ Ново-Переделкино</t>
  </si>
  <si>
    <t>муниципальный округ Сокол</t>
  </si>
  <si>
    <t>муниципальный округ Хамовники</t>
  </si>
  <si>
    <t>муниципальный округ Даниловский</t>
  </si>
  <si>
    <t>муниципальный округ Сокольники</t>
  </si>
  <si>
    <t>муниципальный округ Хорошевский</t>
  </si>
  <si>
    <t>муниципальный округ Куркино</t>
  </si>
  <si>
    <t>муниципальный округ Обручевский</t>
  </si>
  <si>
    <t>муниципальный округ Новогиреево</t>
  </si>
  <si>
    <t>муниципальный округ Солнцево</t>
  </si>
  <si>
    <t>муниципальный округ Матушкино</t>
  </si>
  <si>
    <t>муниципальный округ Южное Бутово</t>
  </si>
  <si>
    <t>муниципальный округ Выхино-Жулебино</t>
  </si>
  <si>
    <t>муниципальный округ Алтуфьевский</t>
  </si>
  <si>
    <t>муниципальный округ Крылатское</t>
  </si>
  <si>
    <t>муниципальный округ Хорошево-Мневники</t>
  </si>
  <si>
    <t>муниципальный округ Останкинский</t>
  </si>
  <si>
    <t>муниципальный округ Лианозово</t>
  </si>
  <si>
    <t>муниципальный округ Тимирязевский</t>
  </si>
  <si>
    <t>муниципальный округ Царицыно</t>
  </si>
  <si>
    <t>муниципальный округ Таганский</t>
  </si>
  <si>
    <t>муниципальный округ Ховрино</t>
  </si>
  <si>
    <t>муниципальный округ Тверской</t>
  </si>
  <si>
    <t>муниципальный округ Преображенское</t>
  </si>
  <si>
    <t>муниципальный округ Гольяново</t>
  </si>
  <si>
    <t>муниципальный округ Нагатинский Затон</t>
  </si>
  <si>
    <t>муниципальный округ Алексеевский</t>
  </si>
  <si>
    <t>муниципальный округ Проспект Вернадского</t>
  </si>
  <si>
    <t>муниципальный округ Зябликово</t>
  </si>
  <si>
    <t>муниципальное образование Савелки</t>
  </si>
  <si>
    <t>муниципальный округ Беговой</t>
  </si>
  <si>
    <t>муниципальный округ Северное Тушино</t>
  </si>
  <si>
    <t>муниципальный округ Аэропорт</t>
  </si>
  <si>
    <t>муниципальный округ Москворечье-Сабурово</t>
  </si>
  <si>
    <t>муниципальный округ Левобережный</t>
  </si>
  <si>
    <t>муниципальный округ Головинский</t>
  </si>
  <si>
    <t>муниципальный округ Кунцево</t>
  </si>
  <si>
    <t>муниципальный округ Коньково</t>
  </si>
  <si>
    <t>поселение Внуковское</t>
  </si>
  <si>
    <t>муниципальный округ Метрогородок</t>
  </si>
  <si>
    <t>муниципальный округ Восточное Измайлово</t>
  </si>
  <si>
    <t>муниципальный округ Бирюлево Восточное</t>
  </si>
  <si>
    <t>муниципальный округ Нагорный</t>
  </si>
  <si>
    <t>муниципальный округ Академический</t>
  </si>
  <si>
    <t>муниципальный округ Северное Бутово</t>
  </si>
  <si>
    <t>муниципальный округ Войковский</t>
  </si>
  <si>
    <t>муниципальный округ Косино-Ухтомский</t>
  </si>
  <si>
    <t>муниципальный округ Некрасовка</t>
  </si>
  <si>
    <t>муниципальный округ Мещанский</t>
  </si>
  <si>
    <t>поселение "Мосрентген"</t>
  </si>
  <si>
    <t>муниципальный округ Южное Тушино</t>
  </si>
  <si>
    <t>муниципальный округ Западное Дегунино</t>
  </si>
  <si>
    <t>муниципальный округ Новокосино</t>
  </si>
  <si>
    <t>муниципальный округ Южнопортовый</t>
  </si>
  <si>
    <t>Государственное бюджетное общеобразовательное учреждение города Москвы "Школа № 324 "Жар-птица"</t>
  </si>
  <si>
    <t>поселение Воскресенское</t>
  </si>
  <si>
    <t>муниципальный округ Дорогомилово</t>
  </si>
  <si>
    <t>муниципальный округ Замоскворечье</t>
  </si>
  <si>
    <t>муниципальный округ Донской</t>
  </si>
  <si>
    <t>муниципальный округ Ломоносовский</t>
  </si>
  <si>
    <t>муниципальный округ Покровское-Стрешнево</t>
  </si>
  <si>
    <t>муниципальный округ Ярославский</t>
  </si>
  <si>
    <t>муниципальный округ Рязанский</t>
  </si>
  <si>
    <t>муниципальный округ Старое Крюково</t>
  </si>
  <si>
    <t>муниципальный округ Строгино</t>
  </si>
  <si>
    <t>Государственное бюджетное общеобразовательное учреждение города Москвы "Школа № 902 "Диалог""</t>
  </si>
  <si>
    <t>муниципальный округ Южное Медведково</t>
  </si>
  <si>
    <t>муниципальный округ Бибирево</t>
  </si>
  <si>
    <t>муниципальный округ Люблино</t>
  </si>
  <si>
    <t>муниципальный округ Марьина Роща</t>
  </si>
  <si>
    <t>Государственное бюджетное общеобразовательное учреждение города Москвы "Школа № 117"</t>
  </si>
  <si>
    <t>Государственное бюджетное общеобразовательное учреждение города Москвы "Школа № 1179"</t>
  </si>
  <si>
    <t>Государственное бюджетное общеобразовательное учреждение города Москвы "Школа № 1190"</t>
  </si>
  <si>
    <t>Государственное бюджетное общеобразовательное учреждение города Москвы "Школа № 1450 "Олимп"</t>
  </si>
  <si>
    <t>Государственное бюджетное общеобразовательное учреждение города Москвы "Школа № 1987"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</si>
</sst>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0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>
      <sz val="10.0"/>
      <color rgb="FF000000"/>
      <name val="Montserrat"/>
    </font>
    <font>
      <sz val="10.0"/>
      <color theme="1"/>
      <name val="Montserrat"/>
    </font>
    <font>
      <b/>
      <sz val="10.0"/>
      <color rgb="FF000000"/>
      <name val="Montserrat"/>
    </font>
    <font>
      <b/>
      <color theme="1"/>
      <name val="Arial"/>
      <scheme val="minor"/>
    </font>
    <font>
      <b/>
      <sz val="10.0"/>
      <color theme="1"/>
      <name val="Montserrat"/>
    </font>
    <font/>
    <font>
      <color rgb="FF000000"/>
      <name val="Montserrat"/>
    </font>
    <font>
      <b/>
      <color rgb="FF000000"/>
      <name val="Montserrat"/>
    </font>
    <font>
      <color rgb="FF1F1F1F"/>
      <name val="Montserrat"/>
    </font>
    <font>
      <color theme="1"/>
      <name val="Arial"/>
      <scheme val="minor"/>
    </font>
    <font>
      <sz val="10.0"/>
      <color rgb="FF1C1C1C"/>
      <name val="Montserrat"/>
    </font>
    <font>
      <sz val="10.0"/>
      <color rgb="FF0A0A0A"/>
      <name val="Montserrat"/>
    </font>
    <font>
      <sz val="10.0"/>
      <color rgb="FF0F0F0F"/>
      <name val="Montserrat"/>
    </font>
    <font>
      <sz val="10.0"/>
      <color rgb="FF262626"/>
      <name val="Montserrat"/>
    </font>
    <font>
      <sz val="10.0"/>
      <color rgb="FF151515"/>
      <name val="Montserrat"/>
    </font>
    <font>
      <sz val="10.0"/>
      <color rgb="FF0C0C0C"/>
      <name val="Montserrat"/>
    </font>
    <font>
      <sz val="10.0"/>
      <color rgb="FF232323"/>
      <name val="Montserrat"/>
    </font>
    <font>
      <sz val="10.0"/>
      <color rgb="FF2D2D2D"/>
      <name val="Montserrat"/>
    </font>
    <font>
      <sz val="10.0"/>
      <color rgb="FF1D1D1D"/>
      <name val="Montserrat"/>
    </font>
    <font>
      <sz val="10.0"/>
      <color rgb="FF1F1F1F"/>
      <name val="Montserrat"/>
    </font>
    <font>
      <sz val="10.0"/>
      <color rgb="FF161616"/>
      <name val="Montserrat"/>
    </font>
    <font>
      <sz val="10.0"/>
      <color rgb="FF313131"/>
      <name val="Montserrat"/>
    </font>
    <font>
      <sz val="10.0"/>
      <color rgb="FF1A1A1A"/>
      <name val="Montserrat"/>
    </font>
    <font>
      <sz val="10.0"/>
      <color rgb="FF282828"/>
      <name val="Montserrat"/>
    </font>
    <font>
      <sz val="10.0"/>
      <color rgb="FF111111"/>
      <name val="Montserrat"/>
    </font>
    <font>
      <sz val="10.0"/>
      <color rgb="FF212121"/>
      <name val="Montserrat"/>
    </font>
    <font>
      <sz val="10.0"/>
      <color rgb="FF181818"/>
      <name val="Montserrat"/>
    </font>
    <font>
      <sz val="10.0"/>
      <color rgb="FF131313"/>
      <name val="Montserrat"/>
    </font>
    <font>
      <sz val="10.0"/>
      <color rgb="FF2A2A2A"/>
      <name val="Montserrat"/>
    </font>
    <font>
      <sz val="10.0"/>
      <color rgb="FF333333"/>
      <name val="Montserrat"/>
    </font>
    <font>
      <sz val="10.0"/>
      <color rgb="FF2B2B2B"/>
      <name val="Montserrat"/>
    </font>
    <font>
      <sz val="10.0"/>
      <color rgb="FF0E0E0E"/>
      <name val="Montserrat"/>
    </font>
    <font>
      <sz val="10.0"/>
      <color rgb="FF383838"/>
      <name val="Montserrat"/>
    </font>
    <font>
      <sz val="10.0"/>
      <color rgb="FF242424"/>
      <name val="Montserrat"/>
    </font>
    <font>
      <sz val="10.0"/>
      <color rgb="FF2F2F2F"/>
      <name val="Montserrat"/>
    </font>
    <font>
      <sz val="10.0"/>
      <color rgb="FF363636"/>
      <name val="Montserrat"/>
    </font>
    <font>
      <sz val="10.0"/>
      <color rgb="FF343434"/>
      <name val="Montserrat"/>
    </font>
    <font>
      <sz val="10.0"/>
      <color rgb="FF3B3B3B"/>
      <name val="Montserrat"/>
    </font>
    <font>
      <sz val="10.0"/>
      <color rgb="FF3A3A3A"/>
      <name val="Montserrat"/>
    </font>
    <font>
      <sz val="10.0"/>
      <color rgb="FF414141"/>
      <name val="Montserrat"/>
    </font>
    <font>
      <sz val="10.0"/>
      <color rgb="FF3D3D3D"/>
      <name val="Montserrat"/>
    </font>
    <font>
      <sz val="10.0"/>
      <color rgb="FF3F3F3F"/>
      <name val="Montserrat"/>
    </font>
    <font>
      <color rgb="FF363636"/>
      <name val="Montserrat"/>
    </font>
    <font>
      <color rgb="FF333333"/>
      <name val="Montserrat"/>
    </font>
    <font>
      <color rgb="FF3A3A3A"/>
      <name val="Montserrat"/>
    </font>
    <font>
      <color rgb="FF2D2D2D"/>
      <name val="Montserrat"/>
    </font>
    <font>
      <color rgb="FF313131"/>
      <name val="Montserrat"/>
    </font>
    <font>
      <color rgb="FF3B3B3B"/>
      <name val="Montserrat"/>
    </font>
    <font>
      <color rgb="FF343434"/>
      <name val="Montserrat"/>
    </font>
    <font>
      <color rgb="FF383838"/>
      <name val="Montserrat"/>
    </font>
    <font>
      <color rgb="FF2F2F2F"/>
      <name val="Montserrat"/>
    </font>
    <font>
      <color rgb="FF3D3D3D"/>
      <name val="Montserrat"/>
    </font>
    <font>
      <color rgb="FF282828"/>
      <name val="Montserrat"/>
    </font>
    <font>
      <color rgb="FF2A2A2A"/>
      <name val="Montserrat"/>
    </font>
    <font>
      <color rgb="FF2B2B2B"/>
      <name val="Montserrat"/>
    </font>
    <font>
      <color rgb="FF3F3F3F"/>
      <name val="Montserrat"/>
    </font>
    <font>
      <u/>
      <sz val="10.0"/>
      <color rgb="FF0000FF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9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0" fontId="8" numFmtId="0" xfId="0" applyBorder="1" applyFont="1"/>
    <xf borderId="0" fillId="0" fontId="5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4" fillId="6" fontId="7" numFmtId="0" xfId="0" applyAlignment="1" applyBorder="1" applyFill="1" applyFont="1">
      <alignment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5" fillId="6" fontId="7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0" fillId="0" fontId="9" numFmtId="49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quotePrefix="1" borderId="5" fillId="0" fontId="3" numFmtId="0" xfId="0" applyAlignment="1" applyBorder="1" applyFont="1">
      <alignment readingOrder="0" shrinkToFit="0" vertical="center" wrapText="1"/>
    </xf>
    <xf borderId="0" fillId="7" fontId="3" numFmtId="0" xfId="0" applyAlignment="1" applyFill="1" applyFont="1">
      <alignment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quotePrefix="1" borderId="8" fillId="0" fontId="3" numFmtId="0" xfId="0" applyAlignment="1" applyBorder="1" applyFont="1">
      <alignment readingOrder="0" shrinkToFit="0" vertical="center" wrapText="1"/>
    </xf>
    <xf borderId="0" fillId="8" fontId="10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0" fontId="12" numFmtId="0" xfId="0" applyAlignment="1" applyFont="1">
      <alignment horizontal="left" shrinkToFit="0" wrapText="1"/>
    </xf>
    <xf borderId="2" fillId="9" fontId="1" numFmtId="0" xfId="0" applyAlignment="1" applyBorder="1" applyFill="1" applyFont="1">
      <alignment horizontal="left" readingOrder="0" shrinkToFit="0" wrapText="1"/>
    </xf>
    <xf borderId="1" fillId="9" fontId="1" numFmtId="0" xfId="0" applyAlignment="1" applyBorder="1" applyFont="1">
      <alignment horizontal="left" readingOrder="0" shrinkToFit="0" wrapText="1"/>
    </xf>
    <xf borderId="3" fillId="9" fontId="1" numFmtId="0" xfId="0" applyAlignment="1" applyBorder="1" applyFont="1">
      <alignment horizontal="left" readingOrder="0" shrinkToFit="0" wrapText="1"/>
    </xf>
    <xf borderId="4" fillId="0" fontId="2" numFmtId="49" xfId="0" applyAlignment="1" applyBorder="1" applyFont="1" applyNumberFormat="1">
      <alignment readingOrder="0" shrinkToFit="0" wrapText="1"/>
    </xf>
    <xf borderId="0" fillId="0" fontId="2" numFmtId="0" xfId="0" applyAlignment="1" applyFont="1">
      <alignment horizontal="left" readingOrder="0" shrinkToFit="0" wrapText="1"/>
    </xf>
    <xf borderId="5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6" fillId="0" fontId="2" numFmtId="49" xfId="0" applyAlignment="1" applyBorder="1" applyFont="1" applyNumberFormat="1">
      <alignment readingOrder="0" shrinkToFit="0" wrapText="1"/>
    </xf>
    <xf borderId="7" fillId="0" fontId="2" numFmtId="0" xfId="0" applyAlignment="1" applyBorder="1" applyFont="1">
      <alignment horizontal="left" readingOrder="0" shrinkToFit="0" wrapText="1"/>
    </xf>
    <xf borderId="8" fillId="0" fontId="2" numFmtId="0" xfId="0" applyAlignment="1" applyBorder="1" applyFont="1">
      <alignment horizontal="left" readingOrder="0" shrinkToFit="0" wrapText="1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horizontal="left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37" numFmtId="0" xfId="0" applyAlignment="1" applyFont="1">
      <alignment horizontal="left" readingOrder="0" shrinkToFit="0" vertical="center" wrapText="1"/>
    </xf>
    <xf borderId="0" fillId="0" fontId="31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26" numFmtId="0" xfId="0" applyAlignment="1" applyFont="1">
      <alignment horizontal="left" readingOrder="0" shrinkToFit="0" vertical="center" wrapText="1"/>
    </xf>
    <xf borderId="0" fillId="0" fontId="33" numFmtId="0" xfId="0" applyAlignment="1" applyFont="1">
      <alignment horizontal="left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left" readingOrder="0" shrinkToFit="0" vertical="center" wrapText="1"/>
    </xf>
    <xf borderId="0" fillId="0" fontId="41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42" numFmtId="0" xfId="0" applyAlignment="1" applyFont="1">
      <alignment horizontal="center" readingOrder="0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0" fillId="0" fontId="44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horizontal="center" readingOrder="0" shrinkToFit="0" vertical="center" wrapText="1"/>
    </xf>
    <xf borderId="0" fillId="0" fontId="46" numFmtId="0" xfId="0" applyAlignment="1" applyFont="1">
      <alignment horizontal="left" readingOrder="0" shrinkToFit="0" vertical="center" wrapText="1"/>
    </xf>
    <xf borderId="0" fillId="0" fontId="47" numFmtId="0" xfId="0" applyAlignment="1" applyFont="1">
      <alignment horizontal="center" readingOrder="0" shrinkToFit="0" vertical="center" wrapText="1"/>
    </xf>
    <xf borderId="0" fillId="0" fontId="48" numFmtId="0" xfId="0" applyAlignment="1" applyFont="1">
      <alignment horizontal="left" readingOrder="0" shrinkToFit="0" vertical="center" wrapText="1"/>
    </xf>
    <xf borderId="0" fillId="0" fontId="49" numFmtId="0" xfId="0" applyAlignment="1" applyFont="1">
      <alignment horizontal="left" readingOrder="0" shrinkToFit="0" vertical="center" wrapText="1"/>
    </xf>
    <xf borderId="0" fillId="0" fontId="50" numFmtId="0" xfId="0" applyAlignment="1" applyFont="1">
      <alignment horizontal="center" readingOrder="0" shrinkToFit="0" vertical="center" wrapText="1"/>
    </xf>
    <xf borderId="0" fillId="0" fontId="51" numFmtId="0" xfId="0" applyAlignment="1" applyFont="1">
      <alignment horizontal="left" readingOrder="0" shrinkToFit="0" vertical="center" wrapText="1"/>
    </xf>
    <xf borderId="0" fillId="0" fontId="52" numFmtId="0" xfId="0" applyAlignment="1" applyFont="1">
      <alignment horizontal="center" readingOrder="0" shrinkToFit="0" vertical="center" wrapText="1"/>
    </xf>
    <xf borderId="0" fillId="0" fontId="53" numFmtId="0" xfId="0" applyAlignment="1" applyFont="1">
      <alignment horizontal="left" readingOrder="0" shrinkToFit="0" vertical="center" wrapText="1"/>
    </xf>
    <xf borderId="0" fillId="0" fontId="46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horizontal="left" readingOrder="0" shrinkToFit="0" vertical="center" wrapText="1"/>
    </xf>
    <xf borderId="0" fillId="0" fontId="52" numFmtId="0" xfId="0" applyAlignment="1" applyFont="1">
      <alignment horizontal="left" readingOrder="0" shrinkToFit="0" vertical="center" wrapText="1"/>
    </xf>
    <xf borderId="0" fillId="0" fontId="51" numFmtId="0" xfId="0" applyAlignment="1" applyFont="1">
      <alignment horizontal="center" readingOrder="0" shrinkToFit="0" vertical="center" wrapText="1"/>
    </xf>
    <xf borderId="0" fillId="0" fontId="53" numFmtId="0" xfId="0" applyAlignment="1" applyFont="1">
      <alignment horizontal="center" readingOrder="0" shrinkToFit="0" vertical="center" wrapText="1"/>
    </xf>
    <xf borderId="0" fillId="0" fontId="49" numFmtId="0" xfId="0" applyAlignment="1" applyFont="1">
      <alignment horizontal="center" readingOrder="0" shrinkToFit="0" vertical="center" wrapText="1"/>
    </xf>
    <xf borderId="0" fillId="0" fontId="54" numFmtId="0" xfId="0" applyAlignment="1" applyFont="1">
      <alignment horizontal="center" readingOrder="0" shrinkToFit="0" vertical="center" wrapText="1"/>
    </xf>
    <xf borderId="0" fillId="0" fontId="55" numFmtId="0" xfId="0" applyAlignment="1" applyFont="1">
      <alignment horizontal="left" readingOrder="0" shrinkToFit="0" vertical="center" wrapText="1"/>
    </xf>
    <xf borderId="0" fillId="0" fontId="48" numFmtId="0" xfId="0" applyAlignment="1" applyFont="1">
      <alignment horizontal="center" readingOrder="0" shrinkToFit="0" vertical="center" wrapText="1"/>
    </xf>
    <xf borderId="0" fillId="0" fontId="56" numFmtId="0" xfId="0" applyAlignment="1" applyFont="1">
      <alignment horizontal="left" readingOrder="0" shrinkToFit="0" vertical="center" wrapText="1"/>
    </xf>
    <xf borderId="0" fillId="0" fontId="57" numFmtId="0" xfId="0" applyAlignment="1" applyFont="1">
      <alignment horizontal="left" readingOrder="0" shrinkToFit="0" vertical="center" wrapText="1"/>
    </xf>
    <xf borderId="0" fillId="0" fontId="5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58" numFmtId="0" xfId="0" applyAlignment="1" applyFont="1">
      <alignment horizontal="center" readingOrder="0" shrinkToFit="0" vertical="center" wrapText="1"/>
    </xf>
    <xf borderId="0" fillId="0" fontId="57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Font="1"/>
    <xf borderId="0" fillId="0" fontId="9" numFmtId="0" xfId="0" applyAlignment="1" applyFont="1">
      <alignment horizontal="center" readingOrder="0" vertical="center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12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vertical="center" wrapText="1"/>
    </xf>
    <xf borderId="0" fillId="0" fontId="59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9"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i/>
        <color rgb="FF666666"/>
      </font>
      <fill>
        <patternFill patternType="solid">
          <fgColor rgb="FFF3F3F3"/>
          <bgColor rgb="FFF3F3F3"/>
        </patternFill>
      </fill>
      <border/>
    </dxf>
    <dxf>
      <font>
        <color rgb="FFB6D7A8"/>
      </font>
      <fill>
        <patternFill patternType="solid">
          <fgColor rgb="FFB6D7A8"/>
          <bgColor rgb="FFB6D7A8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количества школ-участников программы по годам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'Визуализация данных'!$E$2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'Визуализация данных'!$D$3:$D$6</c:f>
            </c:strRef>
          </c:cat>
          <c:val>
            <c:numRef>
              <c:f>'Визуализация данных'!$E$3:$E$6</c:f>
              <c:numCache/>
            </c:numRef>
          </c:val>
          <c:smooth val="1"/>
        </c:ser>
        <c:ser>
          <c:idx val="1"/>
          <c:order val="1"/>
          <c:tx>
            <c:strRef>
              <c:f>'Визуализация данных'!$F$2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'Визуализация данных'!$D$3:$D$6</c:f>
            </c:strRef>
          </c:cat>
          <c:val>
            <c:numRef>
              <c:f>'Визуализация данных'!$F$3:$F$6</c:f>
              <c:numCache/>
            </c:numRef>
          </c:val>
          <c:smooth val="1"/>
        </c:ser>
        <c:ser>
          <c:idx val="2"/>
          <c:order val="2"/>
          <c:tx>
            <c:strRef>
              <c:f>'Визуализация данных'!$G$2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'Визуализация данных'!$D$3:$D$6</c:f>
            </c:strRef>
          </c:cat>
          <c:val>
            <c:numRef>
              <c:f>'Визуализация данных'!$G$3:$G$6</c:f>
              <c:numCache/>
            </c:numRef>
          </c:val>
          <c:smooth val="1"/>
        </c:ser>
        <c:ser>
          <c:idx val="3"/>
          <c:order val="3"/>
          <c:tx>
            <c:strRef>
              <c:f>'Визуализация данных'!$H$2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'Визуализация данных'!$D$3:$D$6</c:f>
            </c:strRef>
          </c:cat>
          <c:val>
            <c:numRef>
              <c:f>'Визуализация данных'!$H$3:$H$6</c:f>
              <c:numCache/>
            </c:numRef>
          </c:val>
          <c:smooth val="1"/>
        </c:ser>
        <c:ser>
          <c:idx val="4"/>
          <c:order val="4"/>
          <c:tx>
            <c:strRef>
              <c:f>'Визуализация данных'!$I$2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'Визуализация данных'!$D$3:$D$6</c:f>
            </c:strRef>
          </c:cat>
          <c:val>
            <c:numRef>
              <c:f>'Визуализация данных'!$I$3:$I$6</c:f>
              <c:numCache/>
            </c:numRef>
          </c:val>
          <c:smooth val="1"/>
        </c:ser>
        <c:ser>
          <c:idx val="5"/>
          <c:order val="5"/>
          <c:tx>
            <c:strRef>
              <c:f>'Визуализация данных'!$J$2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'Визуализация данных'!$D$3:$D$6</c:f>
            </c:strRef>
          </c:cat>
          <c:val>
            <c:numRef>
              <c:f>'Визуализация данных'!$J$3:$J$6</c:f>
              <c:numCache/>
            </c:numRef>
          </c:val>
          <c:smooth val="1"/>
        </c:ser>
        <c:axId val="201402154"/>
        <c:axId val="82179631"/>
      </c:lineChart>
      <c:catAx>
        <c:axId val="201402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Год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79631"/>
      </c:catAx>
      <c:valAx>
        <c:axId val="82179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Количество школ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02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Распределение профилей на 2025-2026 учебный год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'Визуализация данных'!$E$2:$J$2</c:f>
            </c:strRef>
          </c:cat>
          <c:val>
            <c:numRef>
              <c:f>'Визуализация данных'!$E$5:$J$5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Рост с 2023 по 2025 по каждому из профилей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'Визуализация данных'!$M$1:$M$2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'Визуализация данных'!$L$3:$L$8</c:f>
            </c:strRef>
          </c:cat>
          <c:val>
            <c:numRef>
              <c:f>'Визуализация данных'!$M$3:$M$8</c:f>
              <c:numCache/>
            </c:numRef>
          </c:val>
        </c:ser>
        <c:axId val="536107088"/>
        <c:axId val="638245603"/>
      </c:barChart>
      <c:catAx>
        <c:axId val="53610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Профиль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245603"/>
      </c:catAx>
      <c:valAx>
        <c:axId val="638245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Проценты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1070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6</xdr:row>
      <xdr:rowOff>123825</xdr:rowOff>
    </xdr:from>
    <xdr:ext cx="8829675" cy="54578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866775</xdr:colOff>
      <xdr:row>26</xdr:row>
      <xdr:rowOff>161925</xdr:rowOff>
    </xdr:from>
    <xdr:ext cx="8829675" cy="56007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10</xdr:row>
      <xdr:rowOff>9525</xdr:rowOff>
    </xdr:from>
    <xdr:ext cx="5981700" cy="369570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399" sheet="Главная таблица"/>
  </cacheSource>
  <cacheFields>
    <cacheField name="Название школы (school_name)" numFmtId="0">
      <sharedItems>
        <s v="Школа 7"/>
        <s v="Школа 14"/>
        <s v="Школа 15"/>
        <s v="Школа 17"/>
        <s v="Школа 37"/>
        <s v="Школа 41"/>
        <s v="Школа 45"/>
        <s v="Школа 56"/>
        <s v="Школа 58"/>
        <s v="Школа 64"/>
        <s v="Школа 67"/>
        <s v="Школа 69"/>
        <s v="Школа 86"/>
        <s v="Школа 97"/>
        <s v="Школа 109"/>
        <s v="Школа 113"/>
        <s v="Школа 117"/>
        <s v="Школа 118"/>
        <s v="Школа 123"/>
        <s v="Школа 138"/>
        <s v="Школа 141"/>
        <s v="Школа 149"/>
        <s v="Школа 152"/>
        <s v="Школа 158"/>
        <s v="Школа 167"/>
        <s v="Школа 171"/>
        <s v="Школа 185"/>
        <s v="Школа 192"/>
        <s v="Школа 199"/>
        <s v="Школа 201"/>
        <s v="Школа 224"/>
        <s v="Школа 236"/>
        <s v="Школа 281"/>
        <s v="Школа 283"/>
        <s v="Школа 285"/>
        <s v="Школа 319"/>
        <s v="Школа 324"/>
        <s v="Школа 338"/>
        <s v="Школа 354"/>
        <s v="Школа 368"/>
        <s v="Школа 403"/>
        <s v="Школа 429"/>
        <s v="Школа 444"/>
        <s v="Школа 460"/>
        <s v="Школа 463"/>
        <s v="Школа 467"/>
        <s v="Школа 491"/>
        <s v="Школа 498"/>
        <s v="Школа 504"/>
        <s v="Школа 507"/>
        <s v="Школа 508"/>
        <s v="Школа 534"/>
        <s v="Школа 544"/>
        <s v="Школа 547"/>
        <s v="Школа 548"/>
        <s v="Школа 554"/>
        <s v="Школа 556"/>
        <s v="Школа 597"/>
        <s v="Школа 609"/>
        <s v="Школа 618"/>
        <s v="Школа 625"/>
        <s v="Школа 626"/>
        <s v="Школа 627"/>
        <s v="Школа 629"/>
        <s v="Школа 630"/>
        <s v="Школа 641"/>
        <s v="Школа 648"/>
        <s v="Школа 654"/>
        <s v="Школа 656"/>
        <s v="Школа 664"/>
        <s v="Школа 667"/>
        <s v="Школа 709"/>
        <s v="Школа 727"/>
        <s v="Школа 760"/>
        <s v="Школа 763"/>
        <s v="Школа 771"/>
        <s v="Школа 777"/>
        <s v="Школа 806"/>
        <s v="Школа 814"/>
        <s v="Школа 827"/>
        <s v="Школа 853"/>
        <s v="Школа 854"/>
        <s v="Школа 875"/>
        <s v="Школа 878"/>
        <s v="Школа 883"/>
        <s v="Школа 887"/>
        <s v="Школа 902"/>
        <s v="Школа 904"/>
        <s v="Школа 924"/>
        <s v="Школа 937"/>
        <s v="Школа 947"/>
        <s v="Школа 949"/>
        <s v="Школа 950"/>
        <s v="Школа 953"/>
        <s v="Школа 956"/>
        <s v="Школа 962"/>
        <s v="Школа 998"/>
        <s v="Школа 1000"/>
        <s v="Школа 1002"/>
        <s v="Школа 1018"/>
        <s v="Школа 1034"/>
        <s v="Школа 1080"/>
        <s v="Школа 1095"/>
        <s v="Школа 1101"/>
        <s v="Школа 1103"/>
        <s v="Школа 1150"/>
        <s v="Школа 1151"/>
        <s v="Школа 1155"/>
        <s v="Школа 1158"/>
        <s v="Школа 1164"/>
        <s v="Школа 1173"/>
        <s v="Школа 1179"/>
        <s v="Школа 1190"/>
        <s v="Школа 1191"/>
        <s v="Школа 1194"/>
        <s v="Школа 1195"/>
        <s v="Школа 1205"/>
        <s v="Школа 1206"/>
        <s v="Школа 1207"/>
        <s v="Школа 1208"/>
        <s v="Школа 1210"/>
        <s v="Школа 1212"/>
        <s v="Школа 1213"/>
        <s v="Школа 1220"/>
        <s v="Школа 1222"/>
        <s v="Школа 1223"/>
        <s v="Школа 1228"/>
        <s v="Школа 1231"/>
        <s v="Школа 1234"/>
        <s v="Школа 1236"/>
        <s v="Школа 1238"/>
        <s v="Школа 1239"/>
        <s v="Школа 1241"/>
        <s v="Школа 1245"/>
        <s v="Школа 1248"/>
        <s v="Школа 1249"/>
        <s v="Школа 1250"/>
        <s v="Школа 1251"/>
        <s v="Школа 1252"/>
        <s v="Школа 1253"/>
        <s v="Школа 1257"/>
        <s v="Школа 1259"/>
        <s v="Школа 1270"/>
        <s v="Школа 1272"/>
        <s v="Школа 1273"/>
        <s v="Школа 1279"/>
        <s v="Школа 1282"/>
        <s v="Школа 1284"/>
        <s v="Школа 1285"/>
        <s v="Школа 1286"/>
        <s v="Школа 1287"/>
        <s v="Школа 1288"/>
        <s v="Школа 1290"/>
        <s v="Школа 1293"/>
        <s v="Школа 1296"/>
        <s v="Школа 1298"/>
        <s v="Школа 1302"/>
        <s v="Школа 1306"/>
        <s v="Школа 1310"/>
        <s v="Школа 1311"/>
        <s v="Школа 1315"/>
        <s v="Школа 1317"/>
        <s v="Школа 1324"/>
        <s v="Школа 1329"/>
        <s v="Школа 1347"/>
        <s v="Школа 1352"/>
        <s v="Школа 1353"/>
        <s v="Школа 1354"/>
        <s v="Школа 1355"/>
        <s v="Школа 1357"/>
        <s v="Школа 1358"/>
        <s v="Школа 1359"/>
        <s v="Школа 1360"/>
        <s v="Школа 1362"/>
        <s v="Школа 1363"/>
        <s v="Школа 1367"/>
        <s v="Школа 1368"/>
        <s v="Школа 1370"/>
        <s v="Школа 1371"/>
        <s v="Школа 1374"/>
        <s v="Школа 1375"/>
        <s v="Школа 1381"/>
        <s v="Школа 1384"/>
        <s v="Школа 1387"/>
        <s v="Школа 1391"/>
        <s v="Школа 1392"/>
        <s v="Школа 1400"/>
        <s v="Школа 1409"/>
        <s v="Школа 1411"/>
        <s v="Школа 1412"/>
        <s v="Школа 1413"/>
        <s v="Школа 1415"/>
        <s v="Школа 1416"/>
        <s v="Школа 1420"/>
        <s v="Школа 1430"/>
        <s v="Школа 1434"/>
        <s v="Школа 1440"/>
        <s v="Школа 1448"/>
        <s v="Школа 1449"/>
        <s v="Школа 1450"/>
        <s v="Школа 1454"/>
        <s v="Школа 1465"/>
        <s v="Школа 1466"/>
        <s v="Школа 1467"/>
        <s v="Школа 1468"/>
        <s v="Школа 1474"/>
        <s v="Школа 1492"/>
        <s v="Школа 1494"/>
        <s v="Школа 1498"/>
        <s v="Школа 1500"/>
        <s v="Школа 1501"/>
        <s v="Школа 1502"/>
        <s v="Школа 1503"/>
        <s v="Школа 1504"/>
        <s v="Школа 1505"/>
        <s v="Школа 1506"/>
        <s v="Школа 1507"/>
        <s v="Школа 1508"/>
        <s v="Школа 1512"/>
        <s v="Школа 1514"/>
        <s v="Школа 1515"/>
        <s v="Школа 1516"/>
        <s v="Школа 1517"/>
        <s v="Школа 1518"/>
        <s v="Школа 1519"/>
        <s v="Школа 1520"/>
        <s v="Школа 1522"/>
        <s v="Школа 1524"/>
        <s v="Школа 1527"/>
        <s v="Школа 1528"/>
        <s v="Школа 1529"/>
        <s v="Школа 1530"/>
        <s v="Школа 1531"/>
        <s v="Школа 1532"/>
        <s v="Школа 1533"/>
        <s v="Школа 1534"/>
        <s v="Школа 1535"/>
        <s v="Школа 1537"/>
        <s v="Школа 1538"/>
        <s v="Школа 1539"/>
        <s v="Школа 1540"/>
        <s v="Школа 1541"/>
        <s v="Школа 1542"/>
        <s v="Школа 1544"/>
        <s v="Школа 1547"/>
        <s v="Школа 1550"/>
        <s v="Школа 1551"/>
        <s v="Школа 1552"/>
        <s v="Школа 1553"/>
        <s v="Школа 1554"/>
        <s v="Школа 1557"/>
        <s v="Школа 1558"/>
        <s v="Школа 1560"/>
        <s v="Школа 1561"/>
        <s v="Школа 1564"/>
        <s v="Школа 1566"/>
        <s v="Школа 1568"/>
        <s v="Школа 1569"/>
        <s v="Школа 1570"/>
        <s v="Школа 1571"/>
        <s v="Школа 1573"/>
        <s v="Школа 1574"/>
        <s v="Школа 1575"/>
        <s v="Школа 1576"/>
        <s v="Школа 1577"/>
        <s v="Школа 1579"/>
        <s v="Школа 1580"/>
        <s v="Школа 1581"/>
        <s v="Школа 1582"/>
        <s v="Школа 1583"/>
        <s v="Школа 1584"/>
        <s v="Школа 1589"/>
        <s v="Школа 1590"/>
        <s v="Школа 1591"/>
        <s v="Школа 1593"/>
        <s v="Школа 1596"/>
        <s v="Школа 1598"/>
        <s v="Школа 1601"/>
        <s v="Школа 1619"/>
        <s v="Школа 1636"/>
        <s v="Школа 1637"/>
        <s v="Школа 1679"/>
        <s v="Школа 1694"/>
        <s v="Школа 1741"/>
        <s v="Школа 1747"/>
        <s v="Школа 1748"/>
        <s v="Школа 1770"/>
        <s v="Школа 1786"/>
        <s v="Школа 1788"/>
        <s v="Школа 1793"/>
        <s v="Школа 1794"/>
        <s v="Школа 1795"/>
        <s v="Школа 1797"/>
        <s v="Школа 1798"/>
        <s v="Школа 1799"/>
        <s v="Школа 1811"/>
        <s v="Школа 1852"/>
        <s v="Школа 1861"/>
        <s v="Школа 1862"/>
        <s v="Школа 1874"/>
        <s v="Школа 1883"/>
        <s v="Школа 1900"/>
        <s v="Школа 1905"/>
        <s v="Школа 1935"/>
        <s v="Школа 1944"/>
        <s v="Школа 1945"/>
        <s v="Школа 1948"/>
        <s v="Школа 1950"/>
        <s v="Школа 1955"/>
        <s v="Школа 1980"/>
        <s v="Школа 1981"/>
        <s v="Школа 1985"/>
        <s v="Школа 1987"/>
        <s v="Школа 1995"/>
        <s v="Школа 1998"/>
        <s v="Школа 2000"/>
        <s v="Школа 2005"/>
        <s v="Школа 2006"/>
        <s v="Школа 2009"/>
        <s v="Школа 2010"/>
        <s v="Школа 2025"/>
        <s v="Школа 2026"/>
        <s v="Школа 2030"/>
        <s v="Школа 2031"/>
        <s v="Школа 2033"/>
        <s v="Школа 2036"/>
        <s v="Школа 2044"/>
        <s v="Школа 2045"/>
        <s v="Школа 2048"/>
        <s v="Школа 2051"/>
        <s v="Школа 2054"/>
        <s v="Школа 2065"/>
        <s v="Школа 2070"/>
        <s v="Школа 2072"/>
        <s v="Школа 2073"/>
        <s v="Школа 2075"/>
        <s v="Школа 2083"/>
        <s v="Школа 2086"/>
        <s v="Школа 2087"/>
        <s v="Школа 2089"/>
        <s v="Школа 2090"/>
        <s v="Школа 2094"/>
        <s v="Школа 2097"/>
        <s v="Школа 2098"/>
        <s v="Школа 2100"/>
        <s v="Школа 2101"/>
        <s v="Школа 2103"/>
        <s v="Школа 2104"/>
        <s v="Школа 2107"/>
        <s v="Школа 2109"/>
        <s v="Школа 2114"/>
        <s v="Школа 2115"/>
        <s v="Школа 2116"/>
        <s v="Школа 2117"/>
        <s v="Школа 2120"/>
        <s v="Школа 2121"/>
        <s v="Школа 2123"/>
        <s v="Школа 2126"/>
        <s v="Школа 2127"/>
        <s v="Школа 2129"/>
        <s v="Школа 2200"/>
        <s v="Вешняковская школа"/>
        <s v="Гимназия г. Троицка"/>
        <s v="Гимназия им. Н. В. Пушкова"/>
        <s v="Инженерно-техническая школа им. дважды Героя Советского Союза П. Р. Поповича"/>
        <s v="Курчатовская школа"/>
        <s v="Лицей Вторая школа им. В. Ф. Овчинникова"/>
        <s v="Лицей города Троицка"/>
        <s v="Московская международная школа"/>
        <s v="образовательное высшего образования Московский городской педагогический университет"/>
        <s v="Образовательный центр Протон"/>
        <s v="профессиональное образовательное Первый Московский Образовательный Комплекс"/>
        <s v="Романовская школа"/>
        <s v="Цифровая школа"/>
        <s v="Школа Бескудниково"/>
        <s v="Школа Бибирево"/>
        <s v="Школа в Капотне"/>
        <s v="Школа в Некрасовке"/>
        <s v="Школа Глория"/>
        <s v="Школа Дмитровский им. Героя Советского Союза В. П. Кислякова"/>
        <s v="Школа им. Артема Боровика"/>
        <s v="Школа им. В. В. Маяковского"/>
        <s v="Школа им. Героя Российской Федерации Е. Н. Чернышева"/>
        <s v="Школа им. дважды Героя Советского Союза И. С. Полбина"/>
        <s v="Школа им. Н. М. Карамзина"/>
        <s v="Школа им. Ф. М. Достоевского"/>
        <s v="Школа Интеграл"/>
        <s v="Школа Кузьминки"/>
        <s v="Школа Марьина Роща им. В. Ф. Орлова"/>
        <s v="Школа Марьино им. маршала авиации А. Е. Голованова"/>
        <s v="Школа на проспекте Вернадского"/>
        <s v="Школа на Юго-Востоке им. Маршала В. И. Чуйкова"/>
        <s v="Школа на Яузе"/>
        <s v="Школа Новокосино им. Героя Советского Союза адмирала А. П. Михайловского"/>
        <s v="Школа Перспектива"/>
        <s v="Школа Покровский квартал"/>
        <s v="Школа Свиблово"/>
        <s v="Школа Тропарево"/>
      </sharedItems>
    </cacheField>
    <cacheField name="Координаты (coordinates)" numFmtId="0">
      <sharedItems>
        <s v="55.68326, 37.524022"/>
        <s v="55.661988, 37.465811"/>
        <s v="55.65209, 37.559712"/>
        <s v="55.636443, 37.532394"/>
        <s v="55.703276, 37.504025"/>
        <s v="55.614226, 37.294727"/>
        <s v="55.690654, 37.579744"/>
        <s v="55.745954, 37.549273"/>
        <s v="55.794037, 37.397593"/>
        <s v="55.73703, 37.414176"/>
        <s v="55.741409, 37.523366"/>
        <s v="55.815787, 37.398473"/>
        <s v="55.807319, 37.402749"/>
        <s v="55.711909, 37.456289"/>
        <s v="55.640472, 37.47571"/>
        <s v="55.637672, 37.516683"/>
        <s v="55.669194, 37.534101"/>
        <s v="55.686985, 37.529654"/>
        <s v="55.75782, 37.602023"/>
        <s v="55.78119, 37.464446"/>
        <s v="55.778866, 37.514212"/>
        <s v="55.805523, 37.500612"/>
        <s v="55.800898, 37.535305"/>
        <s v="55.868218, 37.468605"/>
        <s v="55.856134, 37.473303"/>
        <s v="55.722238, 37.579511"/>
        <s v="55.836893, 37.535475"/>
        <s v="55.706741, 37.57484"/>
        <s v="55.690085, 37.571579"/>
        <s v="55.821512, 37.505436"/>
        <s v="55.837818, 37.484361"/>
        <s v="55.884247, 37.522935"/>
        <s v="55.859256, 37.668363"/>
        <s v="55.889285, 37.670932"/>
        <s v="55.876056, 37.624337"/>
        <s v="55.80654, 37.759794"/>
        <s v="55.672757, 37.492814"/>
        <s v="55.522296, 37.457861"/>
        <s v="55.769737, 37.677373"/>
        <s v="55.822084, 37.817843"/>
        <s v="55.801723, 37.790759"/>
        <s v="55.77551, 37.725056"/>
        <s v="55.790712, 37.796481"/>
        <s v="55.672062, 37.769675"/>
        <s v="55.67925, 37.671929"/>
        <s v="55.728991, 37.67139"/>
        <s v="55.700562, 37.762273"/>
        <s v="55.737851, 37.652032"/>
        <s v="55.663867, 37.621543"/>
        <s v="55.672559, 37.657413"/>
        <s v="55.600501, 37.655616"/>
        <s v="55.62388, 37.734138"/>
        <s v="55.606761, 37.714815"/>
        <s v="55.708917, 37.61971"/>
        <s v="55.601747, 37.717115"/>
        <s v="55.656941, 37.580265"/>
        <s v="55.616778, 37.585377"/>
        <s v="55.866132, 37.489814"/>
        <s v="55.99799, 37.22093"/>
        <s v="55.993882, 37.207653"/>
        <s v="55.691983, 37.593075"/>
        <s v="55.67157, 37.590057"/>
        <s v="55.724489, 37.635072"/>
        <s v="55.587687, 37.595168"/>
        <s v="55.697199, 37.619665"/>
        <s v="55.704448, 37.756919"/>
        <s v="55.855133, 37.502705"/>
        <s v="55.700781, 37.744648"/>
        <s v="55.870804, 37.552804"/>
        <s v="55.819616, 37.866702"/>
        <s v="55.577882, 37.645214"/>
        <s v="55.937946, 37.549741"/>
        <s v="55.846851, 37.516853"/>
        <s v="55.877874, 37.714752"/>
        <s v="55.884191, 37.693561"/>
        <s v="55.88249, 37.53437"/>
        <s v="55.728368, 37.770034"/>
        <s v="55.732352, 37.423518"/>
        <s v="55.706548, 37.474731"/>
        <s v="55.852496, 37.415541"/>
        <s v="55.984955, 37.192328"/>
        <s v="55.991531, 37.228314"/>
        <s v="55.664299, 37.49162"/>
        <s v="55.613763, 37.697918"/>
        <s v="55.860438, 37.431468"/>
        <s v="55.732002, 37.439715"/>
        <s v="55.591126, 37.668004"/>
        <s v="55.633419, 37.665497"/>
        <s v="55.591421, 37.605247"/>
        <s v="55.6193, 37.701403"/>
        <s v="55.584975, 37.674561"/>
        <s v="55.608811, 37.753847"/>
        <s v="55.86056, 37.608904"/>
        <s v="55.896257, 37.589832"/>
        <s v="55.867465, 37.642653"/>
        <s v="55.859943, 37.592914"/>
        <s v="55.639933, 37.766172"/>
        <s v="55.657738, 37.390604"/>
        <s v="55.652888, 37.4023"/>
        <s v="55.641412, 37.350827"/>
        <s v="55.631346, 37.759282"/>
        <s v="55.801708, 37.72051"/>
        <s v="55.872592, 37.670824"/>
        <s v="55.633297, 37.477606"/>
        <s v="55.606044, 37.552696"/>
        <s v="55.975536, 37.153332"/>
        <s v="55.987447, 37.15565"/>
        <s v="55.797245, 37.400791"/>
        <s v="55.634857, 37.596579"/>
        <s v="55.797959, 37.57386"/>
        <s v="55.616869, 37.594306"/>
        <s v="55.638186, 37.609155"/>
        <s v="55.848887, 37.366008"/>
        <s v="55.850787, 37.357744"/>
        <s v="55.979903, 37.1537"/>
        <s v="55.716179, 37.41599"/>
        <s v="55.676849, 37.554376"/>
        <s v="55.614953, 37.5334"/>
        <s v="55.605515, 37.709299"/>
        <s v="55.707765, 37.771211"/>
        <s v="55.80022, 37.457223"/>
        <s v="55.799138, 37.487173"/>
        <s v="55.844071, 37.565479"/>
        <s v="55.817633, 37.621004"/>
        <s v="55.732803, 37.706344"/>
        <s v="55.83846, 37.527229"/>
        <s v="55.740669, 37.720331"/>
        <s v="55.749815, 37.588898"/>
        <s v="55.753499, 37.590201"/>
        <s v="55.817426, 37.582412"/>
        <s v="55.645207, 37.345625"/>
        <s v="55.760565, 37.588135"/>
        <s v="55.760074, 37.56379"/>
        <s v="55.599591, 37.593938"/>
        <s v="55.725559, 37.473698"/>
        <s v="55.801425, 37.519261"/>
        <s v="55.829704, 37.485197"/>
        <s v="55.794148, 37.506792"/>
        <s v="55.80999, 37.49647"/>
        <s v="55.734826, 37.592437"/>
        <s v="55.714353, 37.625711"/>
        <s v="55.732038, 37.632089"/>
        <s v="55.744115, 37.665255"/>
        <s v="55.70807, 37.663925"/>
        <s v="55.628977, 37.522531"/>
        <s v="55.663745, 37.604044"/>
        <s v="55.789775, 37.684775"/>
        <s v="55.767914, 37.637928"/>
        <s v="55.825072, 37.449336"/>
        <s v="55.856725, 37.426824"/>
        <s v="55.796385, 37.520914"/>
        <s v="55.775935, 37.551708"/>
        <s v="55.793723, 37.793166"/>
        <s v="55.742939, 37.410583"/>
        <s v="55.877385, 37.562667"/>
        <s v="55.900133, 37.382393"/>
        <s v="55.806803, 37.41944"/>
        <s v="55.698224, 37.509083"/>
        <s v="55.743213, 37.782198"/>
        <s v="55.671493, 37.523797"/>
        <s v="55.845895, 37.481154"/>
        <s v="55.671539, 37.470743"/>
        <s v="55.754887, 37.820187"/>
        <s v="55.668914, 37.465002"/>
        <s v="55.65754, 37.40654"/>
        <s v="55.813349, 37.804009"/>
        <s v="55.995282, 37.202524"/>
        <s v="55.548136, 37.563853"/>
        <s v="55.540536, 37.577831"/>
        <s v="55.662704, 37.766306"/>
        <s v="55.856497, 37.346829"/>
        <s v="55.701506, 37.84534"/>
        <s v="55.812292, 37.700523"/>
        <s v="55.78978, 37.741091"/>
        <s v="55.708004, 37.82379"/>
        <s v="55.714653, 37.752176"/>
        <s v="55.533562, 37.502822"/>
        <s v="55.881303, 37.59409"/>
        <s v="55.762166, 37.413709"/>
        <s v="55.868773, 37.703748"/>
        <s v="55.681493, 37.656838"/>
        <s v="55.873233, 37.691441"/>
        <s v="55.798272, 37.515461"/>
        <s v="55.903978, 37.382834"/>
        <s v="55.430242, 36.870983"/>
        <s v="55.499571, 37.366619"/>
        <s v="55.717558, 37.407304"/>
        <s v="55.784374, 37.531711"/>
        <s v="55.866723, 37.601546"/>
        <s v="55.890886, 37.601654"/>
        <s v="55.896852, 37.617554"/>
        <s v="55.824733, 37.624525"/>
        <s v="55.893349, 37.581352"/>
        <s v="55.700897, 37.815031"/>
        <s v="55.900824, 37.577984"/>
        <s v="55.69075, 37.499938"/>
        <s v="55.757541, 37.41273"/>
        <s v="55.7025, 37.512658"/>
        <s v="55.894641, 37.570159"/>
        <s v="55.658444, 37.612308"/>
        <s v="55.813334, 37.568938"/>
        <s v="55.745205, 37.559892"/>
        <s v="55.628942, 37.674292"/>
        <s v="55.639278, 37.347449"/>
        <s v="55.73513, 37.672603"/>
        <s v="55.871299, 37.490676"/>
        <s v="55.537724, 37.508741"/>
        <s v="55.827808, 37.592087"/>
        <s v="55.694124, 37.507035"/>
        <s v="55.764764, 37.633634"/>
        <s v="55.787705, 37.59577"/>
        <s v="55.760287, 37.830213"/>
        <s v="55.818012, 37.662803"/>
        <s v="55.76209, 37.838001"/>
        <s v="55.795605, 37.728595"/>
        <s v="55.889775, 37.650657"/>
        <s v="55.630873, 37.507304"/>
        <s v="55.793743, 37.795753"/>
        <s v="55.718456, 37.829557"/>
        <s v="55.685077, 37.526887"/>
        <s v="55.780436, 37.477256"/>
        <s v="55.816525, 37.831767"/>
        <s v="55.785078, 37.453163"/>
        <s v="55.803646, 37.635107"/>
        <s v="55.80739, 37.412496"/>
        <s v="55.760631, 37.604906"/>
        <s v="55.772846, 37.482214"/>
        <s v="55.690872, 37.719989"/>
        <s v="55.682595, 37.668615"/>
        <s v="55.976307, 37.190765"/>
        <s v="55.74147, 37.603136"/>
        <s v="55.793358, 37.684685"/>
        <s v="55.803702, 37.633068"/>
        <s v="55.622629, 37.491485"/>
        <s v="55.692338, 37.54374"/>
        <s v="55.685092, 37.574327"/>
        <s v="55.725808, 37.56494"/>
        <s v="55.874415, 37.71936"/>
        <s v="55.839749, 37.381405"/>
        <s v="55.810324, 37.641845"/>
        <s v="55.78692, 37.592213"/>
        <s v="55.672803, 37.504358"/>
        <s v="55.646924, 37.399749"/>
        <s v="55.836059, 37.359522"/>
        <s v="55.662938, 37.772505"/>
        <s v="55.782365, 37.55982"/>
        <s v="55.846643, 37.456037"/>
        <s v="55.619605, 37.746597"/>
        <s v="55.721052, 37.649094"/>
        <s v="55.864455, 37.613485"/>
        <s v="55.99801, 37.231602"/>
        <s v="55.868203, 37.654035"/>
        <s v="55.780507, 37.48384"/>
        <s v="55.600689, 37.537254"/>
        <s v="55.830255, 37.360466"/>
        <s v="55.647676, 37.74869"/>
        <s v="55.874521, 37.642887"/>
        <s v="55.617159, 37.738827"/>
        <s v="55.789203, 37.577013"/>
        <s v="55.85676, 37.444108"/>
        <s v="55.906547, 37.552948"/>
        <s v="55.779803, 37.596992"/>
        <s v="55.80488, 37.531801"/>
        <s v="55.822888, 37.529376"/>
        <s v="55.852672, 37.690471"/>
        <s v="55.646579, 37.659371"/>
        <s v="55.641534, 37.613072"/>
        <s v="55.752602, 37.663368"/>
        <s v="55.617886, 37.60134"/>
        <s v="55.849787, 37.494575"/>
        <s v="55.745129, 37.428935"/>
        <s v="55.716595, 37.460789"/>
        <s v="55.862196, 37.503064"/>
        <s v="55.74186, 37.87211"/>
        <s v="55.764653, 37.41467"/>
        <s v="55.64162, 37.371335"/>
        <s v="55.824516, 37.828021"/>
        <s v="55.791597, 37.577993"/>
        <s v="55.797301, 37.405094"/>
        <s v="55.610692, 37.72838"/>
        <s v="55.759527, 37.783644"/>
        <s v="55.827666, 37.519234"/>
        <s v="55.612594, 37.544494"/>
        <s v="55.666447, 37.455669"/>
        <s v="55.846062, 37.349955"/>
        <s v="55.80486, 37.827841"/>
        <s v="55.686173, 37.68862"/>
        <s v="55.534591, 37.495294"/>
        <s v="55.61814, 37.263133"/>
        <s v="55.691542, 37.851251"/>
        <s v="55.870072, 37.56777"/>
        <s v="55.827231, 37.752966"/>
        <s v="55.811831, 37.71512"/>
        <s v="55.752668, 37.813351"/>
        <s v="55.744216, 37.621462"/>
        <s v="55.793915, 37.814726"/>
        <s v="55.755956, 37.779305"/>
        <s v="55.577398, 37.67184"/>
        <s v="55.646172, 37.613728"/>
        <s v="55.803074, 37.463152"/>
        <s v="55.54947, 37.547198"/>
        <s v="55.841417, 37.361157"/>
        <s v="55.682595, 37.860019"/>
        <s v="55.680493, 37.855383"/>
        <s v="55.842378, 37.349183"/>
        <s v="55.570472, 37.584685"/>
        <s v="55.664639, 37.559047"/>
        <s v="55.766354, 37.58446"/>
        <s v="55.879475, 37.688773"/>
        <s v="55.532487, 37.528774"/>
        <s v="55.550045, 37.537595"/>
        <s v="55.886993, 37.39205"/>
        <s v="55.658545, 37.775038"/>
        <s v="55.64605, 37.498653"/>
        <s v="55.755819, 37.617644"/>
        <s v="55.642225, 37.659982"/>
        <s v="55.894192, 37.395778"/>
        <s v="55.565768, 37.582367"/>
        <s v="55.540501, 37.519243"/>
        <s v="55.669356, 37.760566"/>
        <s v="55.689654, 37.448563"/>
        <s v="55.717366, 37.883671"/>
        <s v="55.75941, 37.555723"/>
        <s v="55.710093, 37.89084"/>
        <s v="55.808083, 37.779584"/>
        <s v="55.710469, 37.88704"/>
        <s v="55.926993, 37.542671"/>
        <s v="55.973526, 37.170463"/>
        <s v="55.703718, 37.938181"/>
        <s v="55.701673, 37.918544"/>
        <s v="55.772542, 37.625936"/>
        <s v="55.595511, 37.346802"/>
        <s v="55.571525, 37.481954"/>
        <s v="55.747475, 37.792762"/>
        <s v="55.30251, 37.190459"/>
        <s v="55.4184, 37.410843"/>
        <s v="55.46926, 37.541"/>
        <s v="55.695804, 37.551349"/>
        <s v="55.651943, 37.735809"/>
        <s v="55.682503, 37.92644"/>
        <s v="55.714389, 37.792411"/>
        <s v="55.620581, 37.476429"/>
        <s v="55.846866, 37.430328"/>
        <s v="55.87437, 37.519234"/>
        <s v="55.867359, 37.534316"/>
        <s v="55.736366, 37.462604"/>
        <s v="55.602963, 37.517473"/>
        <s v="55.743613, 37.646354"/>
        <s v="55.777499, 37.629996"/>
        <s v="55.50338, 37.57899"/>
        <s v="55.565376, 37.570608"/>
        <s v="55.6693, 37.576007"/>
        <s v="55.620337, 37.754979"/>
        <s v="55.511776, 37.57006"/>
        <s v="55.600781, 37.360295"/>
        <s v="55.67926, 37.751987"/>
        <s v="55.756761, 37.594755"/>
        <s v="55.7426, 37.762668"/>
        <s v="55.737801, 37.863369"/>
        <s v="55.706487, 37.67219"/>
        <s v="55.807319, 37.806317"/>
        <s v="55.742808, 37.825425"/>
        <s v="55.472408, 37.293712"/>
        <s v="55.470423, 37.297979"/>
        <s v="55.757237, 38.011942"/>
        <s v="55.797194, 37.488404"/>
        <s v="55.697985, 37.556442"/>
        <s v="55.475368, 37.300808"/>
        <s v="55.745002, 37.686096"/>
        <s v="55.833643, 37.643471"/>
        <s v="55.749451, 37.542824"/>
        <s v="55.883742, 37.652382"/>
        <s v="55.768527, 37.569809"/>
        <s v="55.786364, 37.714213"/>
        <s v="55.877223, 37.575837"/>
        <s v="55.889649, 37.610179"/>
        <s v="55.629928, 37.796768"/>
        <s v="55.688126, 37.923116"/>
        <s v="55.895666, 37.616207"/>
        <s v="55.892314, 37.540012"/>
        <s v="55.665203, 37.751314"/>
        <s v="55.738277, 37.658194"/>
        <s v="55.875203, 37.555463"/>
        <s v="55.681839, 37.727598"/>
        <s v="55.590465, 37.539149"/>
        <s v="55.686508, 37.751278"/>
        <s v="55.740446, 37.495725"/>
        <s v="55.698645, 37.773556"/>
        <s v="55.79556, 37.600648"/>
        <s v="55.643322, 37.718884"/>
        <s v="55.656133, 37.476366"/>
        <s v="55.751883, 37.679161"/>
        <s v="55.768851, 37.687973"/>
        <s v="55.742352, 37.858977"/>
        <s v="55.94563, 37.347099"/>
        <s v="55.760352, 37.655652"/>
        <s v="55.852854, 37.642186"/>
        <s v="55.653309, 37.469665"/>
      </sharedItems>
    </cacheField>
    <cacheField name="Место в рейтинге на 2025 (rating)" numFmtId="0">
      <sharedItems>
        <s v="382"/>
        <s v="318"/>
        <s v="386"/>
        <s v="153"/>
        <s v="237"/>
        <s v="Вне рейтинга"/>
        <s v="378"/>
        <s v="313"/>
        <s v="121"/>
        <s v="314"/>
        <s v="23"/>
        <s v="356"/>
        <s v="321"/>
        <s v="66"/>
        <s v="154"/>
        <s v="155"/>
        <s v="194"/>
        <s v="254"/>
        <s v="36"/>
        <s v="250"/>
        <s v="57"/>
        <s v="99"/>
        <s v="64"/>
        <s v="150"/>
        <s v="187"/>
        <s v="96"/>
        <s v="334"/>
        <s v="342"/>
        <s v="263"/>
        <s v="350"/>
        <s v="323"/>
        <s v="363"/>
        <s v="304"/>
        <s v="226"/>
        <s v="2"/>
        <s v="375"/>
        <s v="296"/>
        <s v="144"/>
        <s v="131"/>
        <s v="168"/>
        <s v="162"/>
        <s v="169"/>
        <s v="245"/>
        <s v="20"/>
        <s v="399"/>
        <s v="101"/>
        <s v="242"/>
        <s v="151"/>
        <s v="207"/>
        <s v="125"/>
        <s v="220"/>
        <s v="395"/>
        <s v="371"/>
        <s v="102"/>
        <s v="149"/>
        <s v="329"/>
        <s v="294"/>
        <s v="116"/>
        <s v="258"/>
        <s v="247"/>
        <s v="148"/>
        <s v="315"/>
        <s v="84"/>
        <s v="120"/>
        <s v="243"/>
        <s v="319"/>
        <s v="217"/>
        <s v="355"/>
        <s v="231"/>
        <s v="391"/>
        <s v="298"/>
        <s v="300"/>
        <s v="163"/>
        <s v="218"/>
        <s v="262"/>
        <s v="257"/>
        <s v="351"/>
        <s v="192"/>
        <s v="393"/>
        <s v="85"/>
        <s v="183"/>
        <s v="82"/>
        <s v="213"/>
        <s v="175"/>
        <s v="341"/>
        <s v="209"/>
        <s v="90"/>
        <s v="91"/>
        <s v="269"/>
        <s v="70"/>
        <s v="336"/>
        <s v="170"/>
        <s v="33"/>
        <s v="232"/>
        <s v="210"/>
        <s v="291"/>
        <s v="397"/>
        <s v="138"/>
        <s v="358"/>
        <s v="273"/>
        <s v="285"/>
        <s v="249"/>
        <s v="373"/>
        <s v="278"/>
        <s v="124"/>
        <s v="345"/>
        <s v="179"/>
        <s v="367"/>
        <s v="368"/>
        <s v="299"/>
        <s v="320"/>
        <s v="338"/>
        <s v="330"/>
        <s v="190"/>
        <s v="39"/>
        <s v="133"/>
        <s v="197"/>
        <s v="280"/>
        <s v="394"/>
        <s v="206"/>
        <s v="205"/>
        <s v="227"/>
        <s v="366"/>
        <s v="268"/>
        <s v="103"/>
        <s v="104"/>
        <s v="74"/>
        <s v="178"/>
        <s v="331"/>
        <s v="49"/>
        <s v="270"/>
        <s v="181"/>
        <s v="188"/>
        <s v="30"/>
        <s v="31"/>
        <s v="184"/>
        <s v="172"/>
        <s v="241"/>
        <s v="159"/>
        <s v="211"/>
        <s v="142"/>
        <s v="265"/>
        <s v="58"/>
        <s v="301"/>
        <s v="79"/>
        <s v="15"/>
        <s v="147"/>
        <s v="289"/>
        <s v="256"/>
        <s v="177"/>
        <s v="215"/>
        <s v="347"/>
        <s v="252"/>
        <s v="352"/>
        <s v="277"/>
        <s v="81"/>
        <s v="105"/>
        <s v="112"/>
        <s v="343"/>
        <s v="344"/>
        <s v="191"/>
        <s v="346"/>
        <s v="136"/>
        <s v="109"/>
        <s v="182"/>
        <s v="229"/>
        <s v="25"/>
        <s v="45"/>
        <s v="396"/>
        <s v="253"/>
        <s v="398"/>
        <s v="83"/>
        <s v="200"/>
        <s v="41"/>
        <s v="212"/>
        <s v="348"/>
        <s v="236"/>
        <s v="365"/>
        <s v="10"/>
        <s v="1"/>
        <s v="340"/>
        <s v="21"/>
        <s v="77"/>
        <s v="114"/>
        <s v="157"/>
        <s v="173"/>
        <s v="73"/>
        <s v="65"/>
        <s v="221"/>
        <s v="52"/>
        <s v="47"/>
        <s v="271"/>
        <s v="128"/>
        <s v="195"/>
        <s v="56"/>
        <s v="228"/>
        <s v="349"/>
        <s v="67"/>
        <s v="63"/>
        <s v="61"/>
        <s v="13"/>
        <s v="48"/>
        <s v="50"/>
        <s v="106"/>
        <s v="202"/>
        <s v="235"/>
        <s v="28"/>
        <s v="266"/>
        <s v="59"/>
        <s v="326"/>
        <s v="196"/>
        <s v="165"/>
        <s v="164"/>
        <s v="261"/>
        <s v="34"/>
        <s v="44"/>
        <s v="272"/>
        <s v="292"/>
        <s v="118"/>
        <s v="139"/>
        <s v="7"/>
        <s v="166"/>
        <s v="95"/>
        <s v="51"/>
        <s v="110"/>
        <s v="132"/>
        <s v="37"/>
        <s v="98"/>
        <s v="264"/>
        <s v="167"/>
        <s v="19"/>
        <s v="130"/>
        <s v="219"/>
        <s v="189"/>
        <s v="80"/>
        <s v="88"/>
        <s v="100"/>
        <s v="306"/>
        <s v="230"/>
        <s v="233"/>
        <s v="303"/>
        <s v="337"/>
        <s v="308"/>
        <s v="239"/>
        <s v="353"/>
        <s v="78"/>
        <s v="216"/>
        <s v="290"/>
        <s v="322"/>
        <s v="137"/>
        <s v="332"/>
        <s v="224"/>
        <s v="71"/>
        <s v="305"/>
        <s v="135"/>
        <s v="171"/>
        <s v="174"/>
        <s v="390"/>
        <s v="297"/>
        <s v="359"/>
        <s v="160"/>
        <s v="267"/>
        <s v="281"/>
        <s v="119"/>
        <s v="158"/>
        <s v="129"/>
        <s v="111"/>
        <s v="68"/>
        <s v="387"/>
        <s v="383"/>
        <s v="295"/>
        <s v="117"/>
        <s v="208"/>
        <s v="161"/>
        <s v="282"/>
        <s v="180"/>
        <s v="75"/>
        <s v="199"/>
        <s v="76"/>
        <s v="176"/>
        <s v="3"/>
        <s v="115"/>
        <s v="240"/>
        <s v="60"/>
        <s v="146"/>
        <s v="126"/>
        <s v="92"/>
        <s v="5"/>
        <s v="225"/>
        <s v="274"/>
        <s v="35"/>
        <s v="152"/>
        <s v="143"/>
        <s v="284"/>
        <s v="376"/>
        <s v="244"/>
        <s v="123"/>
        <s v="38"/>
        <s v="248"/>
        <s v="89"/>
        <s v="293"/>
        <s v="201"/>
        <s v="54"/>
        <s v="246"/>
        <s v="156"/>
        <s v="287"/>
        <s v="214"/>
        <s v="185"/>
        <s v="324"/>
        <s v="283"/>
        <s v="55"/>
        <s v="309"/>
        <s v="22"/>
        <s v="377"/>
        <s v="311"/>
        <s v="72"/>
        <s v="275"/>
        <s v="8"/>
        <s v="17"/>
        <s v="276"/>
        <s v="307"/>
        <s v="32"/>
        <s v="127"/>
        <s v="186"/>
        <s v="370"/>
        <s v="145"/>
        <s v="108"/>
        <s v="141"/>
        <s v="204"/>
        <s v="388"/>
        <s v="374"/>
        <s v="86"/>
        <s v="46"/>
        <s v="29"/>
        <s v="362"/>
        <s v="251"/>
        <s v="53"/>
        <s v="113"/>
      </sharedItems>
    </cacheField>
    <cacheField name="Инженерный (inj_23)" numFmtId="0">
      <sharedItems containsSemiMixedTypes="0" containsString="0" containsNumber="1" containsInteger="1">
        <n v="1.0"/>
        <n v="0.0"/>
      </sharedItems>
    </cacheField>
    <cacheField name="Инженерный (inj_24)" numFmtId="0">
      <sharedItems containsSemiMixedTypes="0" containsString="0" containsNumber="1" containsInteger="1">
        <n v="1.0"/>
        <n v="0.0"/>
      </sharedItems>
    </cacheField>
    <cacheField name="Инженерный (inj_25)" numFmtId="0">
      <sharedItems containsSemiMixedTypes="0" containsString="0" containsNumber="1" containsInteger="1">
        <n v="1.0"/>
        <n v="0.0"/>
      </sharedItems>
    </cacheField>
    <cacheField name="Медицинский (med_23)" numFmtId="0">
      <sharedItems containsSemiMixedTypes="0" containsString="0" containsNumber="1" containsInteger="1">
        <n v="0.0"/>
        <n v="1.0"/>
      </sharedItems>
    </cacheField>
    <cacheField name="Медицинский (med_24)" numFmtId="0">
      <sharedItems containsSemiMixedTypes="0" containsString="0" containsNumber="1" containsInteger="1">
        <n v="0.0"/>
        <n v="1.0"/>
      </sharedItems>
    </cacheField>
    <cacheField name="Медицинский (med_25)" numFmtId="0">
      <sharedItems containsSemiMixedTypes="0" containsString="0" containsNumber="1" containsInteger="1">
        <n v="0.0"/>
        <n v="1.0"/>
      </sharedItems>
    </cacheField>
    <cacheField name="ИТ (it_23)" numFmtId="0">
      <sharedItems containsSemiMixedTypes="0" containsString="0" containsNumber="1" containsInteger="1">
        <n v="1.0"/>
        <n v="0.0"/>
      </sharedItems>
    </cacheField>
    <cacheField name="ИТ (it_24)" numFmtId="0">
      <sharedItems containsSemiMixedTypes="0" containsString="0" containsNumber="1" containsInteger="1">
        <n v="1.0"/>
        <n v="0.0"/>
      </sharedItems>
    </cacheField>
    <cacheField name="ИТ (it_25)" numFmtId="0">
      <sharedItems containsSemiMixedTypes="0" containsString="0" containsNumber="1" containsInteger="1">
        <n v="1.0"/>
        <n v="0.0"/>
      </sharedItems>
    </cacheField>
    <cacheField name="Предпринимательский (pred_23)" numFmtId="0">
      <sharedItems containsSemiMixedTypes="0" containsString="0" containsNumber="1" containsInteger="1">
        <n v="1.0"/>
        <n v="0.0"/>
      </sharedItems>
    </cacheField>
    <cacheField name="Предпринимательский (pred_24)" numFmtId="0">
      <sharedItems containsSemiMixedTypes="0" containsString="0" containsNumber="1" containsInteger="1">
        <n v="1.0"/>
        <n v="0.0"/>
      </sharedItems>
    </cacheField>
    <cacheField name="Предпринимательский (pred_25)" numFmtId="0">
      <sharedItems containsSemiMixedTypes="0" containsString="0" containsNumber="1" containsInteger="1">
        <n v="1.0"/>
        <n v="0.0"/>
      </sharedItems>
    </cacheField>
    <cacheField name="Медиа (media_23)" numFmtId="0">
      <sharedItems containsSemiMixedTypes="0" containsString="0" containsNumber="1" containsInteger="1">
        <n v="1.0"/>
        <n v="0.0"/>
      </sharedItems>
    </cacheField>
    <cacheField name="Медиа (media_24)" numFmtId="0">
      <sharedItems containsSemiMixedTypes="0" containsString="0" containsNumber="1" containsInteger="1">
        <n v="1.0"/>
        <n v="0.0"/>
      </sharedItems>
    </cacheField>
    <cacheField name="Медиа (media_25)" numFmtId="0">
      <sharedItems containsSemiMixedTypes="0" containsString="0" containsNumber="1" containsInteger="1">
        <n v="1.0"/>
        <n v="0.0"/>
      </sharedItems>
    </cacheField>
    <cacheField name="Педагогический (ped_23)" numFmtId="0">
      <sharedItems containsSemiMixedTypes="0" containsString="0" containsNumber="1" containsInteger="1">
        <n v="0.0"/>
        <n v="1.0"/>
      </sharedItems>
    </cacheField>
    <cacheField name="Педагогический (ped_24)" numFmtId="0">
      <sharedItems containsSemiMixedTypes="0" containsString="0" containsNumber="1" containsInteger="1">
        <n v="0.0"/>
        <n v="1.0"/>
      </sharedItems>
    </cacheField>
    <cacheField name="Педагогический (ped_25)" numFmtId="0">
      <sharedItems containsSemiMixedTypes="0" containsString="0" containsNumber="1" containsInteger="1">
        <n v="0.0"/>
        <n v="1.0"/>
      </sharedItems>
    </cacheField>
    <cacheField name="Всего за 2023-2024" numFmtId="0">
      <sharedItems containsSemiMixedTypes="0" containsString="0" containsNumber="1" containsInteger="1">
        <n v="4.0"/>
        <n v="0.0"/>
        <n v="2.0"/>
        <n v="3.0"/>
        <n v="1.0"/>
        <n v="5.0"/>
        <n v="6.0"/>
      </sharedItems>
    </cacheField>
    <cacheField name="Всего за 2024-2025" numFmtId="0">
      <sharedItems containsSemiMixedTypes="0" containsString="0" containsNumber="1" containsInteger="1">
        <n v="4.0"/>
        <n v="1.0"/>
        <n v="0.0"/>
        <n v="3.0"/>
        <n v="2.0"/>
        <n v="5.0"/>
      </sharedItems>
    </cacheField>
    <cacheField name="Всего за 2025-2026" numFmtId="0">
      <sharedItems containsSemiMixedTypes="0" containsString="0" containsNumber="1" containsInteger="1">
        <n v="4.0"/>
        <n v="1.0"/>
        <n v="3.0"/>
        <n v="2.0"/>
        <n v="0.0"/>
        <n v="5.0"/>
        <n v="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Визуализация данных" cacheId="0" dataOnRows="1" dataCaption="" compact="0" compactData="0">
  <location ref="A2:B20" firstHeaderRow="0" firstDataRow="1" firstDataCol="0"/>
  <pivotFields>
    <pivotField name="Название школы (school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t="default"/>
      </items>
    </pivotField>
    <pivotField name="Координаты (coordinat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t="default"/>
      </items>
    </pivotField>
    <pivotField name="Место в рейтинге на 2025 (ratin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Инженерный (inj_23)" dataField="1" compact="0" outline="0" multipleItemSelectionAllowed="1" showAll="0">
      <items>
        <item x="0"/>
        <item x="1"/>
        <item t="default"/>
      </items>
    </pivotField>
    <pivotField name="Инженерный (inj_24)" dataField="1" compact="0" outline="0" multipleItemSelectionAllowed="1" showAll="0">
      <items>
        <item x="0"/>
        <item x="1"/>
        <item t="default"/>
      </items>
    </pivotField>
    <pivotField name="Инженерный (inj_25)" dataField="1" compact="0" outline="0" multipleItemSelectionAllowed="1" showAll="0">
      <items>
        <item x="0"/>
        <item x="1"/>
        <item t="default"/>
      </items>
    </pivotField>
    <pivotField name="Медицинский (med_23)" dataField="1" compact="0" outline="0" multipleItemSelectionAllowed="1" showAll="0">
      <items>
        <item x="0"/>
        <item x="1"/>
        <item t="default"/>
      </items>
    </pivotField>
    <pivotField name="Медицинский (med_24)" dataField="1" compact="0" outline="0" multipleItemSelectionAllowed="1" showAll="0">
      <items>
        <item x="0"/>
        <item x="1"/>
        <item t="default"/>
      </items>
    </pivotField>
    <pivotField name="Медицинский (med_25)" dataField="1" compact="0" outline="0" multipleItemSelectionAllowed="1" showAll="0">
      <items>
        <item x="0"/>
        <item x="1"/>
        <item t="default"/>
      </items>
    </pivotField>
    <pivotField name="ИТ (it_23)" dataField="1" compact="0" outline="0" multipleItemSelectionAllowed="1" showAll="0">
      <items>
        <item x="0"/>
        <item x="1"/>
        <item t="default"/>
      </items>
    </pivotField>
    <pivotField name="ИТ (it_24)" dataField="1" compact="0" outline="0" multipleItemSelectionAllowed="1" showAll="0">
      <items>
        <item x="0"/>
        <item x="1"/>
        <item t="default"/>
      </items>
    </pivotField>
    <pivotField name="ИТ (it_25)" dataField="1" compact="0" outline="0" multipleItemSelectionAllowed="1" showAll="0">
      <items>
        <item x="0"/>
        <item x="1"/>
        <item t="default"/>
      </items>
    </pivotField>
    <pivotField name="Предпринимательский (pred_23)" dataField="1" compact="0" outline="0" multipleItemSelectionAllowed="1" showAll="0">
      <items>
        <item x="0"/>
        <item x="1"/>
        <item t="default"/>
      </items>
    </pivotField>
    <pivotField name="Предпринимательский (pred_24)" dataField="1" compact="0" outline="0" multipleItemSelectionAllowed="1" showAll="0">
      <items>
        <item x="0"/>
        <item x="1"/>
        <item t="default"/>
      </items>
    </pivotField>
    <pivotField name="Предпринимательский (pred_25)" dataField="1" compact="0" outline="0" multipleItemSelectionAllowed="1" showAll="0">
      <items>
        <item x="0"/>
        <item x="1"/>
        <item t="default"/>
      </items>
    </pivotField>
    <pivotField name="Медиа (media_23)" dataField="1" compact="0" outline="0" multipleItemSelectionAllowed="1" showAll="0">
      <items>
        <item x="0"/>
        <item x="1"/>
        <item t="default"/>
      </items>
    </pivotField>
    <pivotField name="Медиа (media_24)" dataField="1" compact="0" outline="0" multipleItemSelectionAllowed="1" showAll="0">
      <items>
        <item x="0"/>
        <item x="1"/>
        <item t="default"/>
      </items>
    </pivotField>
    <pivotField name="Медиа (media_25)" dataField="1" compact="0" outline="0" multipleItemSelectionAllowed="1" showAll="0">
      <items>
        <item x="0"/>
        <item x="1"/>
        <item t="default"/>
      </items>
    </pivotField>
    <pivotField name="Педагогический (ped_23)" dataField="1" compact="0" outline="0" multipleItemSelectionAllowed="1" showAll="0">
      <items>
        <item x="0"/>
        <item x="1"/>
        <item t="default"/>
      </items>
    </pivotField>
    <pivotField name="Педагогический (ped_24)" dataField="1" compact="0" outline="0" multipleItemSelectionAllowed="1" showAll="0">
      <items>
        <item x="0"/>
        <item x="1"/>
        <item t="default"/>
      </items>
    </pivotField>
    <pivotField name="Педагогический (ped_25)" dataField="1" compact="0" outline="0" multipleItemSelectionAllowed="1" showAll="0">
      <items>
        <item x="0"/>
        <item x="1"/>
        <item t="default"/>
      </items>
    </pivotField>
    <pivotField name="Всего за 2023-202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Всего за 2024-2025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Всего за 2025-2026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-2"/>
  </rowFields>
  <dataFields>
    <dataField name="Инженерный (inj_23)" fld="3" baseField="0"/>
    <dataField name="Инженерный (inj_24)" fld="4" baseField="0"/>
    <dataField name="Инженерный (inj_25)" fld="5" baseField="0"/>
    <dataField name="Медицинский (med_23)" fld="6" baseField="0"/>
    <dataField name="Медицинский (med_24)" fld="7" baseField="0"/>
    <dataField name="Медицинский (med_25)" fld="8" baseField="0"/>
    <dataField name="ИТ (it_23)" fld="9" baseField="0"/>
    <dataField name="ИТ (it_24)" fld="10" baseField="0"/>
    <dataField name="ИТ (it_25)" fld="11" baseField="0"/>
    <dataField name="Предпринимательский (pred_23)" fld="12" baseField="0"/>
    <dataField name="Предпринимательский (pred_24)" fld="13" baseField="0"/>
    <dataField name="Предпринимательский (pred_25)" fld="14" baseField="0"/>
    <dataField name="Медиа (media_23)" fld="15" baseField="0"/>
    <dataField name="Медиа (media_24)" fld="16" baseField="0"/>
    <dataField name="Медиа (media_25)" fld="17" baseField="0"/>
    <dataField name="Педагогический (ped_23)" fld="18" baseField="0"/>
    <dataField name="Педагогический (ped_24)" fld="19" baseField="0"/>
    <dataField name="Педагогический (ped_25)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sch1357uv.mskobr.ru/" TargetMode="External"/><Relationship Id="rId42" Type="http://schemas.openxmlformats.org/officeDocument/2006/relationships/hyperlink" Target="https://sch1363uv.mskobr.ru/" TargetMode="External"/><Relationship Id="rId41" Type="http://schemas.openxmlformats.org/officeDocument/2006/relationships/hyperlink" Target="https://sch1359uv.mskobr.ru/" TargetMode="External"/><Relationship Id="rId44" Type="http://schemas.openxmlformats.org/officeDocument/2006/relationships/hyperlink" Target="https://sch1375u.mskobr.ru/" TargetMode="External"/><Relationship Id="rId43" Type="http://schemas.openxmlformats.org/officeDocument/2006/relationships/hyperlink" Target="https://lyc1367uv.mskobr.ru/" TargetMode="External"/><Relationship Id="rId46" Type="http://schemas.openxmlformats.org/officeDocument/2006/relationships/hyperlink" Target="https://schtn1392.mskobr.ru/" TargetMode="External"/><Relationship Id="rId45" Type="http://schemas.openxmlformats.org/officeDocument/2006/relationships/hyperlink" Target="https://sch1387.mskobr.ru/" TargetMode="External"/><Relationship Id="rId107" Type="http://schemas.openxmlformats.org/officeDocument/2006/relationships/hyperlink" Target="https://sch2098s.mskobr.ru/" TargetMode="External"/><Relationship Id="rId106" Type="http://schemas.openxmlformats.org/officeDocument/2006/relationships/hyperlink" Target="https://sch2097sz.mskobr.ru/" TargetMode="External"/><Relationship Id="rId105" Type="http://schemas.openxmlformats.org/officeDocument/2006/relationships/hyperlink" Target="https://sch2094tn.mskobr.ru/" TargetMode="External"/><Relationship Id="rId104" Type="http://schemas.openxmlformats.org/officeDocument/2006/relationships/hyperlink" Target="https://sch2087uv.mskobr.ru/" TargetMode="External"/><Relationship Id="rId109" Type="http://schemas.openxmlformats.org/officeDocument/2006/relationships/hyperlink" Target="https://sch2117.mskobr.ru/" TargetMode="External"/><Relationship Id="rId108" Type="http://schemas.openxmlformats.org/officeDocument/2006/relationships/hyperlink" Target="https://sch2107.mskobr.ru/" TargetMode="External"/><Relationship Id="rId48" Type="http://schemas.openxmlformats.org/officeDocument/2006/relationships/hyperlink" Target="https://sch1412sv.mskobr.ru/" TargetMode="External"/><Relationship Id="rId47" Type="http://schemas.openxmlformats.org/officeDocument/2006/relationships/hyperlink" Target="https://gym1409s-new.mskobr.ru/" TargetMode="External"/><Relationship Id="rId49" Type="http://schemas.openxmlformats.org/officeDocument/2006/relationships/hyperlink" Target="https://sch1434.mskobr.ru/" TargetMode="External"/><Relationship Id="rId103" Type="http://schemas.openxmlformats.org/officeDocument/2006/relationships/hyperlink" Target="https://sch2070.mskobr.ru/" TargetMode="External"/><Relationship Id="rId102" Type="http://schemas.openxmlformats.org/officeDocument/2006/relationships/hyperlink" Target="https://sch2065tn.mskobr.ru/" TargetMode="External"/><Relationship Id="rId101" Type="http://schemas.openxmlformats.org/officeDocument/2006/relationships/hyperlink" Target="https://sch2054.mskobr.ru/" TargetMode="External"/><Relationship Id="rId100" Type="http://schemas.openxmlformats.org/officeDocument/2006/relationships/hyperlink" Target="https://sch2051uv-new.mskobr.ru/" TargetMode="External"/><Relationship Id="rId31" Type="http://schemas.openxmlformats.org/officeDocument/2006/relationships/hyperlink" Target="https://sch1238.mskobr.ru/" TargetMode="External"/><Relationship Id="rId30" Type="http://schemas.openxmlformats.org/officeDocument/2006/relationships/hyperlink" Target="https://sch1231.mskobr.ru/" TargetMode="External"/><Relationship Id="rId33" Type="http://schemas.openxmlformats.org/officeDocument/2006/relationships/hyperlink" Target="https://sch1259.mskobr.ru/" TargetMode="External"/><Relationship Id="rId32" Type="http://schemas.openxmlformats.org/officeDocument/2006/relationships/hyperlink" Target="https://sch1253c.mskobr.ru/" TargetMode="External"/><Relationship Id="rId35" Type="http://schemas.openxmlformats.org/officeDocument/2006/relationships/hyperlink" Target="https://sch1298sz.mskobr.ru/" TargetMode="External"/><Relationship Id="rId34" Type="http://schemas.openxmlformats.org/officeDocument/2006/relationships/hyperlink" Target="https://sch1288s.mskobr.ru/" TargetMode="External"/><Relationship Id="rId37" Type="http://schemas.openxmlformats.org/officeDocument/2006/relationships/hyperlink" Target="https://sch1347.mskobr.ru/" TargetMode="External"/><Relationship Id="rId36" Type="http://schemas.openxmlformats.org/officeDocument/2006/relationships/hyperlink" Target="https://sch1329.mskobr.ru/" TargetMode="External"/><Relationship Id="rId39" Type="http://schemas.openxmlformats.org/officeDocument/2006/relationships/hyperlink" Target="https://sch1355uz.mskobr.ru/" TargetMode="External"/><Relationship Id="rId38" Type="http://schemas.openxmlformats.org/officeDocument/2006/relationships/hyperlink" Target="https://sch1354uz.mskobr.ru/" TargetMode="External"/><Relationship Id="rId20" Type="http://schemas.openxmlformats.org/officeDocument/2006/relationships/hyperlink" Target="https://sch947u.mskobr.ru/" TargetMode="External"/><Relationship Id="rId22" Type="http://schemas.openxmlformats.org/officeDocument/2006/relationships/hyperlink" Target="https://sch962sv.mskobr.ru/" TargetMode="External"/><Relationship Id="rId21" Type="http://schemas.openxmlformats.org/officeDocument/2006/relationships/hyperlink" Target="https://sch956sv-new.mskobr.ru/" TargetMode="External"/><Relationship Id="rId24" Type="http://schemas.openxmlformats.org/officeDocument/2006/relationships/hyperlink" Target="https://sch1034.mskobr.ru/" TargetMode="External"/><Relationship Id="rId23" Type="http://schemas.openxmlformats.org/officeDocument/2006/relationships/hyperlink" Target="https://gympushkova.mskobr.ru/" TargetMode="External"/><Relationship Id="rId26" Type="http://schemas.openxmlformats.org/officeDocument/2006/relationships/hyperlink" Target="https://sch1158.mskobr.ru/" TargetMode="External"/><Relationship Id="rId121" Type="http://schemas.openxmlformats.org/officeDocument/2006/relationships/hyperlink" Target="https://gym1595.mskobr.ru/" TargetMode="External"/><Relationship Id="rId25" Type="http://schemas.openxmlformats.org/officeDocument/2006/relationships/hyperlink" Target="https://sch1101uz.mskobr.ru/" TargetMode="External"/><Relationship Id="rId120" Type="http://schemas.openxmlformats.org/officeDocument/2006/relationships/hyperlink" Target="https://kapotnya.mskobr.ru/" TargetMode="External"/><Relationship Id="rId28" Type="http://schemas.openxmlformats.org/officeDocument/2006/relationships/hyperlink" Target="https://sch1195.mskobr.ru/" TargetMode="External"/><Relationship Id="rId27" Type="http://schemas.openxmlformats.org/officeDocument/2006/relationships/hyperlink" Target="https://sch1194zg.mskobr.ru/" TargetMode="External"/><Relationship Id="rId125" Type="http://schemas.openxmlformats.org/officeDocument/2006/relationships/drawing" Target="../drawings/drawing7.xml"/><Relationship Id="rId29" Type="http://schemas.openxmlformats.org/officeDocument/2006/relationships/hyperlink" Target="https://sch1208uv.mskobr.ru/" TargetMode="External"/><Relationship Id="rId124" Type="http://schemas.openxmlformats.org/officeDocument/2006/relationships/hyperlink" Target="https://sch1200.mskobr.ru/" TargetMode="External"/><Relationship Id="rId123" Type="http://schemas.openxmlformats.org/officeDocument/2006/relationships/hyperlink" Target="https://sch-mr.mskobr.ru/" TargetMode="External"/><Relationship Id="rId122" Type="http://schemas.openxmlformats.org/officeDocument/2006/relationships/hyperlink" Target="https://mayak.mskobr.ru/" TargetMode="External"/><Relationship Id="rId95" Type="http://schemas.openxmlformats.org/officeDocument/2006/relationships/hyperlink" Target="https://sch2006uz.mskobr.ru/" TargetMode="External"/><Relationship Id="rId94" Type="http://schemas.openxmlformats.org/officeDocument/2006/relationships/hyperlink" Target="https://sch2005sz.mskobr.ru/" TargetMode="External"/><Relationship Id="rId97" Type="http://schemas.openxmlformats.org/officeDocument/2006/relationships/hyperlink" Target="https://sch2036v.mskobr.ru/" TargetMode="External"/><Relationship Id="rId96" Type="http://schemas.openxmlformats.org/officeDocument/2006/relationships/hyperlink" Target="https://sch2033v.mskobr.ru/" TargetMode="External"/><Relationship Id="rId11" Type="http://schemas.openxmlformats.org/officeDocument/2006/relationships/hyperlink" Target="https://sch544u.mskobr.ru/" TargetMode="External"/><Relationship Id="rId99" Type="http://schemas.openxmlformats.org/officeDocument/2006/relationships/hyperlink" Target="https://2048.mskobr.ru/" TargetMode="External"/><Relationship Id="rId10" Type="http://schemas.openxmlformats.org/officeDocument/2006/relationships/hyperlink" Target="https://lyc507u.mskobr.ru/" TargetMode="External"/><Relationship Id="rId98" Type="http://schemas.openxmlformats.org/officeDocument/2006/relationships/hyperlink" Target="https://sch2045zg.mskobr.ru/" TargetMode="External"/><Relationship Id="rId13" Type="http://schemas.openxmlformats.org/officeDocument/2006/relationships/hyperlink" Target="https://sch618zg.mskobr.ru/" TargetMode="External"/><Relationship Id="rId12" Type="http://schemas.openxmlformats.org/officeDocument/2006/relationships/hyperlink" Target="https://gympushkova.mskobr.ru/" TargetMode="External"/><Relationship Id="rId91" Type="http://schemas.openxmlformats.org/officeDocument/2006/relationships/hyperlink" Target="https://sch1862u.mskobr.ru/" TargetMode="External"/><Relationship Id="rId90" Type="http://schemas.openxmlformats.org/officeDocument/2006/relationships/hyperlink" Target="https://sch1861u.mskobr.ru/" TargetMode="External"/><Relationship Id="rId93" Type="http://schemas.openxmlformats.org/officeDocument/2006/relationships/hyperlink" Target="https://sch1995uz.mskobr.ru/" TargetMode="External"/><Relationship Id="rId92" Type="http://schemas.openxmlformats.org/officeDocument/2006/relationships/hyperlink" Target="https://sch1950.mskobr.ru/" TargetMode="External"/><Relationship Id="rId118" Type="http://schemas.openxmlformats.org/officeDocument/2006/relationships/hyperlink" Target="https://maryno.mskobr.ru/" TargetMode="External"/><Relationship Id="rId117" Type="http://schemas.openxmlformats.org/officeDocument/2006/relationships/hyperlink" Target="https://integral.mskobr.ru/" TargetMode="External"/><Relationship Id="rId116" Type="http://schemas.openxmlformats.org/officeDocument/2006/relationships/hyperlink" Target="https://dmitrovsky.mskobr.ru/" TargetMode="External"/><Relationship Id="rId115" Type="http://schemas.openxmlformats.org/officeDocument/2006/relationships/hyperlink" Target="https://rs.mskobr.ru/" TargetMode="External"/><Relationship Id="rId119" Type="http://schemas.openxmlformats.org/officeDocument/2006/relationships/hyperlink" Target="https://pkvartal.mskobr.ru/" TargetMode="External"/><Relationship Id="rId15" Type="http://schemas.openxmlformats.org/officeDocument/2006/relationships/hyperlink" Target="https://sch641uv.mskobr.ru/" TargetMode="External"/><Relationship Id="rId110" Type="http://schemas.openxmlformats.org/officeDocument/2006/relationships/hyperlink" Target="https://sch2120tn.mskobr.ru/" TargetMode="External"/><Relationship Id="rId14" Type="http://schemas.openxmlformats.org/officeDocument/2006/relationships/hyperlink" Target="https://sch627.mskobr.ru/" TargetMode="External"/><Relationship Id="rId17" Type="http://schemas.openxmlformats.org/officeDocument/2006/relationships/hyperlink" Target="https://sch667u.mskobr.ru/" TargetMode="External"/><Relationship Id="rId16" Type="http://schemas.openxmlformats.org/officeDocument/2006/relationships/hyperlink" Target="https://sch648.mskobr.ru/" TargetMode="External"/><Relationship Id="rId19" Type="http://schemas.openxmlformats.org/officeDocument/2006/relationships/hyperlink" Target="https://sch853zg.mskobr.ru/" TargetMode="External"/><Relationship Id="rId114" Type="http://schemas.openxmlformats.org/officeDocument/2006/relationships/hyperlink" Target="https://kurchat.mskobr.ru/" TargetMode="External"/><Relationship Id="rId18" Type="http://schemas.openxmlformats.org/officeDocument/2006/relationships/hyperlink" Target="https://sch827sz.mskobr.ru/" TargetMode="External"/><Relationship Id="rId113" Type="http://schemas.openxmlformats.org/officeDocument/2006/relationships/hyperlink" Target="https://veshsch.mskobr.ru/" TargetMode="External"/><Relationship Id="rId112" Type="http://schemas.openxmlformats.org/officeDocument/2006/relationships/hyperlink" Target="https://gympushkova.mskobr.ru/" TargetMode="External"/><Relationship Id="rId111" Type="http://schemas.openxmlformats.org/officeDocument/2006/relationships/hyperlink" Target="https://2127.mskobr.ru/" TargetMode="External"/><Relationship Id="rId84" Type="http://schemas.openxmlformats.org/officeDocument/2006/relationships/hyperlink" Target="https://gym1748v.mskobr.ru/" TargetMode="External"/><Relationship Id="rId83" Type="http://schemas.openxmlformats.org/officeDocument/2006/relationships/hyperlink" Target="https://sch1747sz.mskobr.ru/" TargetMode="External"/><Relationship Id="rId86" Type="http://schemas.openxmlformats.org/officeDocument/2006/relationships/hyperlink" Target="https://gum1788tn.mskobr.ru/" TargetMode="External"/><Relationship Id="rId85" Type="http://schemas.openxmlformats.org/officeDocument/2006/relationships/hyperlink" Target="https://sch1770.mskobr.ru/" TargetMode="External"/><Relationship Id="rId88" Type="http://schemas.openxmlformats.org/officeDocument/2006/relationships/hyperlink" Target="https://sch1799.mskobr.ru/" TargetMode="External"/><Relationship Id="rId87" Type="http://schemas.openxmlformats.org/officeDocument/2006/relationships/hyperlink" Target="https://lyc1793uv.mskobr.ru/" TargetMode="External"/><Relationship Id="rId89" Type="http://schemas.openxmlformats.org/officeDocument/2006/relationships/hyperlink" Target="https://1811.mskobr.ru/" TargetMode="External"/><Relationship Id="rId80" Type="http://schemas.openxmlformats.org/officeDocument/2006/relationships/hyperlink" Target="https://1619.mskobr.ru/" TargetMode="External"/><Relationship Id="rId82" Type="http://schemas.openxmlformats.org/officeDocument/2006/relationships/hyperlink" Target="https://gymmg.mskobr.ru/" TargetMode="External"/><Relationship Id="rId81" Type="http://schemas.openxmlformats.org/officeDocument/2006/relationships/hyperlink" Target="https://gym1636u.mskobr.ru/" TargetMode="External"/><Relationship Id="rId1" Type="http://schemas.openxmlformats.org/officeDocument/2006/relationships/hyperlink" Target="https://sch138sz.mskobr.ru/" TargetMode="External"/><Relationship Id="rId2" Type="http://schemas.openxmlformats.org/officeDocument/2006/relationships/hyperlink" Target="https://sch171c.mskobr.ru/" TargetMode="External"/><Relationship Id="rId3" Type="http://schemas.openxmlformats.org/officeDocument/2006/relationships/hyperlink" Target="https://sch185s.mskobr.ru/" TargetMode="External"/><Relationship Id="rId4" Type="http://schemas.openxmlformats.org/officeDocument/2006/relationships/hyperlink" Target="https://sch192uz.mskobr.ru/" TargetMode="External"/><Relationship Id="rId9" Type="http://schemas.openxmlformats.org/officeDocument/2006/relationships/hyperlink" Target="https://schv444.mskobr.ru/" TargetMode="External"/><Relationship Id="rId5" Type="http://schemas.openxmlformats.org/officeDocument/2006/relationships/hyperlink" Target="https://sch199uz.mskobr.ru/" TargetMode="External"/><Relationship Id="rId6" Type="http://schemas.openxmlformats.org/officeDocument/2006/relationships/hyperlink" Target="https://gym201s.mskobr.ru/" TargetMode="External"/><Relationship Id="rId7" Type="http://schemas.openxmlformats.org/officeDocument/2006/relationships/hyperlink" Target="https://sch338tn.mskobr.ru/" TargetMode="External"/><Relationship Id="rId8" Type="http://schemas.openxmlformats.org/officeDocument/2006/relationships/hyperlink" Target="https://sch354c.mskobr.ru/" TargetMode="External"/><Relationship Id="rId73" Type="http://schemas.openxmlformats.org/officeDocument/2006/relationships/hyperlink" Target="https://lyc1564.mskobr.ru/" TargetMode="External"/><Relationship Id="rId72" Type="http://schemas.openxmlformats.org/officeDocument/2006/relationships/hyperlink" Target="https://sch1561uz.mskobr.ru/" TargetMode="External"/><Relationship Id="rId75" Type="http://schemas.openxmlformats.org/officeDocument/2006/relationships/hyperlink" Target="https://lyc1571sz.mskobr.ru/" TargetMode="External"/><Relationship Id="rId74" Type="http://schemas.openxmlformats.org/officeDocument/2006/relationships/hyperlink" Target="https://gym1569u.mskobr.ru/" TargetMode="External"/><Relationship Id="rId77" Type="http://schemas.openxmlformats.org/officeDocument/2006/relationships/hyperlink" Target="https://lyc1574.mskobr.ru/" TargetMode="External"/><Relationship Id="rId76" Type="http://schemas.openxmlformats.org/officeDocument/2006/relationships/hyperlink" Target="https://gum1573.mskobr.ru/" TargetMode="External"/><Relationship Id="rId79" Type="http://schemas.openxmlformats.org/officeDocument/2006/relationships/hyperlink" Target="https://sch1584.mskobr.ru/" TargetMode="External"/><Relationship Id="rId78" Type="http://schemas.openxmlformats.org/officeDocument/2006/relationships/hyperlink" Target="https://gym1583s-new.mskobr.ru/" TargetMode="External"/><Relationship Id="rId71" Type="http://schemas.openxmlformats.org/officeDocument/2006/relationships/hyperlink" Target="https://1560.mskobr.ru/" TargetMode="External"/><Relationship Id="rId70" Type="http://schemas.openxmlformats.org/officeDocument/2006/relationships/hyperlink" Target="https://lyc1557zg.mskobr.ru/" TargetMode="External"/><Relationship Id="rId62" Type="http://schemas.openxmlformats.org/officeDocument/2006/relationships/hyperlink" Target="https://gym1534uz.mskobr.ru/" TargetMode="External"/><Relationship Id="rId61" Type="http://schemas.openxmlformats.org/officeDocument/2006/relationships/hyperlink" Target="https://gym1530.mskobr.ru/" TargetMode="External"/><Relationship Id="rId64" Type="http://schemas.openxmlformats.org/officeDocument/2006/relationships/hyperlink" Target="https://gym1538sz.mskobr.ru/" TargetMode="External"/><Relationship Id="rId63" Type="http://schemas.openxmlformats.org/officeDocument/2006/relationships/hyperlink" Target="https://lyc1535.mskobr.ru/" TargetMode="External"/><Relationship Id="rId66" Type="http://schemas.openxmlformats.org/officeDocument/2006/relationships/hyperlink" Target="https://1541.mskobr.ru/" TargetMode="External"/><Relationship Id="rId65" Type="http://schemas.openxmlformats.org/officeDocument/2006/relationships/hyperlink" Target="https://gym1539sv.mskobr.ru/" TargetMode="External"/><Relationship Id="rId68" Type="http://schemas.openxmlformats.org/officeDocument/2006/relationships/hyperlink" Target="https://gymu1552.mskobr.ru/" TargetMode="External"/><Relationship Id="rId67" Type="http://schemas.openxmlformats.org/officeDocument/2006/relationships/hyperlink" Target="https://gym1544sz.mskobr.ru/" TargetMode="External"/><Relationship Id="rId60" Type="http://schemas.openxmlformats.org/officeDocument/2006/relationships/hyperlink" Target="https://gym1527u.mskobr.ru/" TargetMode="External"/><Relationship Id="rId69" Type="http://schemas.openxmlformats.org/officeDocument/2006/relationships/hyperlink" Target="https://lycu1553.mskobr.ru/" TargetMode="External"/><Relationship Id="rId51" Type="http://schemas.openxmlformats.org/officeDocument/2006/relationships/hyperlink" Target="https://sch1454s.mskobr.ru/" TargetMode="External"/><Relationship Id="rId50" Type="http://schemas.openxmlformats.org/officeDocument/2006/relationships/hyperlink" Target="https://sch1449sv.mskobr.ru/" TargetMode="External"/><Relationship Id="rId53" Type="http://schemas.openxmlformats.org/officeDocument/2006/relationships/hyperlink" Target="https://sch1474s.mskobr.ru/" TargetMode="External"/><Relationship Id="rId52" Type="http://schemas.openxmlformats.org/officeDocument/2006/relationships/hyperlink" Target="https://sch1468.mskobr.ru/" TargetMode="External"/><Relationship Id="rId55" Type="http://schemas.openxmlformats.org/officeDocument/2006/relationships/hyperlink" Target="https://1502.mskobr.ru/" TargetMode="External"/><Relationship Id="rId54" Type="http://schemas.openxmlformats.org/officeDocument/2006/relationships/hyperlink" Target="https://lycc1501.mskobr.ru/" TargetMode="External"/><Relationship Id="rId57" Type="http://schemas.openxmlformats.org/officeDocument/2006/relationships/hyperlink" Target="https://gym1506.mskobr.ru/" TargetMode="External"/><Relationship Id="rId56" Type="http://schemas.openxmlformats.org/officeDocument/2006/relationships/hyperlink" Target="https://gym1505v.mskobr.ru/" TargetMode="External"/><Relationship Id="rId59" Type="http://schemas.openxmlformats.org/officeDocument/2006/relationships/hyperlink" Target="https://1517.mskobr.ru/" TargetMode="External"/><Relationship Id="rId58" Type="http://schemas.openxmlformats.org/officeDocument/2006/relationships/hyperlink" Target="https://gym1516.mskobr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19.25"/>
    <col customWidth="1" min="3" max="3" width="22.13"/>
    <col customWidth="1" min="4" max="4" width="13.63"/>
    <col customWidth="1" min="5" max="5" width="18.25"/>
    <col customWidth="1" min="6" max="6" width="19.0"/>
    <col customWidth="1" min="7" max="7" width="16.13"/>
    <col customWidth="1" min="8" max="8" width="18.88"/>
    <col customWidth="1" min="9" max="9" width="16.13"/>
    <col customWidth="1" min="13" max="15" width="23.38"/>
    <col customWidth="1" min="16" max="18" width="11.5"/>
    <col customWidth="1" min="19" max="21" width="23.38"/>
    <col customWidth="1" min="22" max="24" width="16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3" t="s">
        <v>23</v>
      </c>
    </row>
    <row r="2">
      <c r="A2" s="4" t="str">
        <f>IFERROR(__xludf.DUMMYFUNCTION("LET(
  список, UNIQUE(FILTER(
    VSTACK('2023-2024'!E2:E1000, '2024-2025'!E2:E1000, '2025-2026'!H2:H1000),
    VSTACK('2023-2024'!E2:E1000, '2024-2025'!E2:E1000, '2025-2026'!H2:H1000)&lt;&gt;""""
  )),
  ключ_тип, MAP(список, LAMBDA(x,
    IF(REGEXMATCH(x, """&amp;"(?i)^школа\s+\d+$""), 0, 1)
  )),
  ключ_номер, MAP(список, LAMBDA(x,
    IFERROR(VALUE(REGEXEXTRACT(x, ""(\d+)"")), 999999)
  )),
  ключ_алфавит, MAP(список, LAMBDA(x,
    LOWER(SUBSTITUTE(SUBSTITUTE(x, ""ё"", ""е""), ""Ё"", ""Е""))
  )),
  QUERY(
   "&amp;" SORT(
      HSTACK(список, ключ_тип, ключ_номер, ключ_алфавит),
      2, TRUE,
      3, TRUE,
      4, TRUE
    ),
    ""select Col1"",
    0
  )
)"),"Школа 7")</f>
        <v>Школа 7</v>
      </c>
      <c r="B2" s="4" t="str">
        <f t="array" ref="B2">IFERROR(INDEX('Адреса школ'!F:F, MATCH(A2, 'Адреса школ'!E:E, 0)), "")</f>
        <v>55.68326, 37.524022</v>
      </c>
      <c r="C2" s="5" t="str">
        <f t="array" ref="C2">IFERROR(INDEX('Топ-400'!A:A, MATCH(A2, 'Топ-400'!E:E, 0)), "Вне рейтинга")</f>
        <v>382</v>
      </c>
      <c r="D2" s="6">
        <f>IFERROR(__xludf.DUMMYFUNCTION("ARRAYFORMULA(
  BYROW($A2:$A1000, LAMBDA(школа,
    IF(школа="""",,
      BYCOL(D$1:U$1, LAMBDA(заголовок,
        LET(
          имя_профиля, REGEXEXTRACT(заголовок, ""^(.+?) \(""),
          код_года, REGEXEXTRACT(заголовок, ""_(\d+)""),
          год, "&amp;"""20"" &amp; код_года &amp; ""-20"" &amp; (VALUE(код_года) + 1),
          диапазон_профиль, IF(год=""2023-2024"", '2023-2024'!$A:$A,
                            IF(год=""2024-2025"", '2024-2025'!$A:$A,
                                                 '2025-2026'!$A"&amp;":$A)),
          диапазон_школа, IF(год=""2023-2024"", '2023-2024'!$E:$E,
                          IF(год=""2024-2025"", '2024-2025'!$E:$E,
                                               '2025-2026'!$H:$H)),
          --(COUNTIFS(диапазон_школа, школа,"&amp;" диапазон_профиль, имя_профиля)&gt;0)
        )
      ))
    )
  ))
)"),1.0)</f>
        <v>1</v>
      </c>
      <c r="E2" s="7">
        <f>IFERROR(__xludf.DUMMYFUNCTION("""COMPUTED_VALUE"""),1.0)</f>
        <v>1</v>
      </c>
      <c r="F2" s="6">
        <f>IFERROR(__xludf.DUMMYFUNCTION("""COMPUTED_VALUE"""),1.0)</f>
        <v>1</v>
      </c>
      <c r="G2" s="6">
        <f>IFERROR(__xludf.DUMMYFUNCTION("""COMPUTED_VALUE"""),0.0)</f>
        <v>0</v>
      </c>
      <c r="H2" s="6">
        <f>IFERROR(__xludf.DUMMYFUNCTION("""COMPUTED_VALUE"""),0.0)</f>
        <v>0</v>
      </c>
      <c r="I2" s="6">
        <f>IFERROR(__xludf.DUMMYFUNCTION("""COMPUTED_VALUE"""),0.0)</f>
        <v>0</v>
      </c>
      <c r="J2" s="6">
        <f>IFERROR(__xludf.DUMMYFUNCTION("""COMPUTED_VALUE"""),1.0)</f>
        <v>1</v>
      </c>
      <c r="K2" s="6">
        <f>IFERROR(__xludf.DUMMYFUNCTION("""COMPUTED_VALUE"""),1.0)</f>
        <v>1</v>
      </c>
      <c r="L2" s="6">
        <f>IFERROR(__xludf.DUMMYFUNCTION("""COMPUTED_VALUE"""),1.0)</f>
        <v>1</v>
      </c>
      <c r="M2" s="6">
        <f>IFERROR(__xludf.DUMMYFUNCTION("""COMPUTED_VALUE"""),1.0)</f>
        <v>1</v>
      </c>
      <c r="N2" s="6">
        <f>IFERROR(__xludf.DUMMYFUNCTION("""COMPUTED_VALUE"""),1.0)</f>
        <v>1</v>
      </c>
      <c r="O2" s="6">
        <f>IFERROR(__xludf.DUMMYFUNCTION("""COMPUTED_VALUE"""),1.0)</f>
        <v>1</v>
      </c>
      <c r="P2" s="6">
        <f>IFERROR(__xludf.DUMMYFUNCTION("""COMPUTED_VALUE"""),1.0)</f>
        <v>1</v>
      </c>
      <c r="Q2" s="6">
        <f>IFERROR(__xludf.DUMMYFUNCTION("""COMPUTED_VALUE"""),1.0)</f>
        <v>1</v>
      </c>
      <c r="R2" s="6">
        <f>IFERROR(__xludf.DUMMYFUNCTION("""COMPUTED_VALUE"""),1.0)</f>
        <v>1</v>
      </c>
      <c r="S2" s="6">
        <f>IFERROR(__xludf.DUMMYFUNCTION("""COMPUTED_VALUE"""),0.0)</f>
        <v>0</v>
      </c>
      <c r="T2" s="6">
        <f>IFERROR(__xludf.DUMMYFUNCTION("""COMPUTED_VALUE"""),0.0)</f>
        <v>0</v>
      </c>
      <c r="U2" s="6">
        <f>IFERROR(__xludf.DUMMYFUNCTION("""COMPUTED_VALUE"""),0.0)</f>
        <v>0</v>
      </c>
      <c r="V2" s="4">
        <f t="shared" ref="V2:X2" si="1">SUM(D2, G2, J2, M2, P2, S2)</f>
        <v>4</v>
      </c>
      <c r="W2" s="4">
        <f t="shared" si="1"/>
        <v>4</v>
      </c>
      <c r="X2" s="4">
        <f t="shared" si="1"/>
        <v>4</v>
      </c>
    </row>
    <row r="3">
      <c r="A3" s="4" t="str">
        <f>IFERROR(__xludf.DUMMYFUNCTION("""COMPUTED_VALUE"""),"Школа 14")</f>
        <v>Школа 14</v>
      </c>
      <c r="B3" s="4" t="str">
        <f t="array" ref="B3">IFERROR(INDEX('Адреса школ'!F:F, MATCH(A3, 'Адреса школ'!E:E, 0)), "")</f>
        <v>55.661988, 37.465811</v>
      </c>
      <c r="C3" s="5" t="str">
        <f t="array" ref="C3">IFERROR(INDEX('Топ-400'!A:A, MATCH(A3, 'Топ-400'!E:E, 0)), "Вне рейтинга")</f>
        <v>318</v>
      </c>
      <c r="D3" s="6">
        <f>IFERROR(__xludf.DUMMYFUNCTION("""COMPUTED_VALUE"""),0.0)</f>
        <v>0</v>
      </c>
      <c r="E3" s="6">
        <f>IFERROR(__xludf.DUMMYFUNCTION("""COMPUTED_VALUE"""),0.0)</f>
        <v>0</v>
      </c>
      <c r="F3" s="6">
        <f>IFERROR(__xludf.DUMMYFUNCTION("""COMPUTED_VALUE"""),0.0)</f>
        <v>0</v>
      </c>
      <c r="G3" s="6">
        <f>IFERROR(__xludf.DUMMYFUNCTION("""COMPUTED_VALUE"""),0.0)</f>
        <v>0</v>
      </c>
      <c r="H3" s="6">
        <f>IFERROR(__xludf.DUMMYFUNCTION("""COMPUTED_VALUE"""),0.0)</f>
        <v>0</v>
      </c>
      <c r="I3" s="6">
        <f>IFERROR(__xludf.DUMMYFUNCTION("""COMPUTED_VALUE"""),0.0)</f>
        <v>0</v>
      </c>
      <c r="J3" s="6">
        <f>IFERROR(__xludf.DUMMYFUNCTION("""COMPUTED_VALUE"""),0.0)</f>
        <v>0</v>
      </c>
      <c r="K3" s="6">
        <f>IFERROR(__xludf.DUMMYFUNCTION("""COMPUTED_VALUE"""),0.0)</f>
        <v>0</v>
      </c>
      <c r="L3" s="6">
        <f>IFERROR(__xludf.DUMMYFUNCTION("""COMPUTED_VALUE"""),0.0)</f>
        <v>0</v>
      </c>
      <c r="M3" s="6">
        <f>IFERROR(__xludf.DUMMYFUNCTION("""COMPUTED_VALUE"""),0.0)</f>
        <v>0</v>
      </c>
      <c r="N3" s="6">
        <f>IFERROR(__xludf.DUMMYFUNCTION("""COMPUTED_VALUE"""),1.0)</f>
        <v>1</v>
      </c>
      <c r="O3" s="6">
        <f>IFERROR(__xludf.DUMMYFUNCTION("""COMPUTED_VALUE"""),1.0)</f>
        <v>1</v>
      </c>
      <c r="P3" s="6">
        <f>IFERROR(__xludf.DUMMYFUNCTION("""COMPUTED_VALUE"""),0.0)</f>
        <v>0</v>
      </c>
      <c r="Q3" s="6">
        <f>IFERROR(__xludf.DUMMYFUNCTION("""COMPUTED_VALUE"""),0.0)</f>
        <v>0</v>
      </c>
      <c r="R3" s="6">
        <f>IFERROR(__xludf.DUMMYFUNCTION("""COMPUTED_VALUE"""),0.0)</f>
        <v>0</v>
      </c>
      <c r="S3" s="6">
        <f>IFERROR(__xludf.DUMMYFUNCTION("""COMPUTED_VALUE"""),0.0)</f>
        <v>0</v>
      </c>
      <c r="T3" s="6">
        <f>IFERROR(__xludf.DUMMYFUNCTION("""COMPUTED_VALUE"""),0.0)</f>
        <v>0</v>
      </c>
      <c r="U3" s="6">
        <f>IFERROR(__xludf.DUMMYFUNCTION("""COMPUTED_VALUE"""),0.0)</f>
        <v>0</v>
      </c>
      <c r="V3" s="4">
        <f t="shared" ref="V3:X3" si="2">SUM(D3, G3, J3, M3, P3, S3)</f>
        <v>0</v>
      </c>
      <c r="W3" s="4">
        <f t="shared" si="2"/>
        <v>1</v>
      </c>
      <c r="X3" s="4">
        <f t="shared" si="2"/>
        <v>1</v>
      </c>
    </row>
    <row r="4">
      <c r="A4" s="4" t="str">
        <f>IFERROR(__xludf.DUMMYFUNCTION("""COMPUTED_VALUE"""),"Школа 15")</f>
        <v>Школа 15</v>
      </c>
      <c r="B4" s="4" t="str">
        <f t="array" ref="B4">IFERROR(INDEX('Адреса школ'!F:F, MATCH(A4, 'Адреса школ'!E:E, 0)), "")</f>
        <v>55.65209, 37.559712</v>
      </c>
      <c r="C4" s="5" t="str">
        <f t="array" ref="C4">IFERROR(INDEX('Топ-400'!A:A, MATCH(A4, 'Топ-400'!E:E, 0)), "Вне рейтинга")</f>
        <v>386</v>
      </c>
      <c r="D4" s="6">
        <f>IFERROR(__xludf.DUMMYFUNCTION("""COMPUTED_VALUE"""),0.0)</f>
        <v>0</v>
      </c>
      <c r="E4" s="6">
        <f>IFERROR(__xludf.DUMMYFUNCTION("""COMPUTED_VALUE"""),0.0)</f>
        <v>0</v>
      </c>
      <c r="F4" s="6">
        <f>IFERROR(__xludf.DUMMYFUNCTION("""COMPUTED_VALUE"""),0.0)</f>
        <v>0</v>
      </c>
      <c r="G4" s="6">
        <f>IFERROR(__xludf.DUMMYFUNCTION("""COMPUTED_VALUE"""),0.0)</f>
        <v>0</v>
      </c>
      <c r="H4" s="6">
        <f>IFERROR(__xludf.DUMMYFUNCTION("""COMPUTED_VALUE"""),0.0)</f>
        <v>0</v>
      </c>
      <c r="I4" s="6">
        <f>IFERROR(__xludf.DUMMYFUNCTION("""COMPUTED_VALUE"""),0.0)</f>
        <v>0</v>
      </c>
      <c r="J4" s="6">
        <f>IFERROR(__xludf.DUMMYFUNCTION("""COMPUTED_VALUE"""),0.0)</f>
        <v>0</v>
      </c>
      <c r="K4" s="6">
        <f>IFERROR(__xludf.DUMMYFUNCTION("""COMPUTED_VALUE"""),0.0)</f>
        <v>0</v>
      </c>
      <c r="L4" s="6">
        <f>IFERROR(__xludf.DUMMYFUNCTION("""COMPUTED_VALUE"""),0.0)</f>
        <v>0</v>
      </c>
      <c r="M4" s="6">
        <f>IFERROR(__xludf.DUMMYFUNCTION("""COMPUTED_VALUE"""),1.0)</f>
        <v>1</v>
      </c>
      <c r="N4" s="6">
        <f>IFERROR(__xludf.DUMMYFUNCTION("""COMPUTED_VALUE"""),0.0)</f>
        <v>0</v>
      </c>
      <c r="O4" s="6">
        <f>IFERROR(__xludf.DUMMYFUNCTION("""COMPUTED_VALUE"""),1.0)</f>
        <v>1</v>
      </c>
      <c r="P4" s="6">
        <f>IFERROR(__xludf.DUMMYFUNCTION("""COMPUTED_VALUE"""),1.0)</f>
        <v>1</v>
      </c>
      <c r="Q4" s="6">
        <f>IFERROR(__xludf.DUMMYFUNCTION("""COMPUTED_VALUE"""),0.0)</f>
        <v>0</v>
      </c>
      <c r="R4" s="6">
        <f>IFERROR(__xludf.DUMMYFUNCTION("""COMPUTED_VALUE"""),0.0)</f>
        <v>0</v>
      </c>
      <c r="S4" s="6">
        <f>IFERROR(__xludf.DUMMYFUNCTION("""COMPUTED_VALUE"""),0.0)</f>
        <v>0</v>
      </c>
      <c r="T4" s="6">
        <f>IFERROR(__xludf.DUMMYFUNCTION("""COMPUTED_VALUE"""),0.0)</f>
        <v>0</v>
      </c>
      <c r="U4" s="6">
        <f>IFERROR(__xludf.DUMMYFUNCTION("""COMPUTED_VALUE"""),0.0)</f>
        <v>0</v>
      </c>
      <c r="V4" s="4">
        <f t="shared" ref="V4:X4" si="3">SUM(D4, G4, J4, M4, P4, S4)</f>
        <v>2</v>
      </c>
      <c r="W4" s="4">
        <f t="shared" si="3"/>
        <v>0</v>
      </c>
      <c r="X4" s="4">
        <f t="shared" si="3"/>
        <v>1</v>
      </c>
    </row>
    <row r="5">
      <c r="A5" s="4" t="str">
        <f>IFERROR(__xludf.DUMMYFUNCTION("""COMPUTED_VALUE"""),"Школа 17")</f>
        <v>Школа 17</v>
      </c>
      <c r="B5" s="4" t="str">
        <f t="array" ref="B5">IFERROR(INDEX('Адреса школ'!F:F, MATCH(A5, 'Адреса школ'!E:E, 0)), "")</f>
        <v>55.636443, 37.532394</v>
      </c>
      <c r="C5" s="5" t="str">
        <f t="array" ref="C5">IFERROR(INDEX('Топ-400'!A:A, MATCH(A5, 'Топ-400'!E:E, 0)), "Вне рейтинга")</f>
        <v>153</v>
      </c>
      <c r="D5" s="6">
        <f>IFERROR(__xludf.DUMMYFUNCTION("""COMPUTED_VALUE"""),1.0)</f>
        <v>1</v>
      </c>
      <c r="E5" s="6">
        <f>IFERROR(__xludf.DUMMYFUNCTION("""COMPUTED_VALUE"""),0.0)</f>
        <v>0</v>
      </c>
      <c r="F5" s="6">
        <f>IFERROR(__xludf.DUMMYFUNCTION("""COMPUTED_VALUE"""),0.0)</f>
        <v>0</v>
      </c>
      <c r="G5" s="6">
        <f>IFERROR(__xludf.DUMMYFUNCTION("""COMPUTED_VALUE"""),0.0)</f>
        <v>0</v>
      </c>
      <c r="H5" s="6">
        <f>IFERROR(__xludf.DUMMYFUNCTION("""COMPUTED_VALUE"""),0.0)</f>
        <v>0</v>
      </c>
      <c r="I5" s="6">
        <f>IFERROR(__xludf.DUMMYFUNCTION("""COMPUTED_VALUE"""),0.0)</f>
        <v>0</v>
      </c>
      <c r="J5" s="6">
        <f>IFERROR(__xludf.DUMMYFUNCTION("""COMPUTED_VALUE"""),1.0)</f>
        <v>1</v>
      </c>
      <c r="K5" s="6">
        <f>IFERROR(__xludf.DUMMYFUNCTION("""COMPUTED_VALUE"""),0.0)</f>
        <v>0</v>
      </c>
      <c r="L5" s="6">
        <f>IFERROR(__xludf.DUMMYFUNCTION("""COMPUTED_VALUE"""),1.0)</f>
        <v>1</v>
      </c>
      <c r="M5" s="6">
        <f>IFERROR(__xludf.DUMMYFUNCTION("""COMPUTED_VALUE"""),1.0)</f>
        <v>1</v>
      </c>
      <c r="N5" s="6">
        <f>IFERROR(__xludf.DUMMYFUNCTION("""COMPUTED_VALUE"""),0.0)</f>
        <v>0</v>
      </c>
      <c r="O5" s="6">
        <f>IFERROR(__xludf.DUMMYFUNCTION("""COMPUTED_VALUE"""),1.0)</f>
        <v>1</v>
      </c>
      <c r="P5" s="6">
        <f>IFERROR(__xludf.DUMMYFUNCTION("""COMPUTED_VALUE"""),1.0)</f>
        <v>1</v>
      </c>
      <c r="Q5" s="6">
        <f>IFERROR(__xludf.DUMMYFUNCTION("""COMPUTED_VALUE"""),0.0)</f>
        <v>0</v>
      </c>
      <c r="R5" s="6">
        <f>IFERROR(__xludf.DUMMYFUNCTION("""COMPUTED_VALUE"""),1.0)</f>
        <v>1</v>
      </c>
      <c r="S5" s="6">
        <f>IFERROR(__xludf.DUMMYFUNCTION("""COMPUTED_VALUE"""),0.0)</f>
        <v>0</v>
      </c>
      <c r="T5" s="6">
        <f>IFERROR(__xludf.DUMMYFUNCTION("""COMPUTED_VALUE"""),0.0)</f>
        <v>0</v>
      </c>
      <c r="U5" s="6">
        <f>IFERROR(__xludf.DUMMYFUNCTION("""COMPUTED_VALUE"""),0.0)</f>
        <v>0</v>
      </c>
      <c r="V5" s="4">
        <f t="shared" ref="V5:X5" si="4">SUM(D5, G5, J5, M5, P5, S5)</f>
        <v>4</v>
      </c>
      <c r="W5" s="4">
        <f t="shared" si="4"/>
        <v>0</v>
      </c>
      <c r="X5" s="4">
        <f t="shared" si="4"/>
        <v>3</v>
      </c>
    </row>
    <row r="6">
      <c r="A6" s="4" t="str">
        <f>IFERROR(__xludf.DUMMYFUNCTION("""COMPUTED_VALUE"""),"Школа 37")</f>
        <v>Школа 37</v>
      </c>
      <c r="B6" s="4" t="str">
        <f t="array" ref="B6">IFERROR(INDEX('Адреса школ'!F:F, MATCH(A6, 'Адреса школ'!E:E, 0)), "")</f>
        <v>55.703276, 37.504025</v>
      </c>
      <c r="C6" s="5" t="str">
        <f t="array" ref="C6">IFERROR(INDEX('Топ-400'!A:A, MATCH(A6, 'Топ-400'!E:E, 0)), "Вне рейтинга")</f>
        <v>237</v>
      </c>
      <c r="D6" s="6">
        <f>IFERROR(__xludf.DUMMYFUNCTION("""COMPUTED_VALUE"""),0.0)</f>
        <v>0</v>
      </c>
      <c r="E6" s="6">
        <f>IFERROR(__xludf.DUMMYFUNCTION("""COMPUTED_VALUE"""),0.0)</f>
        <v>0</v>
      </c>
      <c r="F6" s="6">
        <f>IFERROR(__xludf.DUMMYFUNCTION("""COMPUTED_VALUE"""),0.0)</f>
        <v>0</v>
      </c>
      <c r="G6" s="6">
        <f>IFERROR(__xludf.DUMMYFUNCTION("""COMPUTED_VALUE"""),0.0)</f>
        <v>0</v>
      </c>
      <c r="H6" s="6">
        <f>IFERROR(__xludf.DUMMYFUNCTION("""COMPUTED_VALUE"""),0.0)</f>
        <v>0</v>
      </c>
      <c r="I6" s="6">
        <f>IFERROR(__xludf.DUMMYFUNCTION("""COMPUTED_VALUE"""),0.0)</f>
        <v>0</v>
      </c>
      <c r="J6" s="6">
        <f>IFERROR(__xludf.DUMMYFUNCTION("""COMPUTED_VALUE"""),0.0)</f>
        <v>0</v>
      </c>
      <c r="K6" s="6">
        <f>IFERROR(__xludf.DUMMYFUNCTION("""COMPUTED_VALUE"""),0.0)</f>
        <v>0</v>
      </c>
      <c r="L6" s="6">
        <f>IFERROR(__xludf.DUMMYFUNCTION("""COMPUTED_VALUE"""),0.0)</f>
        <v>0</v>
      </c>
      <c r="M6" s="6">
        <f>IFERROR(__xludf.DUMMYFUNCTION("""COMPUTED_VALUE"""),0.0)</f>
        <v>0</v>
      </c>
      <c r="N6" s="6">
        <f>IFERROR(__xludf.DUMMYFUNCTION("""COMPUTED_VALUE"""),1.0)</f>
        <v>1</v>
      </c>
      <c r="O6" s="6">
        <f>IFERROR(__xludf.DUMMYFUNCTION("""COMPUTED_VALUE"""),1.0)</f>
        <v>1</v>
      </c>
      <c r="P6" s="6">
        <f>IFERROR(__xludf.DUMMYFUNCTION("""COMPUTED_VALUE"""),0.0)</f>
        <v>0</v>
      </c>
      <c r="Q6" s="6">
        <f>IFERROR(__xludf.DUMMYFUNCTION("""COMPUTED_VALUE"""),0.0)</f>
        <v>0</v>
      </c>
      <c r="R6" s="6">
        <f>IFERROR(__xludf.DUMMYFUNCTION("""COMPUTED_VALUE"""),0.0)</f>
        <v>0</v>
      </c>
      <c r="S6" s="6">
        <f>IFERROR(__xludf.DUMMYFUNCTION("""COMPUTED_VALUE"""),0.0)</f>
        <v>0</v>
      </c>
      <c r="T6" s="6">
        <f>IFERROR(__xludf.DUMMYFUNCTION("""COMPUTED_VALUE"""),0.0)</f>
        <v>0</v>
      </c>
      <c r="U6" s="6">
        <f>IFERROR(__xludf.DUMMYFUNCTION("""COMPUTED_VALUE"""),0.0)</f>
        <v>0</v>
      </c>
      <c r="V6" s="4">
        <f t="shared" ref="V6:X6" si="5">SUM(D6, G6, J6, M6, P6, S6)</f>
        <v>0</v>
      </c>
      <c r="W6" s="4">
        <f t="shared" si="5"/>
        <v>1</v>
      </c>
      <c r="X6" s="4">
        <f t="shared" si="5"/>
        <v>1</v>
      </c>
    </row>
    <row r="7">
      <c r="A7" s="4" t="str">
        <f>IFERROR(__xludf.DUMMYFUNCTION("""COMPUTED_VALUE"""),"Школа 41")</f>
        <v>Школа 41</v>
      </c>
      <c r="B7" s="4" t="str">
        <f t="array" ref="B7">IFERROR(INDEX('Адреса школ'!F:F, MATCH(A7, 'Адреса школ'!E:E, 0)), "")</f>
        <v>55.614226, 37.294727</v>
      </c>
      <c r="C7" s="5" t="str">
        <f t="array" ref="C7">IFERROR(INDEX('Топ-400'!A:A, MATCH(A7, 'Топ-400'!E:E, 0)), "Вне рейтинга")</f>
        <v>Вне рейтинга</v>
      </c>
      <c r="D7" s="6">
        <f>IFERROR(__xludf.DUMMYFUNCTION("""COMPUTED_VALUE"""),1.0)</f>
        <v>1</v>
      </c>
      <c r="E7" s="6">
        <f>IFERROR(__xludf.DUMMYFUNCTION("""COMPUTED_VALUE"""),0.0)</f>
        <v>0</v>
      </c>
      <c r="F7" s="6">
        <f>IFERROR(__xludf.DUMMYFUNCTION("""COMPUTED_VALUE"""),1.0)</f>
        <v>1</v>
      </c>
      <c r="G7" s="6">
        <f>IFERROR(__xludf.DUMMYFUNCTION("""COMPUTED_VALUE"""),0.0)</f>
        <v>0</v>
      </c>
      <c r="H7" s="6">
        <f>IFERROR(__xludf.DUMMYFUNCTION("""COMPUTED_VALUE"""),0.0)</f>
        <v>0</v>
      </c>
      <c r="I7" s="6">
        <f>IFERROR(__xludf.DUMMYFUNCTION("""COMPUTED_VALUE"""),0.0)</f>
        <v>0</v>
      </c>
      <c r="J7" s="6">
        <f>IFERROR(__xludf.DUMMYFUNCTION("""COMPUTED_VALUE"""),0.0)</f>
        <v>0</v>
      </c>
      <c r="K7" s="6">
        <f>IFERROR(__xludf.DUMMYFUNCTION("""COMPUTED_VALUE"""),0.0)</f>
        <v>0</v>
      </c>
      <c r="L7" s="6">
        <f>IFERROR(__xludf.DUMMYFUNCTION("""COMPUTED_VALUE"""),0.0)</f>
        <v>0</v>
      </c>
      <c r="M7" s="6">
        <f>IFERROR(__xludf.DUMMYFUNCTION("""COMPUTED_VALUE"""),1.0)</f>
        <v>1</v>
      </c>
      <c r="N7" s="6">
        <f>IFERROR(__xludf.DUMMYFUNCTION("""COMPUTED_VALUE"""),0.0)</f>
        <v>0</v>
      </c>
      <c r="O7" s="6">
        <f>IFERROR(__xludf.DUMMYFUNCTION("""COMPUTED_VALUE"""),0.0)</f>
        <v>0</v>
      </c>
      <c r="P7" s="6">
        <f>IFERROR(__xludf.DUMMYFUNCTION("""COMPUTED_VALUE"""),1.0)</f>
        <v>1</v>
      </c>
      <c r="Q7" s="6">
        <f>IFERROR(__xludf.DUMMYFUNCTION("""COMPUTED_VALUE"""),0.0)</f>
        <v>0</v>
      </c>
      <c r="R7" s="6">
        <f>IFERROR(__xludf.DUMMYFUNCTION("""COMPUTED_VALUE"""),0.0)</f>
        <v>0</v>
      </c>
      <c r="S7" s="6">
        <f>IFERROR(__xludf.DUMMYFUNCTION("""COMPUTED_VALUE"""),0.0)</f>
        <v>0</v>
      </c>
      <c r="T7" s="6">
        <f>IFERROR(__xludf.DUMMYFUNCTION("""COMPUTED_VALUE"""),0.0)</f>
        <v>0</v>
      </c>
      <c r="U7" s="6">
        <f>IFERROR(__xludf.DUMMYFUNCTION("""COMPUTED_VALUE"""),0.0)</f>
        <v>0</v>
      </c>
      <c r="V7" s="4">
        <f t="shared" ref="V7:X7" si="6">SUM(D7, G7, J7, M7, P7, S7)</f>
        <v>3</v>
      </c>
      <c r="W7" s="4">
        <f t="shared" si="6"/>
        <v>0</v>
      </c>
      <c r="X7" s="4">
        <f t="shared" si="6"/>
        <v>1</v>
      </c>
    </row>
    <row r="8">
      <c r="A8" s="4" t="str">
        <f>IFERROR(__xludf.DUMMYFUNCTION("""COMPUTED_VALUE"""),"Школа 45")</f>
        <v>Школа 45</v>
      </c>
      <c r="B8" s="4" t="str">
        <f t="array" ref="B8">IFERROR(INDEX('Адреса школ'!F:F, MATCH(A8, 'Адреса школ'!E:E, 0)), "")</f>
        <v>55.690654, 37.579744</v>
      </c>
      <c r="C8" s="5" t="str">
        <f t="array" ref="C8">IFERROR(INDEX('Топ-400'!A:A, MATCH(A8, 'Топ-400'!E:E, 0)), "Вне рейтинга")</f>
        <v>378</v>
      </c>
      <c r="D8" s="6">
        <f>IFERROR(__xludf.DUMMYFUNCTION("""COMPUTED_VALUE"""),0.0)</f>
        <v>0</v>
      </c>
      <c r="E8" s="6">
        <f>IFERROR(__xludf.DUMMYFUNCTION("""COMPUTED_VALUE"""),0.0)</f>
        <v>0</v>
      </c>
      <c r="F8" s="6">
        <f>IFERROR(__xludf.DUMMYFUNCTION("""COMPUTED_VALUE"""),0.0)</f>
        <v>0</v>
      </c>
      <c r="G8" s="6">
        <f>IFERROR(__xludf.DUMMYFUNCTION("""COMPUTED_VALUE"""),0.0)</f>
        <v>0</v>
      </c>
      <c r="H8" s="6">
        <f>IFERROR(__xludf.DUMMYFUNCTION("""COMPUTED_VALUE"""),0.0)</f>
        <v>0</v>
      </c>
      <c r="I8" s="6">
        <f>IFERROR(__xludf.DUMMYFUNCTION("""COMPUTED_VALUE"""),0.0)</f>
        <v>0</v>
      </c>
      <c r="J8" s="6">
        <f>IFERROR(__xludf.DUMMYFUNCTION("""COMPUTED_VALUE"""),1.0)</f>
        <v>1</v>
      </c>
      <c r="K8" s="6">
        <f>IFERROR(__xludf.DUMMYFUNCTION("""COMPUTED_VALUE"""),0.0)</f>
        <v>0</v>
      </c>
      <c r="L8" s="6">
        <f>IFERROR(__xludf.DUMMYFUNCTION("""COMPUTED_VALUE"""),1.0)</f>
        <v>1</v>
      </c>
      <c r="M8" s="6">
        <f>IFERROR(__xludf.DUMMYFUNCTION("""COMPUTED_VALUE"""),0.0)</f>
        <v>0</v>
      </c>
      <c r="N8" s="6">
        <f>IFERROR(__xludf.DUMMYFUNCTION("""COMPUTED_VALUE"""),0.0)</f>
        <v>0</v>
      </c>
      <c r="O8" s="6">
        <f>IFERROR(__xludf.DUMMYFUNCTION("""COMPUTED_VALUE"""),0.0)</f>
        <v>0</v>
      </c>
      <c r="P8" s="6">
        <f>IFERROR(__xludf.DUMMYFUNCTION("""COMPUTED_VALUE"""),0.0)</f>
        <v>0</v>
      </c>
      <c r="Q8" s="6">
        <f>IFERROR(__xludf.DUMMYFUNCTION("""COMPUTED_VALUE"""),0.0)</f>
        <v>0</v>
      </c>
      <c r="R8" s="6">
        <f>IFERROR(__xludf.DUMMYFUNCTION("""COMPUTED_VALUE"""),0.0)</f>
        <v>0</v>
      </c>
      <c r="S8" s="6">
        <f>IFERROR(__xludf.DUMMYFUNCTION("""COMPUTED_VALUE"""),0.0)</f>
        <v>0</v>
      </c>
      <c r="T8" s="6">
        <f>IFERROR(__xludf.DUMMYFUNCTION("""COMPUTED_VALUE"""),0.0)</f>
        <v>0</v>
      </c>
      <c r="U8" s="6">
        <f>IFERROR(__xludf.DUMMYFUNCTION("""COMPUTED_VALUE"""),0.0)</f>
        <v>0</v>
      </c>
      <c r="V8" s="4">
        <f t="shared" ref="V8:X8" si="7">SUM(D8, G8, J8, M8, P8, S8)</f>
        <v>1</v>
      </c>
      <c r="W8" s="4">
        <f t="shared" si="7"/>
        <v>0</v>
      </c>
      <c r="X8" s="4">
        <f t="shared" si="7"/>
        <v>1</v>
      </c>
    </row>
    <row r="9">
      <c r="A9" s="4" t="str">
        <f>IFERROR(__xludf.DUMMYFUNCTION("""COMPUTED_VALUE"""),"Школа 56")</f>
        <v>Школа 56</v>
      </c>
      <c r="B9" s="4" t="str">
        <f t="array" ref="B9">IFERROR(INDEX('Адреса школ'!F:F, MATCH(A9, 'Адреса школ'!E:E, 0)), "")</f>
        <v>55.745954, 37.549273</v>
      </c>
      <c r="C9" s="5" t="str">
        <f t="array" ref="C9">IFERROR(INDEX('Топ-400'!A:A, MATCH(A9, 'Топ-400'!E:E, 0)), "Вне рейтинга")</f>
        <v>313</v>
      </c>
      <c r="D9" s="6">
        <f>IFERROR(__xludf.DUMMYFUNCTION("""COMPUTED_VALUE"""),0.0)</f>
        <v>0</v>
      </c>
      <c r="E9" s="6">
        <f>IFERROR(__xludf.DUMMYFUNCTION("""COMPUTED_VALUE"""),0.0)</f>
        <v>0</v>
      </c>
      <c r="F9" s="6">
        <f>IFERROR(__xludf.DUMMYFUNCTION("""COMPUTED_VALUE"""),0.0)</f>
        <v>0</v>
      </c>
      <c r="G9" s="6">
        <f>IFERROR(__xludf.DUMMYFUNCTION("""COMPUTED_VALUE"""),0.0)</f>
        <v>0</v>
      </c>
      <c r="H9" s="6">
        <f>IFERROR(__xludf.DUMMYFUNCTION("""COMPUTED_VALUE"""),0.0)</f>
        <v>0</v>
      </c>
      <c r="I9" s="6">
        <f>IFERROR(__xludf.DUMMYFUNCTION("""COMPUTED_VALUE"""),0.0)</f>
        <v>0</v>
      </c>
      <c r="J9" s="6">
        <f>IFERROR(__xludf.DUMMYFUNCTION("""COMPUTED_VALUE"""),1.0)</f>
        <v>1</v>
      </c>
      <c r="K9" s="6">
        <f>IFERROR(__xludf.DUMMYFUNCTION("""COMPUTED_VALUE"""),1.0)</f>
        <v>1</v>
      </c>
      <c r="L9" s="6">
        <f>IFERROR(__xludf.DUMMYFUNCTION("""COMPUTED_VALUE"""),1.0)</f>
        <v>1</v>
      </c>
      <c r="M9" s="6">
        <f>IFERROR(__xludf.DUMMYFUNCTION("""COMPUTED_VALUE"""),1.0)</f>
        <v>1</v>
      </c>
      <c r="N9" s="6">
        <f>IFERROR(__xludf.DUMMYFUNCTION("""COMPUTED_VALUE"""),1.0)</f>
        <v>1</v>
      </c>
      <c r="O9" s="6">
        <f>IFERROR(__xludf.DUMMYFUNCTION("""COMPUTED_VALUE"""),1.0)</f>
        <v>1</v>
      </c>
      <c r="P9" s="6">
        <f>IFERROR(__xludf.DUMMYFUNCTION("""COMPUTED_VALUE"""),1.0)</f>
        <v>1</v>
      </c>
      <c r="Q9" s="6">
        <f>IFERROR(__xludf.DUMMYFUNCTION("""COMPUTED_VALUE"""),1.0)</f>
        <v>1</v>
      </c>
      <c r="R9" s="6">
        <f>IFERROR(__xludf.DUMMYFUNCTION("""COMPUTED_VALUE"""),1.0)</f>
        <v>1</v>
      </c>
      <c r="S9" s="6">
        <f>IFERROR(__xludf.DUMMYFUNCTION("""COMPUTED_VALUE"""),0.0)</f>
        <v>0</v>
      </c>
      <c r="T9" s="6">
        <f>IFERROR(__xludf.DUMMYFUNCTION("""COMPUTED_VALUE"""),0.0)</f>
        <v>0</v>
      </c>
      <c r="U9" s="6">
        <f>IFERROR(__xludf.DUMMYFUNCTION("""COMPUTED_VALUE"""),0.0)</f>
        <v>0</v>
      </c>
      <c r="V9" s="4">
        <f t="shared" ref="V9:X9" si="8">SUM(D9, G9, J9, M9, P9, S9)</f>
        <v>3</v>
      </c>
      <c r="W9" s="4">
        <f t="shared" si="8"/>
        <v>3</v>
      </c>
      <c r="X9" s="4">
        <f t="shared" si="8"/>
        <v>3</v>
      </c>
    </row>
    <row r="10">
      <c r="A10" s="4" t="str">
        <f>IFERROR(__xludf.DUMMYFUNCTION("""COMPUTED_VALUE"""),"Школа 58")</f>
        <v>Школа 58</v>
      </c>
      <c r="B10" s="4" t="str">
        <f t="array" ref="B10">IFERROR(INDEX('Адреса школ'!F:F, MATCH(A10, 'Адреса школ'!E:E, 0)), "")</f>
        <v>55.794037, 37.397593</v>
      </c>
      <c r="C10" s="5" t="str">
        <f t="array" ref="C10">IFERROR(INDEX('Топ-400'!A:A, MATCH(A10, 'Топ-400'!E:E, 0)), "Вне рейтинга")</f>
        <v>121</v>
      </c>
      <c r="D10" s="6">
        <f>IFERROR(__xludf.DUMMYFUNCTION("""COMPUTED_VALUE"""),0.0)</f>
        <v>0</v>
      </c>
      <c r="E10" s="6">
        <f>IFERROR(__xludf.DUMMYFUNCTION("""COMPUTED_VALUE"""),0.0)</f>
        <v>0</v>
      </c>
      <c r="F10" s="6">
        <f>IFERROR(__xludf.DUMMYFUNCTION("""COMPUTED_VALUE"""),1.0)</f>
        <v>1</v>
      </c>
      <c r="G10" s="6">
        <f>IFERROR(__xludf.DUMMYFUNCTION("""COMPUTED_VALUE"""),0.0)</f>
        <v>0</v>
      </c>
      <c r="H10" s="6">
        <f>IFERROR(__xludf.DUMMYFUNCTION("""COMPUTED_VALUE"""),0.0)</f>
        <v>0</v>
      </c>
      <c r="I10" s="6">
        <f>IFERROR(__xludf.DUMMYFUNCTION("""COMPUTED_VALUE"""),0.0)</f>
        <v>0</v>
      </c>
      <c r="J10" s="6">
        <f>IFERROR(__xludf.DUMMYFUNCTION("""COMPUTED_VALUE"""),0.0)</f>
        <v>0</v>
      </c>
      <c r="K10" s="6">
        <f>IFERROR(__xludf.DUMMYFUNCTION("""COMPUTED_VALUE"""),0.0)</f>
        <v>0</v>
      </c>
      <c r="L10" s="6">
        <f>IFERROR(__xludf.DUMMYFUNCTION("""COMPUTED_VALUE"""),0.0)</f>
        <v>0</v>
      </c>
      <c r="M10" s="6">
        <f>IFERROR(__xludf.DUMMYFUNCTION("""COMPUTED_VALUE"""),0.0)</f>
        <v>0</v>
      </c>
      <c r="N10" s="6">
        <f>IFERROR(__xludf.DUMMYFUNCTION("""COMPUTED_VALUE"""),0.0)</f>
        <v>0</v>
      </c>
      <c r="O10" s="6">
        <f>IFERROR(__xludf.DUMMYFUNCTION("""COMPUTED_VALUE"""),0.0)</f>
        <v>0</v>
      </c>
      <c r="P10" s="6">
        <f>IFERROR(__xludf.DUMMYFUNCTION("""COMPUTED_VALUE"""),0.0)</f>
        <v>0</v>
      </c>
      <c r="Q10" s="6">
        <f>IFERROR(__xludf.DUMMYFUNCTION("""COMPUTED_VALUE"""),0.0)</f>
        <v>0</v>
      </c>
      <c r="R10" s="6">
        <f>IFERROR(__xludf.DUMMYFUNCTION("""COMPUTED_VALUE"""),0.0)</f>
        <v>0</v>
      </c>
      <c r="S10" s="6">
        <f>IFERROR(__xludf.DUMMYFUNCTION("""COMPUTED_VALUE"""),0.0)</f>
        <v>0</v>
      </c>
      <c r="T10" s="6">
        <f>IFERROR(__xludf.DUMMYFUNCTION("""COMPUTED_VALUE"""),0.0)</f>
        <v>0</v>
      </c>
      <c r="U10" s="6">
        <f>IFERROR(__xludf.DUMMYFUNCTION("""COMPUTED_VALUE"""),0.0)</f>
        <v>0</v>
      </c>
      <c r="V10" s="4">
        <f t="shared" ref="V10:X10" si="9">SUM(D10, G10, J10, M10, P10, S10)</f>
        <v>0</v>
      </c>
      <c r="W10" s="4">
        <f t="shared" si="9"/>
        <v>0</v>
      </c>
      <c r="X10" s="4">
        <f t="shared" si="9"/>
        <v>1</v>
      </c>
    </row>
    <row r="11">
      <c r="A11" s="4" t="str">
        <f>IFERROR(__xludf.DUMMYFUNCTION("""COMPUTED_VALUE"""),"Школа 64")</f>
        <v>Школа 64</v>
      </c>
      <c r="B11" s="4" t="str">
        <f t="array" ref="B11">IFERROR(INDEX('Адреса школ'!F:F, MATCH(A11, 'Адреса школ'!E:E, 0)), "")</f>
        <v>55.73703, 37.414176</v>
      </c>
      <c r="C11" s="5" t="str">
        <f t="array" ref="C11">IFERROR(INDEX('Топ-400'!A:A, MATCH(A11, 'Топ-400'!E:E, 0)), "Вне рейтинга")</f>
        <v>314</v>
      </c>
      <c r="D11" s="6">
        <f>IFERROR(__xludf.DUMMYFUNCTION("""COMPUTED_VALUE"""),0.0)</f>
        <v>0</v>
      </c>
      <c r="E11" s="6">
        <f>IFERROR(__xludf.DUMMYFUNCTION("""COMPUTED_VALUE"""),0.0)</f>
        <v>0</v>
      </c>
      <c r="F11" s="6">
        <f>IFERROR(__xludf.DUMMYFUNCTION("""COMPUTED_VALUE"""),0.0)</f>
        <v>0</v>
      </c>
      <c r="G11" s="6">
        <f>IFERROR(__xludf.DUMMYFUNCTION("""COMPUTED_VALUE"""),0.0)</f>
        <v>0</v>
      </c>
      <c r="H11" s="6">
        <f>IFERROR(__xludf.DUMMYFUNCTION("""COMPUTED_VALUE"""),0.0)</f>
        <v>0</v>
      </c>
      <c r="I11" s="6">
        <f>IFERROR(__xludf.DUMMYFUNCTION("""COMPUTED_VALUE"""),0.0)</f>
        <v>0</v>
      </c>
      <c r="J11" s="6">
        <f>IFERROR(__xludf.DUMMYFUNCTION("""COMPUTED_VALUE"""),1.0)</f>
        <v>1</v>
      </c>
      <c r="K11" s="6">
        <f>IFERROR(__xludf.DUMMYFUNCTION("""COMPUTED_VALUE"""),1.0)</f>
        <v>1</v>
      </c>
      <c r="L11" s="6">
        <f>IFERROR(__xludf.DUMMYFUNCTION("""COMPUTED_VALUE"""),1.0)</f>
        <v>1</v>
      </c>
      <c r="M11" s="6">
        <f>IFERROR(__xludf.DUMMYFUNCTION("""COMPUTED_VALUE"""),1.0)</f>
        <v>1</v>
      </c>
      <c r="N11" s="6">
        <f>IFERROR(__xludf.DUMMYFUNCTION("""COMPUTED_VALUE"""),0.0)</f>
        <v>0</v>
      </c>
      <c r="O11" s="6">
        <f>IFERROR(__xludf.DUMMYFUNCTION("""COMPUTED_VALUE"""),0.0)</f>
        <v>0</v>
      </c>
      <c r="P11" s="6">
        <f>IFERROR(__xludf.DUMMYFUNCTION("""COMPUTED_VALUE"""),0.0)</f>
        <v>0</v>
      </c>
      <c r="Q11" s="6">
        <f>IFERROR(__xludf.DUMMYFUNCTION("""COMPUTED_VALUE"""),0.0)</f>
        <v>0</v>
      </c>
      <c r="R11" s="6">
        <f>IFERROR(__xludf.DUMMYFUNCTION("""COMPUTED_VALUE"""),0.0)</f>
        <v>0</v>
      </c>
      <c r="S11" s="6">
        <f>IFERROR(__xludf.DUMMYFUNCTION("""COMPUTED_VALUE"""),0.0)</f>
        <v>0</v>
      </c>
      <c r="T11" s="6">
        <f>IFERROR(__xludf.DUMMYFUNCTION("""COMPUTED_VALUE"""),0.0)</f>
        <v>0</v>
      </c>
      <c r="U11" s="6">
        <f>IFERROR(__xludf.DUMMYFUNCTION("""COMPUTED_VALUE"""),0.0)</f>
        <v>0</v>
      </c>
      <c r="V11" s="4">
        <f t="shared" ref="V11:X11" si="10">SUM(D11, G11, J11, M11, P11, S11)</f>
        <v>2</v>
      </c>
      <c r="W11" s="4">
        <f t="shared" si="10"/>
        <v>1</v>
      </c>
      <c r="X11" s="4">
        <f t="shared" si="10"/>
        <v>1</v>
      </c>
    </row>
    <row r="12">
      <c r="A12" s="4" t="str">
        <f>IFERROR(__xludf.DUMMYFUNCTION("""COMPUTED_VALUE"""),"Школа 67")</f>
        <v>Школа 67</v>
      </c>
      <c r="B12" s="4" t="str">
        <f t="array" ref="B12">IFERROR(INDEX('Адреса школ'!F:F, MATCH(A12, 'Адреса школ'!E:E, 0)), "")</f>
        <v>55.741409, 37.523366</v>
      </c>
      <c r="C12" s="5" t="str">
        <f t="array" ref="C12">IFERROR(INDEX('Топ-400'!A:A, MATCH(A12, 'Топ-400'!E:E, 0)), "Вне рейтинга")</f>
        <v>23</v>
      </c>
      <c r="D12" s="6">
        <f>IFERROR(__xludf.DUMMYFUNCTION("""COMPUTED_VALUE"""),1.0)</f>
        <v>1</v>
      </c>
      <c r="E12" s="6">
        <f>IFERROR(__xludf.DUMMYFUNCTION("""COMPUTED_VALUE"""),1.0)</f>
        <v>1</v>
      </c>
      <c r="F12" s="6">
        <f>IFERROR(__xludf.DUMMYFUNCTION("""COMPUTED_VALUE"""),1.0)</f>
        <v>1</v>
      </c>
      <c r="G12" s="6">
        <f>IFERROR(__xludf.DUMMYFUNCTION("""COMPUTED_VALUE"""),0.0)</f>
        <v>0</v>
      </c>
      <c r="H12" s="6">
        <f>IFERROR(__xludf.DUMMYFUNCTION("""COMPUTED_VALUE"""),0.0)</f>
        <v>0</v>
      </c>
      <c r="I12" s="6">
        <f>IFERROR(__xludf.DUMMYFUNCTION("""COMPUTED_VALUE"""),0.0)</f>
        <v>0</v>
      </c>
      <c r="J12" s="6">
        <f>IFERROR(__xludf.DUMMYFUNCTION("""COMPUTED_VALUE"""),1.0)</f>
        <v>1</v>
      </c>
      <c r="K12" s="6">
        <f>IFERROR(__xludf.DUMMYFUNCTION("""COMPUTED_VALUE"""),1.0)</f>
        <v>1</v>
      </c>
      <c r="L12" s="6">
        <f>IFERROR(__xludf.DUMMYFUNCTION("""COMPUTED_VALUE"""),1.0)</f>
        <v>1</v>
      </c>
      <c r="M12" s="6">
        <f>IFERROR(__xludf.DUMMYFUNCTION("""COMPUTED_VALUE"""),0.0)</f>
        <v>0</v>
      </c>
      <c r="N12" s="6">
        <f>IFERROR(__xludf.DUMMYFUNCTION("""COMPUTED_VALUE"""),0.0)</f>
        <v>0</v>
      </c>
      <c r="O12" s="6">
        <f>IFERROR(__xludf.DUMMYFUNCTION("""COMPUTED_VALUE"""),0.0)</f>
        <v>0</v>
      </c>
      <c r="P12" s="6">
        <f>IFERROR(__xludf.DUMMYFUNCTION("""COMPUTED_VALUE"""),0.0)</f>
        <v>0</v>
      </c>
      <c r="Q12" s="6">
        <f>IFERROR(__xludf.DUMMYFUNCTION("""COMPUTED_VALUE"""),0.0)</f>
        <v>0</v>
      </c>
      <c r="R12" s="6">
        <f>IFERROR(__xludf.DUMMYFUNCTION("""COMPUTED_VALUE"""),0.0)</f>
        <v>0</v>
      </c>
      <c r="S12" s="6">
        <f>IFERROR(__xludf.DUMMYFUNCTION("""COMPUTED_VALUE"""),0.0)</f>
        <v>0</v>
      </c>
      <c r="T12" s="6">
        <f>IFERROR(__xludf.DUMMYFUNCTION("""COMPUTED_VALUE"""),0.0)</f>
        <v>0</v>
      </c>
      <c r="U12" s="6">
        <f>IFERROR(__xludf.DUMMYFUNCTION("""COMPUTED_VALUE"""),0.0)</f>
        <v>0</v>
      </c>
      <c r="V12" s="4">
        <f t="shared" ref="V12:X12" si="11">SUM(D12, G12, J12, M12, P12, S12)</f>
        <v>2</v>
      </c>
      <c r="W12" s="4">
        <f t="shared" si="11"/>
        <v>2</v>
      </c>
      <c r="X12" s="4">
        <f t="shared" si="11"/>
        <v>2</v>
      </c>
    </row>
    <row r="13">
      <c r="A13" s="4" t="str">
        <f>IFERROR(__xludf.DUMMYFUNCTION("""COMPUTED_VALUE"""),"Школа 69")</f>
        <v>Школа 69</v>
      </c>
      <c r="B13" s="4" t="str">
        <f t="array" ref="B13">IFERROR(INDEX('Адреса школ'!F:F, MATCH(A13, 'Адреса школ'!E:E, 0)), "")</f>
        <v>55.815787, 37.398473</v>
      </c>
      <c r="C13" s="5" t="str">
        <f t="array" ref="C13">IFERROR(INDEX('Топ-400'!A:A, MATCH(A13, 'Топ-400'!E:E, 0)), "Вне рейтинга")</f>
        <v>356</v>
      </c>
      <c r="D13" s="6">
        <f>IFERROR(__xludf.DUMMYFUNCTION("""COMPUTED_VALUE"""),0.0)</f>
        <v>0</v>
      </c>
      <c r="E13" s="6">
        <f>IFERROR(__xludf.DUMMYFUNCTION("""COMPUTED_VALUE"""),0.0)</f>
        <v>0</v>
      </c>
      <c r="F13" s="6">
        <f>IFERROR(__xludf.DUMMYFUNCTION("""COMPUTED_VALUE"""),0.0)</f>
        <v>0</v>
      </c>
      <c r="G13" s="6">
        <f>IFERROR(__xludf.DUMMYFUNCTION("""COMPUTED_VALUE"""),0.0)</f>
        <v>0</v>
      </c>
      <c r="H13" s="6">
        <f>IFERROR(__xludf.DUMMYFUNCTION("""COMPUTED_VALUE"""),0.0)</f>
        <v>0</v>
      </c>
      <c r="I13" s="6">
        <f>IFERROR(__xludf.DUMMYFUNCTION("""COMPUTED_VALUE"""),0.0)</f>
        <v>0</v>
      </c>
      <c r="J13" s="6">
        <f>IFERROR(__xludf.DUMMYFUNCTION("""COMPUTED_VALUE"""),0.0)</f>
        <v>0</v>
      </c>
      <c r="K13" s="6">
        <f>IFERROR(__xludf.DUMMYFUNCTION("""COMPUTED_VALUE"""),0.0)</f>
        <v>0</v>
      </c>
      <c r="L13" s="6">
        <f>IFERROR(__xludf.DUMMYFUNCTION("""COMPUTED_VALUE"""),1.0)</f>
        <v>1</v>
      </c>
      <c r="M13" s="6">
        <f>IFERROR(__xludf.DUMMYFUNCTION("""COMPUTED_VALUE"""),1.0)</f>
        <v>1</v>
      </c>
      <c r="N13" s="6">
        <f>IFERROR(__xludf.DUMMYFUNCTION("""COMPUTED_VALUE"""),0.0)</f>
        <v>0</v>
      </c>
      <c r="O13" s="6">
        <f>IFERROR(__xludf.DUMMYFUNCTION("""COMPUTED_VALUE"""),0.0)</f>
        <v>0</v>
      </c>
      <c r="P13" s="6">
        <f>IFERROR(__xludf.DUMMYFUNCTION("""COMPUTED_VALUE"""),0.0)</f>
        <v>0</v>
      </c>
      <c r="Q13" s="6">
        <f>IFERROR(__xludf.DUMMYFUNCTION("""COMPUTED_VALUE"""),0.0)</f>
        <v>0</v>
      </c>
      <c r="R13" s="6">
        <f>IFERROR(__xludf.DUMMYFUNCTION("""COMPUTED_VALUE"""),0.0)</f>
        <v>0</v>
      </c>
      <c r="S13" s="6">
        <f>IFERROR(__xludf.DUMMYFUNCTION("""COMPUTED_VALUE"""),0.0)</f>
        <v>0</v>
      </c>
      <c r="T13" s="6">
        <f>IFERROR(__xludf.DUMMYFUNCTION("""COMPUTED_VALUE"""),0.0)</f>
        <v>0</v>
      </c>
      <c r="U13" s="6">
        <f>IFERROR(__xludf.DUMMYFUNCTION("""COMPUTED_VALUE"""),0.0)</f>
        <v>0</v>
      </c>
      <c r="V13" s="4">
        <f t="shared" ref="V13:X13" si="12">SUM(D13, G13, J13, M13, P13, S13)</f>
        <v>1</v>
      </c>
      <c r="W13" s="4">
        <f t="shared" si="12"/>
        <v>0</v>
      </c>
      <c r="X13" s="4">
        <f t="shared" si="12"/>
        <v>1</v>
      </c>
    </row>
    <row r="14">
      <c r="A14" s="4" t="str">
        <f>IFERROR(__xludf.DUMMYFUNCTION("""COMPUTED_VALUE"""),"Школа 86")</f>
        <v>Школа 86</v>
      </c>
      <c r="B14" s="4" t="str">
        <f t="array" ref="B14">IFERROR(INDEX('Адреса школ'!F:F, MATCH(A14, 'Адреса школ'!E:E, 0)), "")</f>
        <v>55.807319, 37.402749</v>
      </c>
      <c r="C14" s="5" t="str">
        <f t="array" ref="C14">IFERROR(INDEX('Топ-400'!A:A, MATCH(A14, 'Топ-400'!E:E, 0)), "Вне рейтинга")</f>
        <v>Вне рейтинга</v>
      </c>
      <c r="D14" s="6">
        <f>IFERROR(__xludf.DUMMYFUNCTION("""COMPUTED_VALUE"""),0.0)</f>
        <v>0</v>
      </c>
      <c r="E14" s="6">
        <f>IFERROR(__xludf.DUMMYFUNCTION("""COMPUTED_VALUE"""),0.0)</f>
        <v>0</v>
      </c>
      <c r="F14" s="6">
        <f>IFERROR(__xludf.DUMMYFUNCTION("""COMPUTED_VALUE"""),1.0)</f>
        <v>1</v>
      </c>
      <c r="G14" s="6">
        <f>IFERROR(__xludf.DUMMYFUNCTION("""COMPUTED_VALUE"""),0.0)</f>
        <v>0</v>
      </c>
      <c r="H14" s="6">
        <f>IFERROR(__xludf.DUMMYFUNCTION("""COMPUTED_VALUE"""),0.0)</f>
        <v>0</v>
      </c>
      <c r="I14" s="6">
        <f>IFERROR(__xludf.DUMMYFUNCTION("""COMPUTED_VALUE"""),0.0)</f>
        <v>0</v>
      </c>
      <c r="J14" s="6">
        <f>IFERROR(__xludf.DUMMYFUNCTION("""COMPUTED_VALUE"""),0.0)</f>
        <v>0</v>
      </c>
      <c r="K14" s="6">
        <f>IFERROR(__xludf.DUMMYFUNCTION("""COMPUTED_VALUE"""),0.0)</f>
        <v>0</v>
      </c>
      <c r="L14" s="6">
        <f>IFERROR(__xludf.DUMMYFUNCTION("""COMPUTED_VALUE"""),0.0)</f>
        <v>0</v>
      </c>
      <c r="M14" s="6">
        <f>IFERROR(__xludf.DUMMYFUNCTION("""COMPUTED_VALUE"""),0.0)</f>
        <v>0</v>
      </c>
      <c r="N14" s="6">
        <f>IFERROR(__xludf.DUMMYFUNCTION("""COMPUTED_VALUE"""),0.0)</f>
        <v>0</v>
      </c>
      <c r="O14" s="6">
        <f>IFERROR(__xludf.DUMMYFUNCTION("""COMPUTED_VALUE"""),0.0)</f>
        <v>0</v>
      </c>
      <c r="P14" s="6">
        <f>IFERROR(__xludf.DUMMYFUNCTION("""COMPUTED_VALUE"""),0.0)</f>
        <v>0</v>
      </c>
      <c r="Q14" s="6">
        <f>IFERROR(__xludf.DUMMYFUNCTION("""COMPUTED_VALUE"""),1.0)</f>
        <v>1</v>
      </c>
      <c r="R14" s="6">
        <f>IFERROR(__xludf.DUMMYFUNCTION("""COMPUTED_VALUE"""),1.0)</f>
        <v>1</v>
      </c>
      <c r="S14" s="6">
        <f>IFERROR(__xludf.DUMMYFUNCTION("""COMPUTED_VALUE"""),0.0)</f>
        <v>0</v>
      </c>
      <c r="T14" s="6">
        <f>IFERROR(__xludf.DUMMYFUNCTION("""COMPUTED_VALUE"""),0.0)</f>
        <v>0</v>
      </c>
      <c r="U14" s="6">
        <f>IFERROR(__xludf.DUMMYFUNCTION("""COMPUTED_VALUE"""),0.0)</f>
        <v>0</v>
      </c>
      <c r="V14" s="4">
        <f t="shared" ref="V14:X14" si="13">SUM(D14, G14, J14, M14, P14, S14)</f>
        <v>0</v>
      </c>
      <c r="W14" s="4">
        <f t="shared" si="13"/>
        <v>1</v>
      </c>
      <c r="X14" s="4">
        <f t="shared" si="13"/>
        <v>2</v>
      </c>
    </row>
    <row r="15">
      <c r="A15" s="4" t="str">
        <f>IFERROR(__xludf.DUMMYFUNCTION("""COMPUTED_VALUE"""),"Школа 97")</f>
        <v>Школа 97</v>
      </c>
      <c r="B15" s="4" t="str">
        <f t="array" ref="B15">IFERROR(INDEX('Адреса школ'!F:F, MATCH(A15, 'Адреса школ'!E:E, 0)), "")</f>
        <v>55.711909, 37.456289</v>
      </c>
      <c r="C15" s="5" t="str">
        <f t="array" ref="C15">IFERROR(INDEX('Топ-400'!A:A, MATCH(A15, 'Топ-400'!E:E, 0)), "Вне рейтинга")</f>
        <v>321</v>
      </c>
      <c r="D15" s="6">
        <f>IFERROR(__xludf.DUMMYFUNCTION("""COMPUTED_VALUE"""),0.0)</f>
        <v>0</v>
      </c>
      <c r="E15" s="6">
        <f>IFERROR(__xludf.DUMMYFUNCTION("""COMPUTED_VALUE"""),0.0)</f>
        <v>0</v>
      </c>
      <c r="F15" s="6">
        <f>IFERROR(__xludf.DUMMYFUNCTION("""COMPUTED_VALUE"""),0.0)</f>
        <v>0</v>
      </c>
      <c r="G15" s="6">
        <f>IFERROR(__xludf.DUMMYFUNCTION("""COMPUTED_VALUE"""),0.0)</f>
        <v>0</v>
      </c>
      <c r="H15" s="6">
        <f>IFERROR(__xludf.DUMMYFUNCTION("""COMPUTED_VALUE"""),0.0)</f>
        <v>0</v>
      </c>
      <c r="I15" s="6">
        <f>IFERROR(__xludf.DUMMYFUNCTION("""COMPUTED_VALUE"""),0.0)</f>
        <v>0</v>
      </c>
      <c r="J15" s="6">
        <f>IFERROR(__xludf.DUMMYFUNCTION("""COMPUTED_VALUE"""),0.0)</f>
        <v>0</v>
      </c>
      <c r="K15" s="6">
        <f>IFERROR(__xludf.DUMMYFUNCTION("""COMPUTED_VALUE"""),0.0)</f>
        <v>0</v>
      </c>
      <c r="L15" s="6">
        <f>IFERROR(__xludf.DUMMYFUNCTION("""COMPUTED_VALUE"""),1.0)</f>
        <v>1</v>
      </c>
      <c r="M15" s="6">
        <f>IFERROR(__xludf.DUMMYFUNCTION("""COMPUTED_VALUE"""),1.0)</f>
        <v>1</v>
      </c>
      <c r="N15" s="6">
        <f>IFERROR(__xludf.DUMMYFUNCTION("""COMPUTED_VALUE"""),0.0)</f>
        <v>0</v>
      </c>
      <c r="O15" s="6">
        <f>IFERROR(__xludf.DUMMYFUNCTION("""COMPUTED_VALUE"""),0.0)</f>
        <v>0</v>
      </c>
      <c r="P15" s="6">
        <f>IFERROR(__xludf.DUMMYFUNCTION("""COMPUTED_VALUE"""),0.0)</f>
        <v>0</v>
      </c>
      <c r="Q15" s="6">
        <f>IFERROR(__xludf.DUMMYFUNCTION("""COMPUTED_VALUE"""),0.0)</f>
        <v>0</v>
      </c>
      <c r="R15" s="6">
        <f>IFERROR(__xludf.DUMMYFUNCTION("""COMPUTED_VALUE"""),0.0)</f>
        <v>0</v>
      </c>
      <c r="S15" s="6">
        <f>IFERROR(__xludf.DUMMYFUNCTION("""COMPUTED_VALUE"""),0.0)</f>
        <v>0</v>
      </c>
      <c r="T15" s="6">
        <f>IFERROR(__xludf.DUMMYFUNCTION("""COMPUTED_VALUE"""),0.0)</f>
        <v>0</v>
      </c>
      <c r="U15" s="6">
        <f>IFERROR(__xludf.DUMMYFUNCTION("""COMPUTED_VALUE"""),0.0)</f>
        <v>0</v>
      </c>
      <c r="V15" s="4">
        <f t="shared" ref="V15:X15" si="14">SUM(D15, G15, J15, M15, P15, S15)</f>
        <v>1</v>
      </c>
      <c r="W15" s="4">
        <f t="shared" si="14"/>
        <v>0</v>
      </c>
      <c r="X15" s="4">
        <f t="shared" si="14"/>
        <v>1</v>
      </c>
    </row>
    <row r="16">
      <c r="A16" s="4" t="str">
        <f>IFERROR(__xludf.DUMMYFUNCTION("""COMPUTED_VALUE"""),"Школа 109")</f>
        <v>Школа 109</v>
      </c>
      <c r="B16" s="4" t="str">
        <f t="array" ref="B16">IFERROR(INDEX('Адреса школ'!F:F, MATCH(A16, 'Адреса школ'!E:E, 0)), "")</f>
        <v>55.640472, 37.47571</v>
      </c>
      <c r="C16" s="5" t="str">
        <f t="array" ref="C16">IFERROR(INDEX('Топ-400'!A:A, MATCH(A16, 'Топ-400'!E:E, 0)), "Вне рейтинга")</f>
        <v>66</v>
      </c>
      <c r="D16" s="6">
        <f>IFERROR(__xludf.DUMMYFUNCTION("""COMPUTED_VALUE"""),0.0)</f>
        <v>0</v>
      </c>
      <c r="E16" s="6">
        <f>IFERROR(__xludf.DUMMYFUNCTION("""COMPUTED_VALUE"""),0.0)</f>
        <v>0</v>
      </c>
      <c r="F16" s="6">
        <f>IFERROR(__xludf.DUMMYFUNCTION("""COMPUTED_VALUE"""),0.0)</f>
        <v>0</v>
      </c>
      <c r="G16" s="6">
        <f>IFERROR(__xludf.DUMMYFUNCTION("""COMPUTED_VALUE"""),0.0)</f>
        <v>0</v>
      </c>
      <c r="H16" s="6">
        <f>IFERROR(__xludf.DUMMYFUNCTION("""COMPUTED_VALUE"""),0.0)</f>
        <v>0</v>
      </c>
      <c r="I16" s="6">
        <f>IFERROR(__xludf.DUMMYFUNCTION("""COMPUTED_VALUE"""),0.0)</f>
        <v>0</v>
      </c>
      <c r="J16" s="6">
        <f>IFERROR(__xludf.DUMMYFUNCTION("""COMPUTED_VALUE"""),0.0)</f>
        <v>0</v>
      </c>
      <c r="K16" s="6">
        <f>IFERROR(__xludf.DUMMYFUNCTION("""COMPUTED_VALUE"""),0.0)</f>
        <v>0</v>
      </c>
      <c r="L16" s="6">
        <f>IFERROR(__xludf.DUMMYFUNCTION("""COMPUTED_VALUE"""),0.0)</f>
        <v>0</v>
      </c>
      <c r="M16" s="6">
        <f>IFERROR(__xludf.DUMMYFUNCTION("""COMPUTED_VALUE"""),0.0)</f>
        <v>0</v>
      </c>
      <c r="N16" s="6">
        <f>IFERROR(__xludf.DUMMYFUNCTION("""COMPUTED_VALUE"""),0.0)</f>
        <v>0</v>
      </c>
      <c r="O16" s="6">
        <f>IFERROR(__xludf.DUMMYFUNCTION("""COMPUTED_VALUE"""),0.0)</f>
        <v>0</v>
      </c>
      <c r="P16" s="6">
        <f>IFERROR(__xludf.DUMMYFUNCTION("""COMPUTED_VALUE"""),1.0)</f>
        <v>1</v>
      </c>
      <c r="Q16" s="6">
        <f>IFERROR(__xludf.DUMMYFUNCTION("""COMPUTED_VALUE"""),0.0)</f>
        <v>0</v>
      </c>
      <c r="R16" s="6">
        <f>IFERROR(__xludf.DUMMYFUNCTION("""COMPUTED_VALUE"""),0.0)</f>
        <v>0</v>
      </c>
      <c r="S16" s="6">
        <f>IFERROR(__xludf.DUMMYFUNCTION("""COMPUTED_VALUE"""),0.0)</f>
        <v>0</v>
      </c>
      <c r="T16" s="6">
        <f>IFERROR(__xludf.DUMMYFUNCTION("""COMPUTED_VALUE"""),0.0)</f>
        <v>0</v>
      </c>
      <c r="U16" s="6">
        <f>IFERROR(__xludf.DUMMYFUNCTION("""COMPUTED_VALUE"""),0.0)</f>
        <v>0</v>
      </c>
      <c r="V16" s="4">
        <f t="shared" ref="V16:X16" si="15">SUM(D16, G16, J16, M16, P16, S16)</f>
        <v>1</v>
      </c>
      <c r="W16" s="4">
        <f t="shared" si="15"/>
        <v>0</v>
      </c>
      <c r="X16" s="4">
        <f t="shared" si="15"/>
        <v>0</v>
      </c>
    </row>
    <row r="17">
      <c r="A17" s="4" t="str">
        <f>IFERROR(__xludf.DUMMYFUNCTION("""COMPUTED_VALUE"""),"Школа 113")</f>
        <v>Школа 113</v>
      </c>
      <c r="B17" s="4" t="str">
        <f t="array" ref="B17">IFERROR(INDEX('Адреса школ'!F:F, MATCH(A17, 'Адреса школ'!E:E, 0)), "")</f>
        <v>55.637672, 37.516683</v>
      </c>
      <c r="C17" s="5" t="str">
        <f t="array" ref="C17">IFERROR(INDEX('Топ-400'!A:A, MATCH(A17, 'Топ-400'!E:E, 0)), "Вне рейтинга")</f>
        <v>Вне рейтинга</v>
      </c>
      <c r="D17" s="6">
        <f>IFERROR(__xludf.DUMMYFUNCTION("""COMPUTED_VALUE"""),0.0)</f>
        <v>0</v>
      </c>
      <c r="E17" s="6">
        <f>IFERROR(__xludf.DUMMYFUNCTION("""COMPUTED_VALUE"""),0.0)</f>
        <v>0</v>
      </c>
      <c r="F17" s="6">
        <f>IFERROR(__xludf.DUMMYFUNCTION("""COMPUTED_VALUE"""),0.0)</f>
        <v>0</v>
      </c>
      <c r="G17" s="6">
        <f>IFERROR(__xludf.DUMMYFUNCTION("""COMPUTED_VALUE"""),0.0)</f>
        <v>0</v>
      </c>
      <c r="H17" s="6">
        <f>IFERROR(__xludf.DUMMYFUNCTION("""COMPUTED_VALUE"""),0.0)</f>
        <v>0</v>
      </c>
      <c r="I17" s="6">
        <f>IFERROR(__xludf.DUMMYFUNCTION("""COMPUTED_VALUE"""),0.0)</f>
        <v>0</v>
      </c>
      <c r="J17" s="6">
        <f>IFERROR(__xludf.DUMMYFUNCTION("""COMPUTED_VALUE"""),0.0)</f>
        <v>0</v>
      </c>
      <c r="K17" s="6">
        <f>IFERROR(__xludf.DUMMYFUNCTION("""COMPUTED_VALUE"""),0.0)</f>
        <v>0</v>
      </c>
      <c r="L17" s="6">
        <f>IFERROR(__xludf.DUMMYFUNCTION("""COMPUTED_VALUE"""),1.0)</f>
        <v>1</v>
      </c>
      <c r="M17" s="6">
        <f>IFERROR(__xludf.DUMMYFUNCTION("""COMPUTED_VALUE"""),1.0)</f>
        <v>1</v>
      </c>
      <c r="N17" s="6">
        <f>IFERROR(__xludf.DUMMYFUNCTION("""COMPUTED_VALUE"""),0.0)</f>
        <v>0</v>
      </c>
      <c r="O17" s="6">
        <f>IFERROR(__xludf.DUMMYFUNCTION("""COMPUTED_VALUE"""),1.0)</f>
        <v>1</v>
      </c>
      <c r="P17" s="6">
        <f>IFERROR(__xludf.DUMMYFUNCTION("""COMPUTED_VALUE"""),0.0)</f>
        <v>0</v>
      </c>
      <c r="Q17" s="6">
        <f>IFERROR(__xludf.DUMMYFUNCTION("""COMPUTED_VALUE"""),0.0)</f>
        <v>0</v>
      </c>
      <c r="R17" s="6">
        <f>IFERROR(__xludf.DUMMYFUNCTION("""COMPUTED_VALUE"""),0.0)</f>
        <v>0</v>
      </c>
      <c r="S17" s="6">
        <f>IFERROR(__xludf.DUMMYFUNCTION("""COMPUTED_VALUE"""),0.0)</f>
        <v>0</v>
      </c>
      <c r="T17" s="6">
        <f>IFERROR(__xludf.DUMMYFUNCTION("""COMPUTED_VALUE"""),0.0)</f>
        <v>0</v>
      </c>
      <c r="U17" s="6">
        <f>IFERROR(__xludf.DUMMYFUNCTION("""COMPUTED_VALUE"""),0.0)</f>
        <v>0</v>
      </c>
      <c r="V17" s="4">
        <f t="shared" ref="V17:X17" si="16">SUM(D17, G17, J17, M17, P17, S17)</f>
        <v>1</v>
      </c>
      <c r="W17" s="4">
        <f t="shared" si="16"/>
        <v>0</v>
      </c>
      <c r="X17" s="4">
        <f t="shared" si="16"/>
        <v>2</v>
      </c>
    </row>
    <row r="18">
      <c r="A18" s="4" t="str">
        <f>IFERROR(__xludf.DUMMYFUNCTION("""COMPUTED_VALUE"""),"Школа 117")</f>
        <v>Школа 117</v>
      </c>
      <c r="B18" s="4" t="str">
        <f t="array" ref="B18">IFERROR(INDEX('Адреса школ'!F:F, MATCH(A18, 'Адреса школ'!E:E, 0)), "")</f>
        <v>55.669194, 37.534101</v>
      </c>
      <c r="C18" s="5" t="str">
        <f t="array" ref="C18">IFERROR(INDEX('Топ-400'!A:A, MATCH(A18, 'Топ-400'!E:E, 0)), "Вне рейтинга")</f>
        <v>154</v>
      </c>
      <c r="D18" s="6">
        <f>IFERROR(__xludf.DUMMYFUNCTION("""COMPUTED_VALUE"""),0.0)</f>
        <v>0</v>
      </c>
      <c r="E18" s="6">
        <f>IFERROR(__xludf.DUMMYFUNCTION("""COMPUTED_VALUE"""),0.0)</f>
        <v>0</v>
      </c>
      <c r="F18" s="6">
        <f>IFERROR(__xludf.DUMMYFUNCTION("""COMPUTED_VALUE"""),0.0)</f>
        <v>0</v>
      </c>
      <c r="G18" s="6">
        <f>IFERROR(__xludf.DUMMYFUNCTION("""COMPUTED_VALUE"""),0.0)</f>
        <v>0</v>
      </c>
      <c r="H18" s="6">
        <f>IFERROR(__xludf.DUMMYFUNCTION("""COMPUTED_VALUE"""),0.0)</f>
        <v>0</v>
      </c>
      <c r="I18" s="6">
        <f>IFERROR(__xludf.DUMMYFUNCTION("""COMPUTED_VALUE"""),0.0)</f>
        <v>0</v>
      </c>
      <c r="J18" s="6">
        <f>IFERROR(__xludf.DUMMYFUNCTION("""COMPUTED_VALUE"""),0.0)</f>
        <v>0</v>
      </c>
      <c r="K18" s="6">
        <f>IFERROR(__xludf.DUMMYFUNCTION("""COMPUTED_VALUE"""),0.0)</f>
        <v>0</v>
      </c>
      <c r="L18" s="6">
        <f>IFERROR(__xludf.DUMMYFUNCTION("""COMPUTED_VALUE"""),0.0)</f>
        <v>0</v>
      </c>
      <c r="M18" s="6">
        <f>IFERROR(__xludf.DUMMYFUNCTION("""COMPUTED_VALUE"""),0.0)</f>
        <v>0</v>
      </c>
      <c r="N18" s="6">
        <f>IFERROR(__xludf.DUMMYFUNCTION("""COMPUTED_VALUE"""),0.0)</f>
        <v>0</v>
      </c>
      <c r="O18" s="6">
        <f>IFERROR(__xludf.DUMMYFUNCTION("""COMPUTED_VALUE"""),1.0)</f>
        <v>1</v>
      </c>
      <c r="P18" s="6">
        <f>IFERROR(__xludf.DUMMYFUNCTION("""COMPUTED_VALUE"""),1.0)</f>
        <v>1</v>
      </c>
      <c r="Q18" s="6">
        <f>IFERROR(__xludf.DUMMYFUNCTION("""COMPUTED_VALUE"""),0.0)</f>
        <v>0</v>
      </c>
      <c r="R18" s="6">
        <f>IFERROR(__xludf.DUMMYFUNCTION("""COMPUTED_VALUE"""),0.0)</f>
        <v>0</v>
      </c>
      <c r="S18" s="6">
        <f>IFERROR(__xludf.DUMMYFUNCTION("""COMPUTED_VALUE"""),0.0)</f>
        <v>0</v>
      </c>
      <c r="T18" s="6">
        <f>IFERROR(__xludf.DUMMYFUNCTION("""COMPUTED_VALUE"""),0.0)</f>
        <v>0</v>
      </c>
      <c r="U18" s="6">
        <f>IFERROR(__xludf.DUMMYFUNCTION("""COMPUTED_VALUE"""),0.0)</f>
        <v>0</v>
      </c>
      <c r="V18" s="4">
        <f t="shared" ref="V18:X18" si="17">SUM(D18, G18, J18, M18, P18, S18)</f>
        <v>1</v>
      </c>
      <c r="W18" s="4">
        <f t="shared" si="17"/>
        <v>0</v>
      </c>
      <c r="X18" s="4">
        <f t="shared" si="17"/>
        <v>1</v>
      </c>
    </row>
    <row r="19">
      <c r="A19" s="4" t="str">
        <f>IFERROR(__xludf.DUMMYFUNCTION("""COMPUTED_VALUE"""),"Школа 118")</f>
        <v>Школа 118</v>
      </c>
      <c r="B19" s="4" t="str">
        <f t="array" ref="B19">IFERROR(INDEX('Адреса школ'!F:F, MATCH(A19, 'Адреса школ'!E:E, 0)), "")</f>
        <v>55.686985, 37.529654</v>
      </c>
      <c r="C19" s="5" t="str">
        <f t="array" ref="C19">IFERROR(INDEX('Топ-400'!A:A, MATCH(A19, 'Топ-400'!E:E, 0)), "Вне рейтинга")</f>
        <v>155</v>
      </c>
      <c r="D19" s="6">
        <f>IFERROR(__xludf.DUMMYFUNCTION("""COMPUTED_VALUE"""),0.0)</f>
        <v>0</v>
      </c>
      <c r="E19" s="6">
        <f>IFERROR(__xludf.DUMMYFUNCTION("""COMPUTED_VALUE"""),0.0)</f>
        <v>0</v>
      </c>
      <c r="F19" s="6">
        <f>IFERROR(__xludf.DUMMYFUNCTION("""COMPUTED_VALUE"""),1.0)</f>
        <v>1</v>
      </c>
      <c r="G19" s="6">
        <f>IFERROR(__xludf.DUMMYFUNCTION("""COMPUTED_VALUE"""),0.0)</f>
        <v>0</v>
      </c>
      <c r="H19" s="6">
        <f>IFERROR(__xludf.DUMMYFUNCTION("""COMPUTED_VALUE"""),0.0)</f>
        <v>0</v>
      </c>
      <c r="I19" s="6">
        <f>IFERROR(__xludf.DUMMYFUNCTION("""COMPUTED_VALUE"""),0.0)</f>
        <v>0</v>
      </c>
      <c r="J19" s="6">
        <f>IFERROR(__xludf.DUMMYFUNCTION("""COMPUTED_VALUE"""),0.0)</f>
        <v>0</v>
      </c>
      <c r="K19" s="6">
        <f>IFERROR(__xludf.DUMMYFUNCTION("""COMPUTED_VALUE"""),0.0)</f>
        <v>0</v>
      </c>
      <c r="L19" s="6">
        <f>IFERROR(__xludf.DUMMYFUNCTION("""COMPUTED_VALUE"""),0.0)</f>
        <v>0</v>
      </c>
      <c r="M19" s="6">
        <f>IFERROR(__xludf.DUMMYFUNCTION("""COMPUTED_VALUE"""),0.0)</f>
        <v>0</v>
      </c>
      <c r="N19" s="6">
        <f>IFERROR(__xludf.DUMMYFUNCTION("""COMPUTED_VALUE"""),0.0)</f>
        <v>0</v>
      </c>
      <c r="O19" s="6">
        <f>IFERROR(__xludf.DUMMYFUNCTION("""COMPUTED_VALUE"""),1.0)</f>
        <v>1</v>
      </c>
      <c r="P19" s="6">
        <f>IFERROR(__xludf.DUMMYFUNCTION("""COMPUTED_VALUE"""),0.0)</f>
        <v>0</v>
      </c>
      <c r="Q19" s="6">
        <f>IFERROR(__xludf.DUMMYFUNCTION("""COMPUTED_VALUE"""),0.0)</f>
        <v>0</v>
      </c>
      <c r="R19" s="6">
        <f>IFERROR(__xludf.DUMMYFUNCTION("""COMPUTED_VALUE"""),0.0)</f>
        <v>0</v>
      </c>
      <c r="S19" s="6">
        <f>IFERROR(__xludf.DUMMYFUNCTION("""COMPUTED_VALUE"""),0.0)</f>
        <v>0</v>
      </c>
      <c r="T19" s="6">
        <f>IFERROR(__xludf.DUMMYFUNCTION("""COMPUTED_VALUE"""),0.0)</f>
        <v>0</v>
      </c>
      <c r="U19" s="6">
        <f>IFERROR(__xludf.DUMMYFUNCTION("""COMPUTED_VALUE"""),0.0)</f>
        <v>0</v>
      </c>
      <c r="V19" s="4">
        <f t="shared" ref="V19:X19" si="18">SUM(D19, G19, J19, M19, P19, S19)</f>
        <v>0</v>
      </c>
      <c r="W19" s="4">
        <f t="shared" si="18"/>
        <v>0</v>
      </c>
      <c r="X19" s="4">
        <f t="shared" si="18"/>
        <v>2</v>
      </c>
    </row>
    <row r="20">
      <c r="A20" s="4" t="str">
        <f>IFERROR(__xludf.DUMMYFUNCTION("""COMPUTED_VALUE"""),"Школа 123")</f>
        <v>Школа 123</v>
      </c>
      <c r="B20" s="4" t="str">
        <f t="array" ref="B20">IFERROR(INDEX('Адреса школ'!F:F, MATCH(A20, 'Адреса школ'!E:E, 0)), "")</f>
        <v>55.75782, 37.602023</v>
      </c>
      <c r="C20" s="5" t="str">
        <f t="array" ref="C20">IFERROR(INDEX('Топ-400'!A:A, MATCH(A20, 'Топ-400'!E:E, 0)), "Вне рейтинга")</f>
        <v>Вне рейтинга</v>
      </c>
      <c r="D20" s="6">
        <f>IFERROR(__xludf.DUMMYFUNCTION("""COMPUTED_VALUE"""),0.0)</f>
        <v>0</v>
      </c>
      <c r="E20" s="6">
        <f>IFERROR(__xludf.DUMMYFUNCTION("""COMPUTED_VALUE"""),0.0)</f>
        <v>0</v>
      </c>
      <c r="F20" s="6">
        <f>IFERROR(__xludf.DUMMYFUNCTION("""COMPUTED_VALUE"""),0.0)</f>
        <v>0</v>
      </c>
      <c r="G20" s="6">
        <f>IFERROR(__xludf.DUMMYFUNCTION("""COMPUTED_VALUE"""),0.0)</f>
        <v>0</v>
      </c>
      <c r="H20" s="6">
        <f>IFERROR(__xludf.DUMMYFUNCTION("""COMPUTED_VALUE"""),0.0)</f>
        <v>0</v>
      </c>
      <c r="I20" s="6">
        <f>IFERROR(__xludf.DUMMYFUNCTION("""COMPUTED_VALUE"""),0.0)</f>
        <v>0</v>
      </c>
      <c r="J20" s="6">
        <f>IFERROR(__xludf.DUMMYFUNCTION("""COMPUTED_VALUE"""),0.0)</f>
        <v>0</v>
      </c>
      <c r="K20" s="6">
        <f>IFERROR(__xludf.DUMMYFUNCTION("""COMPUTED_VALUE"""),0.0)</f>
        <v>0</v>
      </c>
      <c r="L20" s="6">
        <f>IFERROR(__xludf.DUMMYFUNCTION("""COMPUTED_VALUE"""),0.0)</f>
        <v>0</v>
      </c>
      <c r="M20" s="6">
        <f>IFERROR(__xludf.DUMMYFUNCTION("""COMPUTED_VALUE"""),0.0)</f>
        <v>0</v>
      </c>
      <c r="N20" s="6">
        <f>IFERROR(__xludf.DUMMYFUNCTION("""COMPUTED_VALUE"""),0.0)</f>
        <v>0</v>
      </c>
      <c r="O20" s="6">
        <f>IFERROR(__xludf.DUMMYFUNCTION("""COMPUTED_VALUE"""),0.0)</f>
        <v>0</v>
      </c>
      <c r="P20" s="6">
        <f>IFERROR(__xludf.DUMMYFUNCTION("""COMPUTED_VALUE"""),1.0)</f>
        <v>1</v>
      </c>
      <c r="Q20" s="6">
        <f>IFERROR(__xludf.DUMMYFUNCTION("""COMPUTED_VALUE"""),1.0)</f>
        <v>1</v>
      </c>
      <c r="R20" s="6">
        <f>IFERROR(__xludf.DUMMYFUNCTION("""COMPUTED_VALUE"""),1.0)</f>
        <v>1</v>
      </c>
      <c r="S20" s="6">
        <f>IFERROR(__xludf.DUMMYFUNCTION("""COMPUTED_VALUE"""),0.0)</f>
        <v>0</v>
      </c>
      <c r="T20" s="6">
        <f>IFERROR(__xludf.DUMMYFUNCTION("""COMPUTED_VALUE"""),0.0)</f>
        <v>0</v>
      </c>
      <c r="U20" s="6">
        <f>IFERROR(__xludf.DUMMYFUNCTION("""COMPUTED_VALUE"""),0.0)</f>
        <v>0</v>
      </c>
      <c r="V20" s="4">
        <f t="shared" ref="V20:X20" si="19">SUM(D20, G20, J20, M20, P20, S20)</f>
        <v>1</v>
      </c>
      <c r="W20" s="4">
        <f t="shared" si="19"/>
        <v>1</v>
      </c>
      <c r="X20" s="4">
        <f t="shared" si="19"/>
        <v>1</v>
      </c>
    </row>
    <row r="21">
      <c r="A21" s="4" t="str">
        <f>IFERROR(__xludf.DUMMYFUNCTION("""COMPUTED_VALUE"""),"Школа 138")</f>
        <v>Школа 138</v>
      </c>
      <c r="B21" s="4" t="str">
        <f t="array" ref="B21">IFERROR(INDEX('Адреса школ'!F:F, MATCH(A21, 'Адреса школ'!E:E, 0)), "")</f>
        <v>55.78119, 37.464446</v>
      </c>
      <c r="C21" s="5" t="str">
        <f t="array" ref="C21">IFERROR(INDEX('Топ-400'!A:A, MATCH(A21, 'Топ-400'!E:E, 0)), "Вне рейтинга")</f>
        <v>194</v>
      </c>
      <c r="D21" s="6">
        <f>IFERROR(__xludf.DUMMYFUNCTION("""COMPUTED_VALUE"""),1.0)</f>
        <v>1</v>
      </c>
      <c r="E21" s="6">
        <f>IFERROR(__xludf.DUMMYFUNCTION("""COMPUTED_VALUE"""),1.0)</f>
        <v>1</v>
      </c>
      <c r="F21" s="6">
        <f>IFERROR(__xludf.DUMMYFUNCTION("""COMPUTED_VALUE"""),1.0)</f>
        <v>1</v>
      </c>
      <c r="G21" s="6">
        <f>IFERROR(__xludf.DUMMYFUNCTION("""COMPUTED_VALUE"""),1.0)</f>
        <v>1</v>
      </c>
      <c r="H21" s="6">
        <f>IFERROR(__xludf.DUMMYFUNCTION("""COMPUTED_VALUE"""),1.0)</f>
        <v>1</v>
      </c>
      <c r="I21" s="6">
        <f>IFERROR(__xludf.DUMMYFUNCTION("""COMPUTED_VALUE"""),1.0)</f>
        <v>1</v>
      </c>
      <c r="J21" s="6">
        <f>IFERROR(__xludf.DUMMYFUNCTION("""COMPUTED_VALUE"""),0.0)</f>
        <v>0</v>
      </c>
      <c r="K21" s="6">
        <f>IFERROR(__xludf.DUMMYFUNCTION("""COMPUTED_VALUE"""),0.0)</f>
        <v>0</v>
      </c>
      <c r="L21" s="6">
        <f>IFERROR(__xludf.DUMMYFUNCTION("""COMPUTED_VALUE"""),0.0)</f>
        <v>0</v>
      </c>
      <c r="M21" s="6">
        <f>IFERROR(__xludf.DUMMYFUNCTION("""COMPUTED_VALUE"""),1.0)</f>
        <v>1</v>
      </c>
      <c r="N21" s="6">
        <f>IFERROR(__xludf.DUMMYFUNCTION("""COMPUTED_VALUE"""),1.0)</f>
        <v>1</v>
      </c>
      <c r="O21" s="6">
        <f>IFERROR(__xludf.DUMMYFUNCTION("""COMPUTED_VALUE"""),1.0)</f>
        <v>1</v>
      </c>
      <c r="P21" s="6">
        <f>IFERROR(__xludf.DUMMYFUNCTION("""COMPUTED_VALUE"""),1.0)</f>
        <v>1</v>
      </c>
      <c r="Q21" s="6">
        <f>IFERROR(__xludf.DUMMYFUNCTION("""COMPUTED_VALUE"""),1.0)</f>
        <v>1</v>
      </c>
      <c r="R21" s="6">
        <f>IFERROR(__xludf.DUMMYFUNCTION("""COMPUTED_VALUE"""),1.0)</f>
        <v>1</v>
      </c>
      <c r="S21" s="6">
        <f>IFERROR(__xludf.DUMMYFUNCTION("""COMPUTED_VALUE"""),0.0)</f>
        <v>0</v>
      </c>
      <c r="T21" s="6">
        <f>IFERROR(__xludf.DUMMYFUNCTION("""COMPUTED_VALUE"""),0.0)</f>
        <v>0</v>
      </c>
      <c r="U21" s="6">
        <f>IFERROR(__xludf.DUMMYFUNCTION("""COMPUTED_VALUE"""),0.0)</f>
        <v>0</v>
      </c>
      <c r="V21" s="4">
        <f t="shared" ref="V21:X21" si="20">SUM(D21, G21, J21, M21, P21, S21)</f>
        <v>4</v>
      </c>
      <c r="W21" s="4">
        <f t="shared" si="20"/>
        <v>4</v>
      </c>
      <c r="X21" s="4">
        <f t="shared" si="20"/>
        <v>4</v>
      </c>
    </row>
    <row r="22">
      <c r="A22" s="4" t="str">
        <f>IFERROR(__xludf.DUMMYFUNCTION("""COMPUTED_VALUE"""),"Школа 141")</f>
        <v>Школа 141</v>
      </c>
      <c r="B22" s="4" t="str">
        <f t="array" ref="B22">IFERROR(INDEX('Адреса школ'!F:F, MATCH(A22, 'Адреса школ'!E:E, 0)), "")</f>
        <v>55.778866, 37.514212</v>
      </c>
      <c r="C22" s="5" t="str">
        <f t="array" ref="C22">IFERROR(INDEX('Топ-400'!A:A, MATCH(A22, 'Топ-400'!E:E, 0)), "Вне рейтинга")</f>
        <v>254</v>
      </c>
      <c r="D22" s="6">
        <f>IFERROR(__xludf.DUMMYFUNCTION("""COMPUTED_VALUE"""),0.0)</f>
        <v>0</v>
      </c>
      <c r="E22" s="6">
        <f>IFERROR(__xludf.DUMMYFUNCTION("""COMPUTED_VALUE"""),0.0)</f>
        <v>0</v>
      </c>
      <c r="F22" s="6">
        <f>IFERROR(__xludf.DUMMYFUNCTION("""COMPUTED_VALUE"""),0.0)</f>
        <v>0</v>
      </c>
      <c r="G22" s="6">
        <f>IFERROR(__xludf.DUMMYFUNCTION("""COMPUTED_VALUE"""),1.0)</f>
        <v>1</v>
      </c>
      <c r="H22" s="6">
        <f>IFERROR(__xludf.DUMMYFUNCTION("""COMPUTED_VALUE"""),0.0)</f>
        <v>0</v>
      </c>
      <c r="I22" s="6">
        <f>IFERROR(__xludf.DUMMYFUNCTION("""COMPUTED_VALUE"""),0.0)</f>
        <v>0</v>
      </c>
      <c r="J22" s="6">
        <f>IFERROR(__xludf.DUMMYFUNCTION("""COMPUTED_VALUE"""),0.0)</f>
        <v>0</v>
      </c>
      <c r="K22" s="6">
        <f>IFERROR(__xludf.DUMMYFUNCTION("""COMPUTED_VALUE"""),0.0)</f>
        <v>0</v>
      </c>
      <c r="L22" s="6">
        <f>IFERROR(__xludf.DUMMYFUNCTION("""COMPUTED_VALUE"""),0.0)</f>
        <v>0</v>
      </c>
      <c r="M22" s="6">
        <f>IFERROR(__xludf.DUMMYFUNCTION("""COMPUTED_VALUE"""),1.0)</f>
        <v>1</v>
      </c>
      <c r="N22" s="6">
        <f>IFERROR(__xludf.DUMMYFUNCTION("""COMPUTED_VALUE"""),0.0)</f>
        <v>0</v>
      </c>
      <c r="O22" s="6">
        <f>IFERROR(__xludf.DUMMYFUNCTION("""COMPUTED_VALUE"""),0.0)</f>
        <v>0</v>
      </c>
      <c r="P22" s="6">
        <f>IFERROR(__xludf.DUMMYFUNCTION("""COMPUTED_VALUE"""),0.0)</f>
        <v>0</v>
      </c>
      <c r="Q22" s="6">
        <f>IFERROR(__xludf.DUMMYFUNCTION("""COMPUTED_VALUE"""),0.0)</f>
        <v>0</v>
      </c>
      <c r="R22" s="6">
        <f>IFERROR(__xludf.DUMMYFUNCTION("""COMPUTED_VALUE"""),0.0)</f>
        <v>0</v>
      </c>
      <c r="S22" s="6">
        <f>IFERROR(__xludf.DUMMYFUNCTION("""COMPUTED_VALUE"""),0.0)</f>
        <v>0</v>
      </c>
      <c r="T22" s="6">
        <f>IFERROR(__xludf.DUMMYFUNCTION("""COMPUTED_VALUE"""),0.0)</f>
        <v>0</v>
      </c>
      <c r="U22" s="6">
        <f>IFERROR(__xludf.DUMMYFUNCTION("""COMPUTED_VALUE"""),0.0)</f>
        <v>0</v>
      </c>
      <c r="V22" s="4">
        <f t="shared" ref="V22:X22" si="21">SUM(D22, G22, J22, M22, P22, S22)</f>
        <v>2</v>
      </c>
      <c r="W22" s="4">
        <f t="shared" si="21"/>
        <v>0</v>
      </c>
      <c r="X22" s="4">
        <f t="shared" si="21"/>
        <v>0</v>
      </c>
    </row>
    <row r="23">
      <c r="A23" s="4" t="str">
        <f>IFERROR(__xludf.DUMMYFUNCTION("""COMPUTED_VALUE"""),"Школа 149")</f>
        <v>Школа 149</v>
      </c>
      <c r="B23" s="4" t="str">
        <f t="array" ref="B23">IFERROR(INDEX('Адреса школ'!F:F, MATCH(A23, 'Адреса школ'!E:E, 0)), "")</f>
        <v>55.805523, 37.500612</v>
      </c>
      <c r="C23" s="5" t="str">
        <f t="array" ref="C23">IFERROR(INDEX('Топ-400'!A:A, MATCH(A23, 'Топ-400'!E:E, 0)), "Вне рейтинга")</f>
        <v>Вне рейтинга</v>
      </c>
      <c r="D23" s="6">
        <f>IFERROR(__xludf.DUMMYFUNCTION("""COMPUTED_VALUE"""),0.0)</f>
        <v>0</v>
      </c>
      <c r="E23" s="6">
        <f>IFERROR(__xludf.DUMMYFUNCTION("""COMPUTED_VALUE"""),0.0)</f>
        <v>0</v>
      </c>
      <c r="F23" s="6">
        <f>IFERROR(__xludf.DUMMYFUNCTION("""COMPUTED_VALUE"""),0.0)</f>
        <v>0</v>
      </c>
      <c r="G23" s="6">
        <f>IFERROR(__xludf.DUMMYFUNCTION("""COMPUTED_VALUE"""),0.0)</f>
        <v>0</v>
      </c>
      <c r="H23" s="6">
        <f>IFERROR(__xludf.DUMMYFUNCTION("""COMPUTED_VALUE"""),0.0)</f>
        <v>0</v>
      </c>
      <c r="I23" s="6">
        <f>IFERROR(__xludf.DUMMYFUNCTION("""COMPUTED_VALUE"""),0.0)</f>
        <v>0</v>
      </c>
      <c r="J23" s="6">
        <f>IFERROR(__xludf.DUMMYFUNCTION("""COMPUTED_VALUE"""),0.0)</f>
        <v>0</v>
      </c>
      <c r="K23" s="6">
        <f>IFERROR(__xludf.DUMMYFUNCTION("""COMPUTED_VALUE"""),0.0)</f>
        <v>0</v>
      </c>
      <c r="L23" s="6">
        <f>IFERROR(__xludf.DUMMYFUNCTION("""COMPUTED_VALUE"""),0.0)</f>
        <v>0</v>
      </c>
      <c r="M23" s="6">
        <f>IFERROR(__xludf.DUMMYFUNCTION("""COMPUTED_VALUE"""),0.0)</f>
        <v>0</v>
      </c>
      <c r="N23" s="6">
        <f>IFERROR(__xludf.DUMMYFUNCTION("""COMPUTED_VALUE"""),0.0)</f>
        <v>0</v>
      </c>
      <c r="O23" s="6">
        <f>IFERROR(__xludf.DUMMYFUNCTION("""COMPUTED_VALUE"""),0.0)</f>
        <v>0</v>
      </c>
      <c r="P23" s="6">
        <f>IFERROR(__xludf.DUMMYFUNCTION("""COMPUTED_VALUE"""),1.0)</f>
        <v>1</v>
      </c>
      <c r="Q23" s="6">
        <f>IFERROR(__xludf.DUMMYFUNCTION("""COMPUTED_VALUE"""),1.0)</f>
        <v>1</v>
      </c>
      <c r="R23" s="6">
        <f>IFERROR(__xludf.DUMMYFUNCTION("""COMPUTED_VALUE"""),0.0)</f>
        <v>0</v>
      </c>
      <c r="S23" s="6">
        <f>IFERROR(__xludf.DUMMYFUNCTION("""COMPUTED_VALUE"""),0.0)</f>
        <v>0</v>
      </c>
      <c r="T23" s="6">
        <f>IFERROR(__xludf.DUMMYFUNCTION("""COMPUTED_VALUE"""),0.0)</f>
        <v>0</v>
      </c>
      <c r="U23" s="6">
        <f>IFERROR(__xludf.DUMMYFUNCTION("""COMPUTED_VALUE"""),0.0)</f>
        <v>0</v>
      </c>
      <c r="V23" s="4">
        <f t="shared" ref="V23:X23" si="22">SUM(D23, G23, J23, M23, P23, S23)</f>
        <v>1</v>
      </c>
      <c r="W23" s="4">
        <f t="shared" si="22"/>
        <v>1</v>
      </c>
      <c r="X23" s="4">
        <f t="shared" si="22"/>
        <v>0</v>
      </c>
    </row>
    <row r="24">
      <c r="A24" s="4" t="str">
        <f>IFERROR(__xludf.DUMMYFUNCTION("""COMPUTED_VALUE"""),"Школа 152")</f>
        <v>Школа 152</v>
      </c>
      <c r="B24" s="4" t="str">
        <f t="array" ref="B24">IFERROR(INDEX('Адреса школ'!F:F, MATCH(A24, 'Адреса школ'!E:E, 0)), "")</f>
        <v>55.800898, 37.535305</v>
      </c>
      <c r="C24" s="5" t="str">
        <f t="array" ref="C24">IFERROR(INDEX('Топ-400'!A:A, MATCH(A24, 'Топ-400'!E:E, 0)), "Вне рейтинга")</f>
        <v>36</v>
      </c>
      <c r="D24" s="6">
        <f>IFERROR(__xludf.DUMMYFUNCTION("""COMPUTED_VALUE"""),1.0)</f>
        <v>1</v>
      </c>
      <c r="E24" s="6">
        <f>IFERROR(__xludf.DUMMYFUNCTION("""COMPUTED_VALUE"""),0.0)</f>
        <v>0</v>
      </c>
      <c r="F24" s="6">
        <f>IFERROR(__xludf.DUMMYFUNCTION("""COMPUTED_VALUE"""),0.0)</f>
        <v>0</v>
      </c>
      <c r="G24" s="6">
        <f>IFERROR(__xludf.DUMMYFUNCTION("""COMPUTED_VALUE"""),0.0)</f>
        <v>0</v>
      </c>
      <c r="H24" s="6">
        <f>IFERROR(__xludf.DUMMYFUNCTION("""COMPUTED_VALUE"""),0.0)</f>
        <v>0</v>
      </c>
      <c r="I24" s="6">
        <f>IFERROR(__xludf.DUMMYFUNCTION("""COMPUTED_VALUE"""),0.0)</f>
        <v>0</v>
      </c>
      <c r="J24" s="6">
        <f>IFERROR(__xludf.DUMMYFUNCTION("""COMPUTED_VALUE"""),1.0)</f>
        <v>1</v>
      </c>
      <c r="K24" s="6">
        <f>IFERROR(__xludf.DUMMYFUNCTION("""COMPUTED_VALUE"""),1.0)</f>
        <v>1</v>
      </c>
      <c r="L24" s="6">
        <f>IFERROR(__xludf.DUMMYFUNCTION("""COMPUTED_VALUE"""),1.0)</f>
        <v>1</v>
      </c>
      <c r="M24" s="6">
        <f>IFERROR(__xludf.DUMMYFUNCTION("""COMPUTED_VALUE"""),1.0)</f>
        <v>1</v>
      </c>
      <c r="N24" s="6">
        <f>IFERROR(__xludf.DUMMYFUNCTION("""COMPUTED_VALUE"""),1.0)</f>
        <v>1</v>
      </c>
      <c r="O24" s="6">
        <f>IFERROR(__xludf.DUMMYFUNCTION("""COMPUTED_VALUE"""),1.0)</f>
        <v>1</v>
      </c>
      <c r="P24" s="6">
        <f>IFERROR(__xludf.DUMMYFUNCTION("""COMPUTED_VALUE"""),1.0)</f>
        <v>1</v>
      </c>
      <c r="Q24" s="6">
        <f>IFERROR(__xludf.DUMMYFUNCTION("""COMPUTED_VALUE"""),0.0)</f>
        <v>0</v>
      </c>
      <c r="R24" s="6">
        <f>IFERROR(__xludf.DUMMYFUNCTION("""COMPUTED_VALUE"""),0.0)</f>
        <v>0</v>
      </c>
      <c r="S24" s="6">
        <f>IFERROR(__xludf.DUMMYFUNCTION("""COMPUTED_VALUE"""),0.0)</f>
        <v>0</v>
      </c>
      <c r="T24" s="6">
        <f>IFERROR(__xludf.DUMMYFUNCTION("""COMPUTED_VALUE"""),0.0)</f>
        <v>0</v>
      </c>
      <c r="U24" s="6">
        <f>IFERROR(__xludf.DUMMYFUNCTION("""COMPUTED_VALUE"""),0.0)</f>
        <v>0</v>
      </c>
      <c r="V24" s="4">
        <f t="shared" ref="V24:X24" si="23">SUM(D24, G24, J24, M24, P24, S24)</f>
        <v>4</v>
      </c>
      <c r="W24" s="4">
        <f t="shared" si="23"/>
        <v>2</v>
      </c>
      <c r="X24" s="4">
        <f t="shared" si="23"/>
        <v>2</v>
      </c>
    </row>
    <row r="25">
      <c r="A25" s="4" t="str">
        <f>IFERROR(__xludf.DUMMYFUNCTION("""COMPUTED_VALUE"""),"Школа 158")</f>
        <v>Школа 158</v>
      </c>
      <c r="B25" s="4" t="str">
        <f t="array" ref="B25">IFERROR(INDEX('Адреса школ'!F:F, MATCH(A25, 'Адреса школ'!E:E, 0)), "")</f>
        <v>55.868218, 37.468605</v>
      </c>
      <c r="C25" s="5" t="str">
        <f t="array" ref="C25">IFERROR(INDEX('Топ-400'!A:A, MATCH(A25, 'Топ-400'!E:E, 0)), "Вне рейтинга")</f>
        <v>250</v>
      </c>
      <c r="D25" s="6">
        <f>IFERROR(__xludf.DUMMYFUNCTION("""COMPUTED_VALUE"""),0.0)</f>
        <v>0</v>
      </c>
      <c r="E25" s="6">
        <f>IFERROR(__xludf.DUMMYFUNCTION("""COMPUTED_VALUE"""),0.0)</f>
        <v>0</v>
      </c>
      <c r="F25" s="6">
        <f>IFERROR(__xludf.DUMMYFUNCTION("""COMPUTED_VALUE"""),0.0)</f>
        <v>0</v>
      </c>
      <c r="G25" s="6">
        <f>IFERROR(__xludf.DUMMYFUNCTION("""COMPUTED_VALUE"""),0.0)</f>
        <v>0</v>
      </c>
      <c r="H25" s="6">
        <f>IFERROR(__xludf.DUMMYFUNCTION("""COMPUTED_VALUE"""),0.0)</f>
        <v>0</v>
      </c>
      <c r="I25" s="6">
        <f>IFERROR(__xludf.DUMMYFUNCTION("""COMPUTED_VALUE"""),0.0)</f>
        <v>0</v>
      </c>
      <c r="J25" s="6">
        <f>IFERROR(__xludf.DUMMYFUNCTION("""COMPUTED_VALUE"""),0.0)</f>
        <v>0</v>
      </c>
      <c r="K25" s="6">
        <f>IFERROR(__xludf.DUMMYFUNCTION("""COMPUTED_VALUE"""),0.0)</f>
        <v>0</v>
      </c>
      <c r="L25" s="6">
        <f>IFERROR(__xludf.DUMMYFUNCTION("""COMPUTED_VALUE"""),1.0)</f>
        <v>1</v>
      </c>
      <c r="M25" s="6">
        <f>IFERROR(__xludf.DUMMYFUNCTION("""COMPUTED_VALUE"""),0.0)</f>
        <v>0</v>
      </c>
      <c r="N25" s="6">
        <f>IFERROR(__xludf.DUMMYFUNCTION("""COMPUTED_VALUE"""),0.0)</f>
        <v>0</v>
      </c>
      <c r="O25" s="6">
        <f>IFERROR(__xludf.DUMMYFUNCTION("""COMPUTED_VALUE"""),1.0)</f>
        <v>1</v>
      </c>
      <c r="P25" s="6">
        <f>IFERROR(__xludf.DUMMYFUNCTION("""COMPUTED_VALUE"""),1.0)</f>
        <v>1</v>
      </c>
      <c r="Q25" s="6">
        <f>IFERROR(__xludf.DUMMYFUNCTION("""COMPUTED_VALUE"""),1.0)</f>
        <v>1</v>
      </c>
      <c r="R25" s="6">
        <f>IFERROR(__xludf.DUMMYFUNCTION("""COMPUTED_VALUE"""),1.0)</f>
        <v>1</v>
      </c>
      <c r="S25" s="6">
        <f>IFERROR(__xludf.DUMMYFUNCTION("""COMPUTED_VALUE"""),0.0)</f>
        <v>0</v>
      </c>
      <c r="T25" s="6">
        <f>IFERROR(__xludf.DUMMYFUNCTION("""COMPUTED_VALUE"""),0.0)</f>
        <v>0</v>
      </c>
      <c r="U25" s="6">
        <f>IFERROR(__xludf.DUMMYFUNCTION("""COMPUTED_VALUE"""),0.0)</f>
        <v>0</v>
      </c>
      <c r="V25" s="4">
        <f t="shared" ref="V25:X25" si="24">SUM(D25, G25, J25, M25, P25, S25)</f>
        <v>1</v>
      </c>
      <c r="W25" s="4">
        <f t="shared" si="24"/>
        <v>1</v>
      </c>
      <c r="X25" s="4">
        <f t="shared" si="24"/>
        <v>3</v>
      </c>
    </row>
    <row r="26">
      <c r="A26" s="4" t="str">
        <f>IFERROR(__xludf.DUMMYFUNCTION("""COMPUTED_VALUE"""),"Школа 167")</f>
        <v>Школа 167</v>
      </c>
      <c r="B26" s="4" t="str">
        <f t="array" ref="B26">IFERROR(INDEX('Адреса школ'!F:F, MATCH(A26, 'Адреса школ'!E:E, 0)), "")</f>
        <v>55.856134, 37.473303</v>
      </c>
      <c r="C26" s="5" t="str">
        <f t="array" ref="C26">IFERROR(INDEX('Топ-400'!A:A, MATCH(A26, 'Топ-400'!E:E, 0)), "Вне рейтинга")</f>
        <v>Вне рейтинга</v>
      </c>
      <c r="D26" s="6">
        <f>IFERROR(__xludf.DUMMYFUNCTION("""COMPUTED_VALUE"""),1.0)</f>
        <v>1</v>
      </c>
      <c r="E26" s="6">
        <f>IFERROR(__xludf.DUMMYFUNCTION("""COMPUTED_VALUE"""),1.0)</f>
        <v>1</v>
      </c>
      <c r="F26" s="6">
        <f>IFERROR(__xludf.DUMMYFUNCTION("""COMPUTED_VALUE"""),1.0)</f>
        <v>1</v>
      </c>
      <c r="G26" s="6">
        <f>IFERROR(__xludf.DUMMYFUNCTION("""COMPUTED_VALUE"""),0.0)</f>
        <v>0</v>
      </c>
      <c r="H26" s="6">
        <f>IFERROR(__xludf.DUMMYFUNCTION("""COMPUTED_VALUE"""),0.0)</f>
        <v>0</v>
      </c>
      <c r="I26" s="6">
        <f>IFERROR(__xludf.DUMMYFUNCTION("""COMPUTED_VALUE"""),0.0)</f>
        <v>0</v>
      </c>
      <c r="J26" s="6">
        <f>IFERROR(__xludf.DUMMYFUNCTION("""COMPUTED_VALUE"""),0.0)</f>
        <v>0</v>
      </c>
      <c r="K26" s="6">
        <f>IFERROR(__xludf.DUMMYFUNCTION("""COMPUTED_VALUE"""),0.0)</f>
        <v>0</v>
      </c>
      <c r="L26" s="6">
        <f>IFERROR(__xludf.DUMMYFUNCTION("""COMPUTED_VALUE"""),0.0)</f>
        <v>0</v>
      </c>
      <c r="M26" s="6">
        <f>IFERROR(__xludf.DUMMYFUNCTION("""COMPUTED_VALUE"""),1.0)</f>
        <v>1</v>
      </c>
      <c r="N26" s="6">
        <f>IFERROR(__xludf.DUMMYFUNCTION("""COMPUTED_VALUE"""),0.0)</f>
        <v>0</v>
      </c>
      <c r="O26" s="6">
        <f>IFERROR(__xludf.DUMMYFUNCTION("""COMPUTED_VALUE"""),0.0)</f>
        <v>0</v>
      </c>
      <c r="P26" s="6">
        <f>IFERROR(__xludf.DUMMYFUNCTION("""COMPUTED_VALUE"""),0.0)</f>
        <v>0</v>
      </c>
      <c r="Q26" s="6">
        <f>IFERROR(__xludf.DUMMYFUNCTION("""COMPUTED_VALUE"""),0.0)</f>
        <v>0</v>
      </c>
      <c r="R26" s="6">
        <f>IFERROR(__xludf.DUMMYFUNCTION("""COMPUTED_VALUE"""),0.0)</f>
        <v>0</v>
      </c>
      <c r="S26" s="6">
        <f>IFERROR(__xludf.DUMMYFUNCTION("""COMPUTED_VALUE"""),0.0)</f>
        <v>0</v>
      </c>
      <c r="T26" s="6">
        <f>IFERROR(__xludf.DUMMYFUNCTION("""COMPUTED_VALUE"""),0.0)</f>
        <v>0</v>
      </c>
      <c r="U26" s="6">
        <f>IFERROR(__xludf.DUMMYFUNCTION("""COMPUTED_VALUE"""),0.0)</f>
        <v>0</v>
      </c>
      <c r="V26" s="4">
        <f t="shared" ref="V26:X26" si="25">SUM(D26, G26, J26, M26, P26, S26)</f>
        <v>2</v>
      </c>
      <c r="W26" s="4">
        <f t="shared" si="25"/>
        <v>1</v>
      </c>
      <c r="X26" s="4">
        <f t="shared" si="25"/>
        <v>1</v>
      </c>
    </row>
    <row r="27">
      <c r="A27" s="4" t="str">
        <f>IFERROR(__xludf.DUMMYFUNCTION("""COMPUTED_VALUE"""),"Школа 171")</f>
        <v>Школа 171</v>
      </c>
      <c r="B27" s="4" t="str">
        <f t="array" ref="B27">IFERROR(INDEX('Адреса школ'!F:F, MATCH(A27, 'Адреса школ'!E:E, 0)), "")</f>
        <v>55.722238, 37.579511</v>
      </c>
      <c r="C27" s="5" t="str">
        <f t="array" ref="C27">IFERROR(INDEX('Топ-400'!A:A, MATCH(A27, 'Топ-400'!E:E, 0)), "Вне рейтинга")</f>
        <v>57</v>
      </c>
      <c r="D27" s="6">
        <f>IFERROR(__xludf.DUMMYFUNCTION("""COMPUTED_VALUE"""),1.0)</f>
        <v>1</v>
      </c>
      <c r="E27" s="6">
        <f>IFERROR(__xludf.DUMMYFUNCTION("""COMPUTED_VALUE"""),1.0)</f>
        <v>1</v>
      </c>
      <c r="F27" s="6">
        <f>IFERROR(__xludf.DUMMYFUNCTION("""COMPUTED_VALUE"""),1.0)</f>
        <v>1</v>
      </c>
      <c r="G27" s="6">
        <f>IFERROR(__xludf.DUMMYFUNCTION("""COMPUTED_VALUE"""),1.0)</f>
        <v>1</v>
      </c>
      <c r="H27" s="6">
        <f>IFERROR(__xludf.DUMMYFUNCTION("""COMPUTED_VALUE"""),0.0)</f>
        <v>0</v>
      </c>
      <c r="I27" s="6">
        <f>IFERROR(__xludf.DUMMYFUNCTION("""COMPUTED_VALUE"""),1.0)</f>
        <v>1</v>
      </c>
      <c r="J27" s="6">
        <f>IFERROR(__xludf.DUMMYFUNCTION("""COMPUTED_VALUE"""),0.0)</f>
        <v>0</v>
      </c>
      <c r="K27" s="6">
        <f>IFERROR(__xludf.DUMMYFUNCTION("""COMPUTED_VALUE"""),0.0)</f>
        <v>0</v>
      </c>
      <c r="L27" s="6">
        <f>IFERROR(__xludf.DUMMYFUNCTION("""COMPUTED_VALUE"""),0.0)</f>
        <v>0</v>
      </c>
      <c r="M27" s="6">
        <f>IFERROR(__xludf.DUMMYFUNCTION("""COMPUTED_VALUE"""),0.0)</f>
        <v>0</v>
      </c>
      <c r="N27" s="6">
        <f>IFERROR(__xludf.DUMMYFUNCTION("""COMPUTED_VALUE"""),0.0)</f>
        <v>0</v>
      </c>
      <c r="O27" s="6">
        <f>IFERROR(__xludf.DUMMYFUNCTION("""COMPUTED_VALUE"""),0.0)</f>
        <v>0</v>
      </c>
      <c r="P27" s="6">
        <f>IFERROR(__xludf.DUMMYFUNCTION("""COMPUTED_VALUE"""),0.0)</f>
        <v>0</v>
      </c>
      <c r="Q27" s="6">
        <f>IFERROR(__xludf.DUMMYFUNCTION("""COMPUTED_VALUE"""),0.0)</f>
        <v>0</v>
      </c>
      <c r="R27" s="6">
        <f>IFERROR(__xludf.DUMMYFUNCTION("""COMPUTED_VALUE"""),0.0)</f>
        <v>0</v>
      </c>
      <c r="S27" s="6">
        <f>IFERROR(__xludf.DUMMYFUNCTION("""COMPUTED_VALUE"""),0.0)</f>
        <v>0</v>
      </c>
      <c r="T27" s="6">
        <f>IFERROR(__xludf.DUMMYFUNCTION("""COMPUTED_VALUE"""),0.0)</f>
        <v>0</v>
      </c>
      <c r="U27" s="6">
        <f>IFERROR(__xludf.DUMMYFUNCTION("""COMPUTED_VALUE"""),0.0)</f>
        <v>0</v>
      </c>
      <c r="V27" s="4">
        <f t="shared" ref="V27:X27" si="26">SUM(D27, G27, J27, M27, P27, S27)</f>
        <v>2</v>
      </c>
      <c r="W27" s="4">
        <f t="shared" si="26"/>
        <v>1</v>
      </c>
      <c r="X27" s="4">
        <f t="shared" si="26"/>
        <v>2</v>
      </c>
    </row>
    <row r="28">
      <c r="A28" s="4" t="str">
        <f>IFERROR(__xludf.DUMMYFUNCTION("""COMPUTED_VALUE"""),"Школа 185")</f>
        <v>Школа 185</v>
      </c>
      <c r="B28" s="4" t="str">
        <f t="array" ref="B28">IFERROR(INDEX('Адреса школ'!F:F, MATCH(A28, 'Адреса школ'!E:E, 0)), "")</f>
        <v>55.836893, 37.535475</v>
      </c>
      <c r="C28" s="5" t="str">
        <f t="array" ref="C28">IFERROR(INDEX('Топ-400'!A:A, MATCH(A28, 'Топ-400'!E:E, 0)), "Вне рейтинга")</f>
        <v>99</v>
      </c>
      <c r="D28" s="6">
        <f>IFERROR(__xludf.DUMMYFUNCTION("""COMPUTED_VALUE"""),1.0)</f>
        <v>1</v>
      </c>
      <c r="E28" s="6">
        <f>IFERROR(__xludf.DUMMYFUNCTION("""COMPUTED_VALUE"""),1.0)</f>
        <v>1</v>
      </c>
      <c r="F28" s="6">
        <f>IFERROR(__xludf.DUMMYFUNCTION("""COMPUTED_VALUE"""),1.0)</f>
        <v>1</v>
      </c>
      <c r="G28" s="6">
        <f>IFERROR(__xludf.DUMMYFUNCTION("""COMPUTED_VALUE"""),1.0)</f>
        <v>1</v>
      </c>
      <c r="H28" s="6">
        <f>IFERROR(__xludf.DUMMYFUNCTION("""COMPUTED_VALUE"""),1.0)</f>
        <v>1</v>
      </c>
      <c r="I28" s="6">
        <f>IFERROR(__xludf.DUMMYFUNCTION("""COMPUTED_VALUE"""),1.0)</f>
        <v>1</v>
      </c>
      <c r="J28" s="6">
        <f>IFERROR(__xludf.DUMMYFUNCTION("""COMPUTED_VALUE"""),0.0)</f>
        <v>0</v>
      </c>
      <c r="K28" s="6">
        <f>IFERROR(__xludf.DUMMYFUNCTION("""COMPUTED_VALUE"""),0.0)</f>
        <v>0</v>
      </c>
      <c r="L28" s="6">
        <f>IFERROR(__xludf.DUMMYFUNCTION("""COMPUTED_VALUE"""),0.0)</f>
        <v>0</v>
      </c>
      <c r="M28" s="6">
        <f>IFERROR(__xludf.DUMMYFUNCTION("""COMPUTED_VALUE"""),1.0)</f>
        <v>1</v>
      </c>
      <c r="N28" s="6">
        <f>IFERROR(__xludf.DUMMYFUNCTION("""COMPUTED_VALUE"""),1.0)</f>
        <v>1</v>
      </c>
      <c r="O28" s="6">
        <f>IFERROR(__xludf.DUMMYFUNCTION("""COMPUTED_VALUE"""),1.0)</f>
        <v>1</v>
      </c>
      <c r="P28" s="6">
        <f>IFERROR(__xludf.DUMMYFUNCTION("""COMPUTED_VALUE"""),0.0)</f>
        <v>0</v>
      </c>
      <c r="Q28" s="6">
        <f>IFERROR(__xludf.DUMMYFUNCTION("""COMPUTED_VALUE"""),0.0)</f>
        <v>0</v>
      </c>
      <c r="R28" s="6">
        <f>IFERROR(__xludf.DUMMYFUNCTION("""COMPUTED_VALUE"""),0.0)</f>
        <v>0</v>
      </c>
      <c r="S28" s="6">
        <f>IFERROR(__xludf.DUMMYFUNCTION("""COMPUTED_VALUE"""),0.0)</f>
        <v>0</v>
      </c>
      <c r="T28" s="6">
        <f>IFERROR(__xludf.DUMMYFUNCTION("""COMPUTED_VALUE"""),0.0)</f>
        <v>0</v>
      </c>
      <c r="U28" s="6">
        <f>IFERROR(__xludf.DUMMYFUNCTION("""COMPUTED_VALUE"""),0.0)</f>
        <v>0</v>
      </c>
      <c r="V28" s="4">
        <f t="shared" ref="V28:X28" si="27">SUM(D28, G28, J28, M28, P28, S28)</f>
        <v>3</v>
      </c>
      <c r="W28" s="4">
        <f t="shared" si="27"/>
        <v>3</v>
      </c>
      <c r="X28" s="4">
        <f t="shared" si="27"/>
        <v>3</v>
      </c>
    </row>
    <row r="29">
      <c r="A29" s="4" t="str">
        <f>IFERROR(__xludf.DUMMYFUNCTION("""COMPUTED_VALUE"""),"Школа 192")</f>
        <v>Школа 192</v>
      </c>
      <c r="B29" s="4" t="str">
        <f t="array" ref="B29">IFERROR(INDEX('Адреса школ'!F:F, MATCH(A29, 'Адреса школ'!E:E, 0)), "")</f>
        <v>55.706741, 37.57484</v>
      </c>
      <c r="C29" s="5" t="str">
        <f t="array" ref="C29">IFERROR(INDEX('Топ-400'!A:A, MATCH(A29, 'Топ-400'!E:E, 0)), "Вне рейтинга")</f>
        <v>64</v>
      </c>
      <c r="D29" s="6">
        <f>IFERROR(__xludf.DUMMYFUNCTION("""COMPUTED_VALUE"""),0.0)</f>
        <v>0</v>
      </c>
      <c r="E29" s="6">
        <f>IFERROR(__xludf.DUMMYFUNCTION("""COMPUTED_VALUE"""),0.0)</f>
        <v>0</v>
      </c>
      <c r="F29" s="6">
        <f>IFERROR(__xludf.DUMMYFUNCTION("""COMPUTED_VALUE"""),0.0)</f>
        <v>0</v>
      </c>
      <c r="G29" s="6">
        <f>IFERROR(__xludf.DUMMYFUNCTION("""COMPUTED_VALUE"""),1.0)</f>
        <v>1</v>
      </c>
      <c r="H29" s="6">
        <f>IFERROR(__xludf.DUMMYFUNCTION("""COMPUTED_VALUE"""),1.0)</f>
        <v>1</v>
      </c>
      <c r="I29" s="6">
        <f>IFERROR(__xludf.DUMMYFUNCTION("""COMPUTED_VALUE"""),1.0)</f>
        <v>1</v>
      </c>
      <c r="J29" s="6">
        <f>IFERROR(__xludf.DUMMYFUNCTION("""COMPUTED_VALUE"""),0.0)</f>
        <v>0</v>
      </c>
      <c r="K29" s="6">
        <f>IFERROR(__xludf.DUMMYFUNCTION("""COMPUTED_VALUE"""),0.0)</f>
        <v>0</v>
      </c>
      <c r="L29" s="6">
        <f>IFERROR(__xludf.DUMMYFUNCTION("""COMPUTED_VALUE"""),0.0)</f>
        <v>0</v>
      </c>
      <c r="M29" s="6">
        <f>IFERROR(__xludf.DUMMYFUNCTION("""COMPUTED_VALUE"""),0.0)</f>
        <v>0</v>
      </c>
      <c r="N29" s="6">
        <f>IFERROR(__xludf.DUMMYFUNCTION("""COMPUTED_VALUE"""),0.0)</f>
        <v>0</v>
      </c>
      <c r="O29" s="6">
        <f>IFERROR(__xludf.DUMMYFUNCTION("""COMPUTED_VALUE"""),0.0)</f>
        <v>0</v>
      </c>
      <c r="P29" s="6">
        <f>IFERROR(__xludf.DUMMYFUNCTION("""COMPUTED_VALUE"""),0.0)</f>
        <v>0</v>
      </c>
      <c r="Q29" s="6">
        <f>IFERROR(__xludf.DUMMYFUNCTION("""COMPUTED_VALUE"""),0.0)</f>
        <v>0</v>
      </c>
      <c r="R29" s="6">
        <f>IFERROR(__xludf.DUMMYFUNCTION("""COMPUTED_VALUE"""),0.0)</f>
        <v>0</v>
      </c>
      <c r="S29" s="6">
        <f>IFERROR(__xludf.DUMMYFUNCTION("""COMPUTED_VALUE"""),0.0)</f>
        <v>0</v>
      </c>
      <c r="T29" s="6">
        <f>IFERROR(__xludf.DUMMYFUNCTION("""COMPUTED_VALUE"""),0.0)</f>
        <v>0</v>
      </c>
      <c r="U29" s="6">
        <f>IFERROR(__xludf.DUMMYFUNCTION("""COMPUTED_VALUE"""),0.0)</f>
        <v>0</v>
      </c>
      <c r="V29" s="4">
        <f t="shared" ref="V29:X29" si="28">SUM(D29, G29, J29, M29, P29, S29)</f>
        <v>1</v>
      </c>
      <c r="W29" s="4">
        <f t="shared" si="28"/>
        <v>1</v>
      </c>
      <c r="X29" s="4">
        <f t="shared" si="28"/>
        <v>1</v>
      </c>
    </row>
    <row r="30">
      <c r="A30" s="4" t="str">
        <f>IFERROR(__xludf.DUMMYFUNCTION("""COMPUTED_VALUE"""),"Школа 199")</f>
        <v>Школа 199</v>
      </c>
      <c r="B30" s="4" t="str">
        <f t="array" ref="B30">IFERROR(INDEX('Адреса школ'!F:F, MATCH(A30, 'Адреса школ'!E:E, 0)), "")</f>
        <v>55.690085, 37.571579</v>
      </c>
      <c r="C30" s="5" t="str">
        <f t="array" ref="C30">IFERROR(INDEX('Топ-400'!A:A, MATCH(A30, 'Топ-400'!E:E, 0)), "Вне рейтинга")</f>
        <v>150</v>
      </c>
      <c r="D30" s="6">
        <f>IFERROR(__xludf.DUMMYFUNCTION("""COMPUTED_VALUE"""),1.0)</f>
        <v>1</v>
      </c>
      <c r="E30" s="6">
        <f>IFERROR(__xludf.DUMMYFUNCTION("""COMPUTED_VALUE"""),0.0)</f>
        <v>0</v>
      </c>
      <c r="F30" s="6">
        <f>IFERROR(__xludf.DUMMYFUNCTION("""COMPUTED_VALUE"""),0.0)</f>
        <v>0</v>
      </c>
      <c r="G30" s="6">
        <f>IFERROR(__xludf.DUMMYFUNCTION("""COMPUTED_VALUE"""),1.0)</f>
        <v>1</v>
      </c>
      <c r="H30" s="6">
        <f>IFERROR(__xludf.DUMMYFUNCTION("""COMPUTED_VALUE"""),0.0)</f>
        <v>0</v>
      </c>
      <c r="I30" s="6">
        <f>IFERROR(__xludf.DUMMYFUNCTION("""COMPUTED_VALUE"""),1.0)</f>
        <v>1</v>
      </c>
      <c r="J30" s="6">
        <f>IFERROR(__xludf.DUMMYFUNCTION("""COMPUTED_VALUE"""),0.0)</f>
        <v>0</v>
      </c>
      <c r="K30" s="6">
        <f>IFERROR(__xludf.DUMMYFUNCTION("""COMPUTED_VALUE"""),0.0)</f>
        <v>0</v>
      </c>
      <c r="L30" s="6">
        <f>IFERROR(__xludf.DUMMYFUNCTION("""COMPUTED_VALUE"""),1.0)</f>
        <v>1</v>
      </c>
      <c r="M30" s="6">
        <f>IFERROR(__xludf.DUMMYFUNCTION("""COMPUTED_VALUE"""),0.0)</f>
        <v>0</v>
      </c>
      <c r="N30" s="6">
        <f>IFERROR(__xludf.DUMMYFUNCTION("""COMPUTED_VALUE"""),0.0)</f>
        <v>0</v>
      </c>
      <c r="O30" s="6">
        <f>IFERROR(__xludf.DUMMYFUNCTION("""COMPUTED_VALUE"""),0.0)</f>
        <v>0</v>
      </c>
      <c r="P30" s="6">
        <f>IFERROR(__xludf.DUMMYFUNCTION("""COMPUTED_VALUE"""),1.0)</f>
        <v>1</v>
      </c>
      <c r="Q30" s="6">
        <f>IFERROR(__xludf.DUMMYFUNCTION("""COMPUTED_VALUE"""),1.0)</f>
        <v>1</v>
      </c>
      <c r="R30" s="6">
        <f>IFERROR(__xludf.DUMMYFUNCTION("""COMPUTED_VALUE"""),1.0)</f>
        <v>1</v>
      </c>
      <c r="S30" s="6">
        <f>IFERROR(__xludf.DUMMYFUNCTION("""COMPUTED_VALUE"""),0.0)</f>
        <v>0</v>
      </c>
      <c r="T30" s="6">
        <f>IFERROR(__xludf.DUMMYFUNCTION("""COMPUTED_VALUE"""),0.0)</f>
        <v>0</v>
      </c>
      <c r="U30" s="6">
        <f>IFERROR(__xludf.DUMMYFUNCTION("""COMPUTED_VALUE"""),0.0)</f>
        <v>0</v>
      </c>
      <c r="V30" s="4">
        <f t="shared" ref="V30:X30" si="29">SUM(D30, G30, J30, M30, P30, S30)</f>
        <v>3</v>
      </c>
      <c r="W30" s="4">
        <f t="shared" si="29"/>
        <v>1</v>
      </c>
      <c r="X30" s="4">
        <f t="shared" si="29"/>
        <v>3</v>
      </c>
    </row>
    <row r="31">
      <c r="A31" s="4" t="str">
        <f>IFERROR(__xludf.DUMMYFUNCTION("""COMPUTED_VALUE"""),"Школа 201")</f>
        <v>Школа 201</v>
      </c>
      <c r="B31" s="4" t="str">
        <f t="array" ref="B31">IFERROR(INDEX('Адреса школ'!F:F, MATCH(A31, 'Адреса школ'!E:E, 0)), "")</f>
        <v>55.821512, 37.505436</v>
      </c>
      <c r="C31" s="5" t="str">
        <f t="array" ref="C31">IFERROR(INDEX('Топ-400'!A:A, MATCH(A31, 'Топ-400'!E:E, 0)), "Вне рейтинга")</f>
        <v>187</v>
      </c>
      <c r="D31" s="6">
        <f>IFERROR(__xludf.DUMMYFUNCTION("""COMPUTED_VALUE"""),0.0)</f>
        <v>0</v>
      </c>
      <c r="E31" s="6">
        <f>IFERROR(__xludf.DUMMYFUNCTION("""COMPUTED_VALUE"""),1.0)</f>
        <v>1</v>
      </c>
      <c r="F31" s="6">
        <f>IFERROR(__xludf.DUMMYFUNCTION("""COMPUTED_VALUE"""),1.0)</f>
        <v>1</v>
      </c>
      <c r="G31" s="6">
        <f>IFERROR(__xludf.DUMMYFUNCTION("""COMPUTED_VALUE"""),0.0)</f>
        <v>0</v>
      </c>
      <c r="H31" s="6">
        <f>IFERROR(__xludf.DUMMYFUNCTION("""COMPUTED_VALUE"""),1.0)</f>
        <v>1</v>
      </c>
      <c r="I31" s="6">
        <f>IFERROR(__xludf.DUMMYFUNCTION("""COMPUTED_VALUE"""),1.0)</f>
        <v>1</v>
      </c>
      <c r="J31" s="6">
        <f>IFERROR(__xludf.DUMMYFUNCTION("""COMPUTED_VALUE"""),0.0)</f>
        <v>0</v>
      </c>
      <c r="K31" s="6">
        <f>IFERROR(__xludf.DUMMYFUNCTION("""COMPUTED_VALUE"""),0.0)</f>
        <v>0</v>
      </c>
      <c r="L31" s="6">
        <f>IFERROR(__xludf.DUMMYFUNCTION("""COMPUTED_VALUE"""),1.0)</f>
        <v>1</v>
      </c>
      <c r="M31" s="6">
        <f>IFERROR(__xludf.DUMMYFUNCTION("""COMPUTED_VALUE"""),0.0)</f>
        <v>0</v>
      </c>
      <c r="N31" s="6">
        <f>IFERROR(__xludf.DUMMYFUNCTION("""COMPUTED_VALUE"""),0.0)</f>
        <v>0</v>
      </c>
      <c r="O31" s="6">
        <f>IFERROR(__xludf.DUMMYFUNCTION("""COMPUTED_VALUE"""),0.0)</f>
        <v>0</v>
      </c>
      <c r="P31" s="6">
        <f>IFERROR(__xludf.DUMMYFUNCTION("""COMPUTED_VALUE"""),0.0)</f>
        <v>0</v>
      </c>
      <c r="Q31" s="6">
        <f>IFERROR(__xludf.DUMMYFUNCTION("""COMPUTED_VALUE"""),0.0)</f>
        <v>0</v>
      </c>
      <c r="R31" s="6">
        <f>IFERROR(__xludf.DUMMYFUNCTION("""COMPUTED_VALUE"""),1.0)</f>
        <v>1</v>
      </c>
      <c r="S31" s="6">
        <f>IFERROR(__xludf.DUMMYFUNCTION("""COMPUTED_VALUE"""),0.0)</f>
        <v>0</v>
      </c>
      <c r="T31" s="6">
        <f>IFERROR(__xludf.DUMMYFUNCTION("""COMPUTED_VALUE"""),0.0)</f>
        <v>0</v>
      </c>
      <c r="U31" s="6">
        <f>IFERROR(__xludf.DUMMYFUNCTION("""COMPUTED_VALUE"""),0.0)</f>
        <v>0</v>
      </c>
      <c r="V31" s="4">
        <f t="shared" ref="V31:X31" si="30">SUM(D31, G31, J31, M31, P31, S31)</f>
        <v>0</v>
      </c>
      <c r="W31" s="4">
        <f t="shared" si="30"/>
        <v>2</v>
      </c>
      <c r="X31" s="4">
        <f t="shared" si="30"/>
        <v>4</v>
      </c>
    </row>
    <row r="32">
      <c r="A32" s="4" t="str">
        <f>IFERROR(__xludf.DUMMYFUNCTION("""COMPUTED_VALUE"""),"Школа 224")</f>
        <v>Школа 224</v>
      </c>
      <c r="B32" s="4" t="str">
        <f t="array" ref="B32">IFERROR(INDEX('Адреса школ'!F:F, MATCH(A32, 'Адреса школ'!E:E, 0)), "")</f>
        <v>55.837818, 37.484361</v>
      </c>
      <c r="C32" s="5" t="str">
        <f t="array" ref="C32">IFERROR(INDEX('Топ-400'!A:A, MATCH(A32, 'Топ-400'!E:E, 0)), "Вне рейтинга")</f>
        <v>96</v>
      </c>
      <c r="D32" s="6">
        <f>IFERROR(__xludf.DUMMYFUNCTION("""COMPUTED_VALUE"""),1.0)</f>
        <v>1</v>
      </c>
      <c r="E32" s="6">
        <f>IFERROR(__xludf.DUMMYFUNCTION("""COMPUTED_VALUE"""),1.0)</f>
        <v>1</v>
      </c>
      <c r="F32" s="6">
        <f>IFERROR(__xludf.DUMMYFUNCTION("""COMPUTED_VALUE"""),1.0)</f>
        <v>1</v>
      </c>
      <c r="G32" s="6">
        <f>IFERROR(__xludf.DUMMYFUNCTION("""COMPUTED_VALUE"""),0.0)</f>
        <v>0</v>
      </c>
      <c r="H32" s="6">
        <f>IFERROR(__xludf.DUMMYFUNCTION("""COMPUTED_VALUE"""),0.0)</f>
        <v>0</v>
      </c>
      <c r="I32" s="6">
        <f>IFERROR(__xludf.DUMMYFUNCTION("""COMPUTED_VALUE"""),0.0)</f>
        <v>0</v>
      </c>
      <c r="J32" s="6">
        <f>IFERROR(__xludf.DUMMYFUNCTION("""COMPUTED_VALUE"""),0.0)</f>
        <v>0</v>
      </c>
      <c r="K32" s="6">
        <f>IFERROR(__xludf.DUMMYFUNCTION("""COMPUTED_VALUE"""),0.0)</f>
        <v>0</v>
      </c>
      <c r="L32" s="6">
        <f>IFERROR(__xludf.DUMMYFUNCTION("""COMPUTED_VALUE"""),0.0)</f>
        <v>0</v>
      </c>
      <c r="M32" s="6">
        <f>IFERROR(__xludf.DUMMYFUNCTION("""COMPUTED_VALUE"""),1.0)</f>
        <v>1</v>
      </c>
      <c r="N32" s="6">
        <f>IFERROR(__xludf.DUMMYFUNCTION("""COMPUTED_VALUE"""),0.0)</f>
        <v>0</v>
      </c>
      <c r="O32" s="6">
        <f>IFERROR(__xludf.DUMMYFUNCTION("""COMPUTED_VALUE"""),1.0)</f>
        <v>1</v>
      </c>
      <c r="P32" s="6">
        <f>IFERROR(__xludf.DUMMYFUNCTION("""COMPUTED_VALUE"""),0.0)</f>
        <v>0</v>
      </c>
      <c r="Q32" s="6">
        <f>IFERROR(__xludf.DUMMYFUNCTION("""COMPUTED_VALUE"""),0.0)</f>
        <v>0</v>
      </c>
      <c r="R32" s="6">
        <f>IFERROR(__xludf.DUMMYFUNCTION("""COMPUTED_VALUE"""),0.0)</f>
        <v>0</v>
      </c>
      <c r="S32" s="6">
        <f>IFERROR(__xludf.DUMMYFUNCTION("""COMPUTED_VALUE"""),0.0)</f>
        <v>0</v>
      </c>
      <c r="T32" s="6">
        <f>IFERROR(__xludf.DUMMYFUNCTION("""COMPUTED_VALUE"""),0.0)</f>
        <v>0</v>
      </c>
      <c r="U32" s="6">
        <f>IFERROR(__xludf.DUMMYFUNCTION("""COMPUTED_VALUE"""),0.0)</f>
        <v>0</v>
      </c>
      <c r="V32" s="4">
        <f t="shared" ref="V32:X32" si="31">SUM(D32, G32, J32, M32, P32, S32)</f>
        <v>2</v>
      </c>
      <c r="W32" s="4">
        <f t="shared" si="31"/>
        <v>1</v>
      </c>
      <c r="X32" s="4">
        <f t="shared" si="31"/>
        <v>2</v>
      </c>
    </row>
    <row r="33">
      <c r="A33" s="4" t="str">
        <f>IFERROR(__xludf.DUMMYFUNCTION("""COMPUTED_VALUE"""),"Школа 236")</f>
        <v>Школа 236</v>
      </c>
      <c r="B33" s="4" t="str">
        <f t="array" ref="B33">IFERROR(INDEX('Адреса школ'!F:F, MATCH(A33, 'Адреса школ'!E:E, 0)), "")</f>
        <v>55.884247, 37.522935</v>
      </c>
      <c r="C33" s="5" t="str">
        <f t="array" ref="C33">IFERROR(INDEX('Топ-400'!A:A, MATCH(A33, 'Топ-400'!E:E, 0)), "Вне рейтинга")</f>
        <v>334</v>
      </c>
      <c r="D33" s="6">
        <f>IFERROR(__xludf.DUMMYFUNCTION("""COMPUTED_VALUE"""),1.0)</f>
        <v>1</v>
      </c>
      <c r="E33" s="6">
        <f>IFERROR(__xludf.DUMMYFUNCTION("""COMPUTED_VALUE"""),0.0)</f>
        <v>0</v>
      </c>
      <c r="F33" s="6">
        <f>IFERROR(__xludf.DUMMYFUNCTION("""COMPUTED_VALUE"""),0.0)</f>
        <v>0</v>
      </c>
      <c r="G33" s="6">
        <f>IFERROR(__xludf.DUMMYFUNCTION("""COMPUTED_VALUE"""),0.0)</f>
        <v>0</v>
      </c>
      <c r="H33" s="6">
        <f>IFERROR(__xludf.DUMMYFUNCTION("""COMPUTED_VALUE"""),0.0)</f>
        <v>0</v>
      </c>
      <c r="I33" s="6">
        <f>IFERROR(__xludf.DUMMYFUNCTION("""COMPUTED_VALUE"""),0.0)</f>
        <v>0</v>
      </c>
      <c r="J33" s="6">
        <f>IFERROR(__xludf.DUMMYFUNCTION("""COMPUTED_VALUE"""),1.0)</f>
        <v>1</v>
      </c>
      <c r="K33" s="6">
        <f>IFERROR(__xludf.DUMMYFUNCTION("""COMPUTED_VALUE"""),1.0)</f>
        <v>1</v>
      </c>
      <c r="L33" s="6">
        <f>IFERROR(__xludf.DUMMYFUNCTION("""COMPUTED_VALUE"""),1.0)</f>
        <v>1</v>
      </c>
      <c r="M33" s="6">
        <f>IFERROR(__xludf.DUMMYFUNCTION("""COMPUTED_VALUE"""),1.0)</f>
        <v>1</v>
      </c>
      <c r="N33" s="6">
        <f>IFERROR(__xludf.DUMMYFUNCTION("""COMPUTED_VALUE"""),0.0)</f>
        <v>0</v>
      </c>
      <c r="O33" s="6">
        <f>IFERROR(__xludf.DUMMYFUNCTION("""COMPUTED_VALUE"""),0.0)</f>
        <v>0</v>
      </c>
      <c r="P33" s="6">
        <f>IFERROR(__xludf.DUMMYFUNCTION("""COMPUTED_VALUE"""),0.0)</f>
        <v>0</v>
      </c>
      <c r="Q33" s="6">
        <f>IFERROR(__xludf.DUMMYFUNCTION("""COMPUTED_VALUE"""),0.0)</f>
        <v>0</v>
      </c>
      <c r="R33" s="6">
        <f>IFERROR(__xludf.DUMMYFUNCTION("""COMPUTED_VALUE"""),0.0)</f>
        <v>0</v>
      </c>
      <c r="S33" s="6">
        <f>IFERROR(__xludf.DUMMYFUNCTION("""COMPUTED_VALUE"""),0.0)</f>
        <v>0</v>
      </c>
      <c r="T33" s="6">
        <f>IFERROR(__xludf.DUMMYFUNCTION("""COMPUTED_VALUE"""),0.0)</f>
        <v>0</v>
      </c>
      <c r="U33" s="6">
        <f>IFERROR(__xludf.DUMMYFUNCTION("""COMPUTED_VALUE"""),0.0)</f>
        <v>0</v>
      </c>
      <c r="V33" s="4">
        <f t="shared" ref="V33:X33" si="32">SUM(D33, G33, J33, M33, P33, S33)</f>
        <v>3</v>
      </c>
      <c r="W33" s="4">
        <f t="shared" si="32"/>
        <v>1</v>
      </c>
      <c r="X33" s="4">
        <f t="shared" si="32"/>
        <v>1</v>
      </c>
    </row>
    <row r="34">
      <c r="A34" s="4" t="str">
        <f>IFERROR(__xludf.DUMMYFUNCTION("""COMPUTED_VALUE"""),"Школа 281")</f>
        <v>Школа 281</v>
      </c>
      <c r="B34" s="4" t="str">
        <f t="array" ref="B34">IFERROR(INDEX('Адреса школ'!F:F, MATCH(A34, 'Адреса школ'!E:E, 0)), "")</f>
        <v>55.859256, 37.668363</v>
      </c>
      <c r="C34" s="5" t="str">
        <f t="array" ref="C34">IFERROR(INDEX('Топ-400'!A:A, MATCH(A34, 'Топ-400'!E:E, 0)), "Вне рейтинга")</f>
        <v>342</v>
      </c>
      <c r="D34" s="6">
        <f>IFERROR(__xludf.DUMMYFUNCTION("""COMPUTED_VALUE"""),0.0)</f>
        <v>0</v>
      </c>
      <c r="E34" s="6">
        <f>IFERROR(__xludf.DUMMYFUNCTION("""COMPUTED_VALUE"""),0.0)</f>
        <v>0</v>
      </c>
      <c r="F34" s="6">
        <f>IFERROR(__xludf.DUMMYFUNCTION("""COMPUTED_VALUE"""),0.0)</f>
        <v>0</v>
      </c>
      <c r="G34" s="6">
        <f>IFERROR(__xludf.DUMMYFUNCTION("""COMPUTED_VALUE"""),0.0)</f>
        <v>0</v>
      </c>
      <c r="H34" s="6">
        <f>IFERROR(__xludf.DUMMYFUNCTION("""COMPUTED_VALUE"""),0.0)</f>
        <v>0</v>
      </c>
      <c r="I34" s="6">
        <f>IFERROR(__xludf.DUMMYFUNCTION("""COMPUTED_VALUE"""),0.0)</f>
        <v>0</v>
      </c>
      <c r="J34" s="6">
        <f>IFERROR(__xludf.DUMMYFUNCTION("""COMPUTED_VALUE"""),0.0)</f>
        <v>0</v>
      </c>
      <c r="K34" s="6">
        <f>IFERROR(__xludf.DUMMYFUNCTION("""COMPUTED_VALUE"""),0.0)</f>
        <v>0</v>
      </c>
      <c r="L34" s="6">
        <f>IFERROR(__xludf.DUMMYFUNCTION("""COMPUTED_VALUE"""),1.0)</f>
        <v>1</v>
      </c>
      <c r="M34" s="6">
        <f>IFERROR(__xludf.DUMMYFUNCTION("""COMPUTED_VALUE"""),0.0)</f>
        <v>0</v>
      </c>
      <c r="N34" s="6">
        <f>IFERROR(__xludf.DUMMYFUNCTION("""COMPUTED_VALUE"""),0.0)</f>
        <v>0</v>
      </c>
      <c r="O34" s="6">
        <f>IFERROR(__xludf.DUMMYFUNCTION("""COMPUTED_VALUE"""),0.0)</f>
        <v>0</v>
      </c>
      <c r="P34" s="6">
        <f>IFERROR(__xludf.DUMMYFUNCTION("""COMPUTED_VALUE"""),0.0)</f>
        <v>0</v>
      </c>
      <c r="Q34" s="6">
        <f>IFERROR(__xludf.DUMMYFUNCTION("""COMPUTED_VALUE"""),0.0)</f>
        <v>0</v>
      </c>
      <c r="R34" s="6">
        <f>IFERROR(__xludf.DUMMYFUNCTION("""COMPUTED_VALUE"""),0.0)</f>
        <v>0</v>
      </c>
      <c r="S34" s="6">
        <f>IFERROR(__xludf.DUMMYFUNCTION("""COMPUTED_VALUE"""),0.0)</f>
        <v>0</v>
      </c>
      <c r="T34" s="6">
        <f>IFERROR(__xludf.DUMMYFUNCTION("""COMPUTED_VALUE"""),0.0)</f>
        <v>0</v>
      </c>
      <c r="U34" s="6">
        <f>IFERROR(__xludf.DUMMYFUNCTION("""COMPUTED_VALUE"""),0.0)</f>
        <v>0</v>
      </c>
      <c r="V34" s="4">
        <f t="shared" ref="V34:X34" si="33">SUM(D34, G34, J34, M34, P34, S34)</f>
        <v>0</v>
      </c>
      <c r="W34" s="4">
        <f t="shared" si="33"/>
        <v>0</v>
      </c>
      <c r="X34" s="4">
        <f t="shared" si="33"/>
        <v>1</v>
      </c>
    </row>
    <row r="35">
      <c r="A35" s="4" t="str">
        <f>IFERROR(__xludf.DUMMYFUNCTION("""COMPUTED_VALUE"""),"Школа 283")</f>
        <v>Школа 283</v>
      </c>
      <c r="B35" s="4" t="str">
        <f t="array" ref="B35">IFERROR(INDEX('Адреса школ'!F:F, MATCH(A35, 'Адреса школ'!E:E, 0)), "")</f>
        <v>55.889285, 37.670932</v>
      </c>
      <c r="C35" s="5" t="str">
        <f t="array" ref="C35">IFERROR(INDEX('Топ-400'!A:A, MATCH(A35, 'Топ-400'!E:E, 0)), "Вне рейтинга")</f>
        <v>263</v>
      </c>
      <c r="D35" s="6">
        <f>IFERROR(__xludf.DUMMYFUNCTION("""COMPUTED_VALUE"""),1.0)</f>
        <v>1</v>
      </c>
      <c r="E35" s="6">
        <f>IFERROR(__xludf.DUMMYFUNCTION("""COMPUTED_VALUE"""),1.0)</f>
        <v>1</v>
      </c>
      <c r="F35" s="6">
        <f>IFERROR(__xludf.DUMMYFUNCTION("""COMPUTED_VALUE"""),1.0)</f>
        <v>1</v>
      </c>
      <c r="G35" s="6">
        <f>IFERROR(__xludf.DUMMYFUNCTION("""COMPUTED_VALUE"""),1.0)</f>
        <v>1</v>
      </c>
      <c r="H35" s="6">
        <f>IFERROR(__xludf.DUMMYFUNCTION("""COMPUTED_VALUE"""),0.0)</f>
        <v>0</v>
      </c>
      <c r="I35" s="6">
        <f>IFERROR(__xludf.DUMMYFUNCTION("""COMPUTED_VALUE"""),0.0)</f>
        <v>0</v>
      </c>
      <c r="J35" s="6">
        <f>IFERROR(__xludf.DUMMYFUNCTION("""COMPUTED_VALUE"""),0.0)</f>
        <v>0</v>
      </c>
      <c r="K35" s="6">
        <f>IFERROR(__xludf.DUMMYFUNCTION("""COMPUTED_VALUE"""),0.0)</f>
        <v>0</v>
      </c>
      <c r="L35" s="6">
        <f>IFERROR(__xludf.DUMMYFUNCTION("""COMPUTED_VALUE"""),0.0)</f>
        <v>0</v>
      </c>
      <c r="M35" s="6">
        <f>IFERROR(__xludf.DUMMYFUNCTION("""COMPUTED_VALUE"""),0.0)</f>
        <v>0</v>
      </c>
      <c r="N35" s="6">
        <f>IFERROR(__xludf.DUMMYFUNCTION("""COMPUTED_VALUE"""),0.0)</f>
        <v>0</v>
      </c>
      <c r="O35" s="6">
        <f>IFERROR(__xludf.DUMMYFUNCTION("""COMPUTED_VALUE"""),1.0)</f>
        <v>1</v>
      </c>
      <c r="P35" s="6">
        <f>IFERROR(__xludf.DUMMYFUNCTION("""COMPUTED_VALUE"""),1.0)</f>
        <v>1</v>
      </c>
      <c r="Q35" s="6">
        <f>IFERROR(__xludf.DUMMYFUNCTION("""COMPUTED_VALUE"""),1.0)</f>
        <v>1</v>
      </c>
      <c r="R35" s="6">
        <f>IFERROR(__xludf.DUMMYFUNCTION("""COMPUTED_VALUE"""),0.0)</f>
        <v>0</v>
      </c>
      <c r="S35" s="6">
        <f>IFERROR(__xludf.DUMMYFUNCTION("""COMPUTED_VALUE"""),0.0)</f>
        <v>0</v>
      </c>
      <c r="T35" s="6">
        <f>IFERROR(__xludf.DUMMYFUNCTION("""COMPUTED_VALUE"""),0.0)</f>
        <v>0</v>
      </c>
      <c r="U35" s="6">
        <f>IFERROR(__xludf.DUMMYFUNCTION("""COMPUTED_VALUE"""),0.0)</f>
        <v>0</v>
      </c>
      <c r="V35" s="4">
        <f t="shared" ref="V35:X35" si="34">SUM(D35, G35, J35, M35, P35, S35)</f>
        <v>3</v>
      </c>
      <c r="W35" s="4">
        <f t="shared" si="34"/>
        <v>2</v>
      </c>
      <c r="X35" s="4">
        <f t="shared" si="34"/>
        <v>2</v>
      </c>
    </row>
    <row r="36">
      <c r="A36" s="4" t="str">
        <f>IFERROR(__xludf.DUMMYFUNCTION("""COMPUTED_VALUE"""),"Школа 285")</f>
        <v>Школа 285</v>
      </c>
      <c r="B36" s="4" t="str">
        <f t="array" ref="B36">IFERROR(INDEX('Адреса школ'!F:F, MATCH(A36, 'Адреса школ'!E:E, 0)), "")</f>
        <v>55.876056, 37.624337</v>
      </c>
      <c r="C36" s="5" t="str">
        <f t="array" ref="C36">IFERROR(INDEX('Топ-400'!A:A, MATCH(A36, 'Топ-400'!E:E, 0)), "Вне рейтинга")</f>
        <v>350</v>
      </c>
      <c r="D36" s="6">
        <f>IFERROR(__xludf.DUMMYFUNCTION("""COMPUTED_VALUE"""),1.0)</f>
        <v>1</v>
      </c>
      <c r="E36" s="6">
        <f>IFERROR(__xludf.DUMMYFUNCTION("""COMPUTED_VALUE"""),0.0)</f>
        <v>0</v>
      </c>
      <c r="F36" s="6">
        <f>IFERROR(__xludf.DUMMYFUNCTION("""COMPUTED_VALUE"""),0.0)</f>
        <v>0</v>
      </c>
      <c r="G36" s="6">
        <f>IFERROR(__xludf.DUMMYFUNCTION("""COMPUTED_VALUE"""),0.0)</f>
        <v>0</v>
      </c>
      <c r="H36" s="6">
        <f>IFERROR(__xludf.DUMMYFUNCTION("""COMPUTED_VALUE"""),0.0)</f>
        <v>0</v>
      </c>
      <c r="I36" s="6">
        <f>IFERROR(__xludf.DUMMYFUNCTION("""COMPUTED_VALUE"""),0.0)</f>
        <v>0</v>
      </c>
      <c r="J36" s="6">
        <f>IFERROR(__xludf.DUMMYFUNCTION("""COMPUTED_VALUE"""),1.0)</f>
        <v>1</v>
      </c>
      <c r="K36" s="6">
        <f>IFERROR(__xludf.DUMMYFUNCTION("""COMPUTED_VALUE"""),0.0)</f>
        <v>0</v>
      </c>
      <c r="L36" s="6">
        <f>IFERROR(__xludf.DUMMYFUNCTION("""COMPUTED_VALUE"""),1.0)</f>
        <v>1</v>
      </c>
      <c r="M36" s="6">
        <f>IFERROR(__xludf.DUMMYFUNCTION("""COMPUTED_VALUE"""),1.0)</f>
        <v>1</v>
      </c>
      <c r="N36" s="6">
        <f>IFERROR(__xludf.DUMMYFUNCTION("""COMPUTED_VALUE"""),0.0)</f>
        <v>0</v>
      </c>
      <c r="O36" s="6">
        <f>IFERROR(__xludf.DUMMYFUNCTION("""COMPUTED_VALUE"""),0.0)</f>
        <v>0</v>
      </c>
      <c r="P36" s="6">
        <f>IFERROR(__xludf.DUMMYFUNCTION("""COMPUTED_VALUE"""),1.0)</f>
        <v>1</v>
      </c>
      <c r="Q36" s="6">
        <f>IFERROR(__xludf.DUMMYFUNCTION("""COMPUTED_VALUE"""),1.0)</f>
        <v>1</v>
      </c>
      <c r="R36" s="6">
        <f>IFERROR(__xludf.DUMMYFUNCTION("""COMPUTED_VALUE"""),0.0)</f>
        <v>0</v>
      </c>
      <c r="S36" s="6">
        <f>IFERROR(__xludf.DUMMYFUNCTION("""COMPUTED_VALUE"""),0.0)</f>
        <v>0</v>
      </c>
      <c r="T36" s="6">
        <f>IFERROR(__xludf.DUMMYFUNCTION("""COMPUTED_VALUE"""),0.0)</f>
        <v>0</v>
      </c>
      <c r="U36" s="6">
        <f>IFERROR(__xludf.DUMMYFUNCTION("""COMPUTED_VALUE"""),0.0)</f>
        <v>0</v>
      </c>
      <c r="V36" s="4">
        <f t="shared" ref="V36:X36" si="35">SUM(D36, G36, J36, M36, P36, S36)</f>
        <v>4</v>
      </c>
      <c r="W36" s="4">
        <f t="shared" si="35"/>
        <v>1</v>
      </c>
      <c r="X36" s="4">
        <f t="shared" si="35"/>
        <v>1</v>
      </c>
    </row>
    <row r="37">
      <c r="A37" s="4" t="str">
        <f>IFERROR(__xludf.DUMMYFUNCTION("""COMPUTED_VALUE"""),"Школа 319")</f>
        <v>Школа 319</v>
      </c>
      <c r="B37" s="4" t="str">
        <f t="array" ref="B37">IFERROR(INDEX('Адреса школ'!F:F, MATCH(A37, 'Адреса школ'!E:E, 0)), "")</f>
        <v>55.80654, 37.759794</v>
      </c>
      <c r="C37" s="5" t="str">
        <f t="array" ref="C37">IFERROR(INDEX('Топ-400'!A:A, MATCH(A37, 'Топ-400'!E:E, 0)), "Вне рейтинга")</f>
        <v>Вне рейтинга</v>
      </c>
      <c r="D37" s="6">
        <f>IFERROR(__xludf.DUMMYFUNCTION("""COMPUTED_VALUE"""),1.0)</f>
        <v>1</v>
      </c>
      <c r="E37" s="6">
        <f>IFERROR(__xludf.DUMMYFUNCTION("""COMPUTED_VALUE"""),0.0)</f>
        <v>0</v>
      </c>
      <c r="F37" s="6">
        <f>IFERROR(__xludf.DUMMYFUNCTION("""COMPUTED_VALUE"""),0.0)</f>
        <v>0</v>
      </c>
      <c r="G37" s="6">
        <f>IFERROR(__xludf.DUMMYFUNCTION("""COMPUTED_VALUE"""),0.0)</f>
        <v>0</v>
      </c>
      <c r="H37" s="6">
        <f>IFERROR(__xludf.DUMMYFUNCTION("""COMPUTED_VALUE"""),0.0)</f>
        <v>0</v>
      </c>
      <c r="I37" s="6">
        <f>IFERROR(__xludf.DUMMYFUNCTION("""COMPUTED_VALUE"""),0.0)</f>
        <v>0</v>
      </c>
      <c r="J37" s="6">
        <f>IFERROR(__xludf.DUMMYFUNCTION("""COMPUTED_VALUE"""),0.0)</f>
        <v>0</v>
      </c>
      <c r="K37" s="6">
        <f>IFERROR(__xludf.DUMMYFUNCTION("""COMPUTED_VALUE"""),0.0)</f>
        <v>0</v>
      </c>
      <c r="L37" s="6">
        <f>IFERROR(__xludf.DUMMYFUNCTION("""COMPUTED_VALUE"""),0.0)</f>
        <v>0</v>
      </c>
      <c r="M37" s="6">
        <f>IFERROR(__xludf.DUMMYFUNCTION("""COMPUTED_VALUE"""),0.0)</f>
        <v>0</v>
      </c>
      <c r="N37" s="6">
        <f>IFERROR(__xludf.DUMMYFUNCTION("""COMPUTED_VALUE"""),0.0)</f>
        <v>0</v>
      </c>
      <c r="O37" s="6">
        <f>IFERROR(__xludf.DUMMYFUNCTION("""COMPUTED_VALUE"""),0.0)</f>
        <v>0</v>
      </c>
      <c r="P37" s="6">
        <f>IFERROR(__xludf.DUMMYFUNCTION("""COMPUTED_VALUE"""),0.0)</f>
        <v>0</v>
      </c>
      <c r="Q37" s="6">
        <f>IFERROR(__xludf.DUMMYFUNCTION("""COMPUTED_VALUE"""),0.0)</f>
        <v>0</v>
      </c>
      <c r="R37" s="6">
        <f>IFERROR(__xludf.DUMMYFUNCTION("""COMPUTED_VALUE"""),0.0)</f>
        <v>0</v>
      </c>
      <c r="S37" s="6">
        <f>IFERROR(__xludf.DUMMYFUNCTION("""COMPUTED_VALUE"""),0.0)</f>
        <v>0</v>
      </c>
      <c r="T37" s="6">
        <f>IFERROR(__xludf.DUMMYFUNCTION("""COMPUTED_VALUE"""),0.0)</f>
        <v>0</v>
      </c>
      <c r="U37" s="6">
        <f>IFERROR(__xludf.DUMMYFUNCTION("""COMPUTED_VALUE"""),0.0)</f>
        <v>0</v>
      </c>
      <c r="V37" s="4">
        <f t="shared" ref="V37:X37" si="36">SUM(D37, G37, J37, M37, P37, S37)</f>
        <v>1</v>
      </c>
      <c r="W37" s="4">
        <f t="shared" si="36"/>
        <v>0</v>
      </c>
      <c r="X37" s="4">
        <f t="shared" si="36"/>
        <v>0</v>
      </c>
    </row>
    <row r="38">
      <c r="A38" s="4" t="str">
        <f>IFERROR(__xludf.DUMMYFUNCTION("""COMPUTED_VALUE"""),"Школа 324")</f>
        <v>Школа 324</v>
      </c>
      <c r="B38" s="4" t="str">
        <f t="array" ref="B38">IFERROR(INDEX('Адреса школ'!F:F, MATCH(A38, 'Адреса школ'!E:E, 0)), "")</f>
        <v>55.672757, 37.492814</v>
      </c>
      <c r="C38" s="5" t="str">
        <f t="array" ref="C38">IFERROR(INDEX('Топ-400'!A:A, MATCH(A38, 'Топ-400'!E:E, 0)), "Вне рейтинга")</f>
        <v>Вне рейтинга</v>
      </c>
      <c r="D38" s="6">
        <f>IFERROR(__xludf.DUMMYFUNCTION("""COMPUTED_VALUE"""),0.0)</f>
        <v>0</v>
      </c>
      <c r="E38" s="6">
        <f>IFERROR(__xludf.DUMMYFUNCTION("""COMPUTED_VALUE"""),0.0)</f>
        <v>0</v>
      </c>
      <c r="F38" s="6">
        <f>IFERROR(__xludf.DUMMYFUNCTION("""COMPUTED_VALUE"""),0.0)</f>
        <v>0</v>
      </c>
      <c r="G38" s="6">
        <f>IFERROR(__xludf.DUMMYFUNCTION("""COMPUTED_VALUE"""),0.0)</f>
        <v>0</v>
      </c>
      <c r="H38" s="6">
        <f>IFERROR(__xludf.DUMMYFUNCTION("""COMPUTED_VALUE"""),0.0)</f>
        <v>0</v>
      </c>
      <c r="I38" s="6">
        <f>IFERROR(__xludf.DUMMYFUNCTION("""COMPUTED_VALUE"""),0.0)</f>
        <v>0</v>
      </c>
      <c r="J38" s="6">
        <f>IFERROR(__xludf.DUMMYFUNCTION("""COMPUTED_VALUE"""),0.0)</f>
        <v>0</v>
      </c>
      <c r="K38" s="6">
        <f>IFERROR(__xludf.DUMMYFUNCTION("""COMPUTED_VALUE"""),0.0)</f>
        <v>0</v>
      </c>
      <c r="L38" s="6">
        <f>IFERROR(__xludf.DUMMYFUNCTION("""COMPUTED_VALUE"""),0.0)</f>
        <v>0</v>
      </c>
      <c r="M38" s="6">
        <f>IFERROR(__xludf.DUMMYFUNCTION("""COMPUTED_VALUE"""),0.0)</f>
        <v>0</v>
      </c>
      <c r="N38" s="6">
        <f>IFERROR(__xludf.DUMMYFUNCTION("""COMPUTED_VALUE"""),0.0)</f>
        <v>0</v>
      </c>
      <c r="O38" s="6">
        <f>IFERROR(__xludf.DUMMYFUNCTION("""COMPUTED_VALUE"""),0.0)</f>
        <v>0</v>
      </c>
      <c r="P38" s="6">
        <f>IFERROR(__xludf.DUMMYFUNCTION("""COMPUTED_VALUE"""),0.0)</f>
        <v>0</v>
      </c>
      <c r="Q38" s="6">
        <f>IFERROR(__xludf.DUMMYFUNCTION("""COMPUTED_VALUE"""),1.0)</f>
        <v>1</v>
      </c>
      <c r="R38" s="6">
        <f>IFERROR(__xludf.DUMMYFUNCTION("""COMPUTED_VALUE"""),1.0)</f>
        <v>1</v>
      </c>
      <c r="S38" s="6">
        <f>IFERROR(__xludf.DUMMYFUNCTION("""COMPUTED_VALUE"""),0.0)</f>
        <v>0</v>
      </c>
      <c r="T38" s="6">
        <f>IFERROR(__xludf.DUMMYFUNCTION("""COMPUTED_VALUE"""),0.0)</f>
        <v>0</v>
      </c>
      <c r="U38" s="6">
        <f>IFERROR(__xludf.DUMMYFUNCTION("""COMPUTED_VALUE"""),0.0)</f>
        <v>0</v>
      </c>
      <c r="V38" s="4">
        <f t="shared" ref="V38:X38" si="37">SUM(D38, G38, J38, M38, P38, S38)</f>
        <v>0</v>
      </c>
      <c r="W38" s="4">
        <f t="shared" si="37"/>
        <v>1</v>
      </c>
      <c r="X38" s="4">
        <f t="shared" si="37"/>
        <v>1</v>
      </c>
    </row>
    <row r="39">
      <c r="A39" s="4" t="str">
        <f>IFERROR(__xludf.DUMMYFUNCTION("""COMPUTED_VALUE"""),"Школа 338")</f>
        <v>Школа 338</v>
      </c>
      <c r="B39" s="4" t="str">
        <f t="array" ref="B39">IFERROR(INDEX('Адреса школ'!F:F, MATCH(A39, 'Адреса школ'!E:E, 0)), "")</f>
        <v>55.522296, 37.457861</v>
      </c>
      <c r="C39" s="5" t="str">
        <f t="array" ref="C39">IFERROR(INDEX('Топ-400'!A:A, MATCH(A39, 'Топ-400'!E:E, 0)), "Вне рейтинга")</f>
        <v>323</v>
      </c>
      <c r="D39" s="6">
        <f>IFERROR(__xludf.DUMMYFUNCTION("""COMPUTED_VALUE"""),0.0)</f>
        <v>0</v>
      </c>
      <c r="E39" s="6">
        <f>IFERROR(__xludf.DUMMYFUNCTION("""COMPUTED_VALUE"""),0.0)</f>
        <v>0</v>
      </c>
      <c r="F39" s="6">
        <f>IFERROR(__xludf.DUMMYFUNCTION("""COMPUTED_VALUE"""),1.0)</f>
        <v>1</v>
      </c>
      <c r="G39" s="6">
        <f>IFERROR(__xludf.DUMMYFUNCTION("""COMPUTED_VALUE"""),0.0)</f>
        <v>0</v>
      </c>
      <c r="H39" s="6">
        <f>IFERROR(__xludf.DUMMYFUNCTION("""COMPUTED_VALUE"""),0.0)</f>
        <v>0</v>
      </c>
      <c r="I39" s="6">
        <f>IFERROR(__xludf.DUMMYFUNCTION("""COMPUTED_VALUE"""),1.0)</f>
        <v>1</v>
      </c>
      <c r="J39" s="6">
        <f>IFERROR(__xludf.DUMMYFUNCTION("""COMPUTED_VALUE"""),1.0)</f>
        <v>1</v>
      </c>
      <c r="K39" s="6">
        <f>IFERROR(__xludf.DUMMYFUNCTION("""COMPUTED_VALUE"""),1.0)</f>
        <v>1</v>
      </c>
      <c r="L39" s="6">
        <f>IFERROR(__xludf.DUMMYFUNCTION("""COMPUTED_VALUE"""),1.0)</f>
        <v>1</v>
      </c>
      <c r="M39" s="6">
        <f>IFERROR(__xludf.DUMMYFUNCTION("""COMPUTED_VALUE"""),1.0)</f>
        <v>1</v>
      </c>
      <c r="N39" s="6">
        <f>IFERROR(__xludf.DUMMYFUNCTION("""COMPUTED_VALUE"""),1.0)</f>
        <v>1</v>
      </c>
      <c r="O39" s="6">
        <f>IFERROR(__xludf.DUMMYFUNCTION("""COMPUTED_VALUE"""),1.0)</f>
        <v>1</v>
      </c>
      <c r="P39" s="6">
        <f>IFERROR(__xludf.DUMMYFUNCTION("""COMPUTED_VALUE"""),1.0)</f>
        <v>1</v>
      </c>
      <c r="Q39" s="6">
        <f>IFERROR(__xludf.DUMMYFUNCTION("""COMPUTED_VALUE"""),1.0)</f>
        <v>1</v>
      </c>
      <c r="R39" s="6">
        <f>IFERROR(__xludf.DUMMYFUNCTION("""COMPUTED_VALUE"""),1.0)</f>
        <v>1</v>
      </c>
      <c r="S39" s="6">
        <f>IFERROR(__xludf.DUMMYFUNCTION("""COMPUTED_VALUE"""),0.0)</f>
        <v>0</v>
      </c>
      <c r="T39" s="6">
        <f>IFERROR(__xludf.DUMMYFUNCTION("""COMPUTED_VALUE"""),0.0)</f>
        <v>0</v>
      </c>
      <c r="U39" s="6">
        <f>IFERROR(__xludf.DUMMYFUNCTION("""COMPUTED_VALUE"""),0.0)</f>
        <v>0</v>
      </c>
      <c r="V39" s="4">
        <f t="shared" ref="V39:X39" si="38">SUM(D39, G39, J39, M39, P39, S39)</f>
        <v>3</v>
      </c>
      <c r="W39" s="4">
        <f t="shared" si="38"/>
        <v>3</v>
      </c>
      <c r="X39" s="4">
        <f t="shared" si="38"/>
        <v>5</v>
      </c>
    </row>
    <row r="40">
      <c r="A40" s="4" t="str">
        <f>IFERROR(__xludf.DUMMYFUNCTION("""COMPUTED_VALUE"""),"Школа 354")</f>
        <v>Школа 354</v>
      </c>
      <c r="B40" s="4" t="str">
        <f t="array" ref="B40">IFERROR(INDEX('Адреса школ'!F:F, MATCH(A40, 'Адреса школ'!E:E, 0)), "")</f>
        <v>55.769737, 37.677373</v>
      </c>
      <c r="C40" s="5" t="str">
        <f t="array" ref="C40">IFERROR(INDEX('Топ-400'!A:A, MATCH(A40, 'Топ-400'!E:E, 0)), "Вне рейтинга")</f>
        <v>363</v>
      </c>
      <c r="D40" s="6">
        <f>IFERROR(__xludf.DUMMYFUNCTION("""COMPUTED_VALUE"""),1.0)</f>
        <v>1</v>
      </c>
      <c r="E40" s="6">
        <f>IFERROR(__xludf.DUMMYFUNCTION("""COMPUTED_VALUE"""),1.0)</f>
        <v>1</v>
      </c>
      <c r="F40" s="6">
        <f>IFERROR(__xludf.DUMMYFUNCTION("""COMPUTED_VALUE"""),1.0)</f>
        <v>1</v>
      </c>
      <c r="G40" s="6">
        <f>IFERROR(__xludf.DUMMYFUNCTION("""COMPUTED_VALUE"""),1.0)</f>
        <v>1</v>
      </c>
      <c r="H40" s="6">
        <f>IFERROR(__xludf.DUMMYFUNCTION("""COMPUTED_VALUE"""),1.0)</f>
        <v>1</v>
      </c>
      <c r="I40" s="6">
        <f>IFERROR(__xludf.DUMMYFUNCTION("""COMPUTED_VALUE"""),1.0)</f>
        <v>1</v>
      </c>
      <c r="J40" s="6">
        <f>IFERROR(__xludf.DUMMYFUNCTION("""COMPUTED_VALUE"""),1.0)</f>
        <v>1</v>
      </c>
      <c r="K40" s="6">
        <f>IFERROR(__xludf.DUMMYFUNCTION("""COMPUTED_VALUE"""),1.0)</f>
        <v>1</v>
      </c>
      <c r="L40" s="6">
        <f>IFERROR(__xludf.DUMMYFUNCTION("""COMPUTED_VALUE"""),1.0)</f>
        <v>1</v>
      </c>
      <c r="M40" s="6">
        <f>IFERROR(__xludf.DUMMYFUNCTION("""COMPUTED_VALUE"""),0.0)</f>
        <v>0</v>
      </c>
      <c r="N40" s="6">
        <f>IFERROR(__xludf.DUMMYFUNCTION("""COMPUTED_VALUE"""),0.0)</f>
        <v>0</v>
      </c>
      <c r="O40" s="6">
        <f>IFERROR(__xludf.DUMMYFUNCTION("""COMPUTED_VALUE"""),1.0)</f>
        <v>1</v>
      </c>
      <c r="P40" s="6">
        <f>IFERROR(__xludf.DUMMYFUNCTION("""COMPUTED_VALUE"""),0.0)</f>
        <v>0</v>
      </c>
      <c r="Q40" s="6">
        <f>IFERROR(__xludf.DUMMYFUNCTION("""COMPUTED_VALUE"""),0.0)</f>
        <v>0</v>
      </c>
      <c r="R40" s="6">
        <f>IFERROR(__xludf.DUMMYFUNCTION("""COMPUTED_VALUE"""),0.0)</f>
        <v>0</v>
      </c>
      <c r="S40" s="6">
        <f>IFERROR(__xludf.DUMMYFUNCTION("""COMPUTED_VALUE"""),0.0)</f>
        <v>0</v>
      </c>
      <c r="T40" s="6">
        <f>IFERROR(__xludf.DUMMYFUNCTION("""COMPUTED_VALUE"""),0.0)</f>
        <v>0</v>
      </c>
      <c r="U40" s="6">
        <f>IFERROR(__xludf.DUMMYFUNCTION("""COMPUTED_VALUE"""),0.0)</f>
        <v>0</v>
      </c>
      <c r="V40" s="4">
        <f t="shared" ref="V40:X40" si="39">SUM(D40, G40, J40, M40, P40, S40)</f>
        <v>3</v>
      </c>
      <c r="W40" s="4">
        <f t="shared" si="39"/>
        <v>3</v>
      </c>
      <c r="X40" s="4">
        <f t="shared" si="39"/>
        <v>4</v>
      </c>
    </row>
    <row r="41">
      <c r="A41" s="4" t="str">
        <f>IFERROR(__xludf.DUMMYFUNCTION("""COMPUTED_VALUE"""),"Школа 368")</f>
        <v>Школа 368</v>
      </c>
      <c r="B41" s="4" t="str">
        <f t="array" ref="B41">IFERROR(INDEX('Адреса школ'!F:F, MATCH(A41, 'Адреса школ'!E:E, 0)), "")</f>
        <v>55.822084, 37.817843</v>
      </c>
      <c r="C41" s="5" t="str">
        <f t="array" ref="C41">IFERROR(INDEX('Топ-400'!A:A, MATCH(A41, 'Топ-400'!E:E, 0)), "Вне рейтинга")</f>
        <v>304</v>
      </c>
      <c r="D41" s="6">
        <f>IFERROR(__xludf.DUMMYFUNCTION("""COMPUTED_VALUE"""),0.0)</f>
        <v>0</v>
      </c>
      <c r="E41" s="6">
        <f>IFERROR(__xludf.DUMMYFUNCTION("""COMPUTED_VALUE"""),0.0)</f>
        <v>0</v>
      </c>
      <c r="F41" s="6">
        <f>IFERROR(__xludf.DUMMYFUNCTION("""COMPUTED_VALUE"""),0.0)</f>
        <v>0</v>
      </c>
      <c r="G41" s="6">
        <f>IFERROR(__xludf.DUMMYFUNCTION("""COMPUTED_VALUE"""),0.0)</f>
        <v>0</v>
      </c>
      <c r="H41" s="6">
        <f>IFERROR(__xludf.DUMMYFUNCTION("""COMPUTED_VALUE"""),0.0)</f>
        <v>0</v>
      </c>
      <c r="I41" s="6">
        <f>IFERROR(__xludf.DUMMYFUNCTION("""COMPUTED_VALUE"""),0.0)</f>
        <v>0</v>
      </c>
      <c r="J41" s="6">
        <f>IFERROR(__xludf.DUMMYFUNCTION("""COMPUTED_VALUE"""),0.0)</f>
        <v>0</v>
      </c>
      <c r="K41" s="6">
        <f>IFERROR(__xludf.DUMMYFUNCTION("""COMPUTED_VALUE"""),0.0)</f>
        <v>0</v>
      </c>
      <c r="L41" s="6">
        <f>IFERROR(__xludf.DUMMYFUNCTION("""COMPUTED_VALUE"""),0.0)</f>
        <v>0</v>
      </c>
      <c r="M41" s="6">
        <f>IFERROR(__xludf.DUMMYFUNCTION("""COMPUTED_VALUE"""),1.0)</f>
        <v>1</v>
      </c>
      <c r="N41" s="6">
        <f>IFERROR(__xludf.DUMMYFUNCTION("""COMPUTED_VALUE"""),0.0)</f>
        <v>0</v>
      </c>
      <c r="O41" s="6">
        <f>IFERROR(__xludf.DUMMYFUNCTION("""COMPUTED_VALUE"""),1.0)</f>
        <v>1</v>
      </c>
      <c r="P41" s="6">
        <f>IFERROR(__xludf.DUMMYFUNCTION("""COMPUTED_VALUE"""),0.0)</f>
        <v>0</v>
      </c>
      <c r="Q41" s="6">
        <f>IFERROR(__xludf.DUMMYFUNCTION("""COMPUTED_VALUE"""),0.0)</f>
        <v>0</v>
      </c>
      <c r="R41" s="6">
        <f>IFERROR(__xludf.DUMMYFUNCTION("""COMPUTED_VALUE"""),0.0)</f>
        <v>0</v>
      </c>
      <c r="S41" s="6">
        <f>IFERROR(__xludf.DUMMYFUNCTION("""COMPUTED_VALUE"""),0.0)</f>
        <v>0</v>
      </c>
      <c r="T41" s="6">
        <f>IFERROR(__xludf.DUMMYFUNCTION("""COMPUTED_VALUE"""),0.0)</f>
        <v>0</v>
      </c>
      <c r="U41" s="6">
        <f>IFERROR(__xludf.DUMMYFUNCTION("""COMPUTED_VALUE"""),0.0)</f>
        <v>0</v>
      </c>
      <c r="V41" s="4">
        <f t="shared" ref="V41:X41" si="40">SUM(D41, G41, J41, M41, P41, S41)</f>
        <v>1</v>
      </c>
      <c r="W41" s="4">
        <f t="shared" si="40"/>
        <v>0</v>
      </c>
      <c r="X41" s="4">
        <f t="shared" si="40"/>
        <v>1</v>
      </c>
    </row>
    <row r="42">
      <c r="A42" s="4" t="str">
        <f>IFERROR(__xludf.DUMMYFUNCTION("""COMPUTED_VALUE"""),"Школа 403")</f>
        <v>Школа 403</v>
      </c>
      <c r="B42" s="4" t="str">
        <f t="array" ref="B42">IFERROR(INDEX('Адреса школ'!F:F, MATCH(A42, 'Адреса школ'!E:E, 0)), "")</f>
        <v>55.801723, 37.790759</v>
      </c>
      <c r="C42" s="5" t="str">
        <f t="array" ref="C42">IFERROR(INDEX('Топ-400'!A:A, MATCH(A42, 'Топ-400'!E:E, 0)), "Вне рейтинга")</f>
        <v>Вне рейтинга</v>
      </c>
      <c r="D42" s="6">
        <f>IFERROR(__xludf.DUMMYFUNCTION("""COMPUTED_VALUE"""),0.0)</f>
        <v>0</v>
      </c>
      <c r="E42" s="6">
        <f>IFERROR(__xludf.DUMMYFUNCTION("""COMPUTED_VALUE"""),0.0)</f>
        <v>0</v>
      </c>
      <c r="F42" s="6">
        <f>IFERROR(__xludf.DUMMYFUNCTION("""COMPUTED_VALUE"""),0.0)</f>
        <v>0</v>
      </c>
      <c r="G42" s="6">
        <f>IFERROR(__xludf.DUMMYFUNCTION("""COMPUTED_VALUE"""),0.0)</f>
        <v>0</v>
      </c>
      <c r="H42" s="6">
        <f>IFERROR(__xludf.DUMMYFUNCTION("""COMPUTED_VALUE"""),0.0)</f>
        <v>0</v>
      </c>
      <c r="I42" s="6">
        <f>IFERROR(__xludf.DUMMYFUNCTION("""COMPUTED_VALUE"""),0.0)</f>
        <v>0</v>
      </c>
      <c r="J42" s="6">
        <f>IFERROR(__xludf.DUMMYFUNCTION("""COMPUTED_VALUE"""),1.0)</f>
        <v>1</v>
      </c>
      <c r="K42" s="6">
        <f>IFERROR(__xludf.DUMMYFUNCTION("""COMPUTED_VALUE"""),0.0)</f>
        <v>0</v>
      </c>
      <c r="L42" s="6">
        <f>IFERROR(__xludf.DUMMYFUNCTION("""COMPUTED_VALUE"""),0.0)</f>
        <v>0</v>
      </c>
      <c r="M42" s="6">
        <f>IFERROR(__xludf.DUMMYFUNCTION("""COMPUTED_VALUE"""),0.0)</f>
        <v>0</v>
      </c>
      <c r="N42" s="6">
        <f>IFERROR(__xludf.DUMMYFUNCTION("""COMPUTED_VALUE"""),0.0)</f>
        <v>0</v>
      </c>
      <c r="O42" s="6">
        <f>IFERROR(__xludf.DUMMYFUNCTION("""COMPUTED_VALUE"""),0.0)</f>
        <v>0</v>
      </c>
      <c r="P42" s="6">
        <f>IFERROR(__xludf.DUMMYFUNCTION("""COMPUTED_VALUE"""),0.0)</f>
        <v>0</v>
      </c>
      <c r="Q42" s="6">
        <f>IFERROR(__xludf.DUMMYFUNCTION("""COMPUTED_VALUE"""),0.0)</f>
        <v>0</v>
      </c>
      <c r="R42" s="6">
        <f>IFERROR(__xludf.DUMMYFUNCTION("""COMPUTED_VALUE"""),0.0)</f>
        <v>0</v>
      </c>
      <c r="S42" s="6">
        <f>IFERROR(__xludf.DUMMYFUNCTION("""COMPUTED_VALUE"""),0.0)</f>
        <v>0</v>
      </c>
      <c r="T42" s="6">
        <f>IFERROR(__xludf.DUMMYFUNCTION("""COMPUTED_VALUE"""),0.0)</f>
        <v>0</v>
      </c>
      <c r="U42" s="6">
        <f>IFERROR(__xludf.DUMMYFUNCTION("""COMPUTED_VALUE"""),0.0)</f>
        <v>0</v>
      </c>
      <c r="V42" s="4">
        <f t="shared" ref="V42:X42" si="41">SUM(D42, G42, J42, M42, P42, S42)</f>
        <v>1</v>
      </c>
      <c r="W42" s="4">
        <f t="shared" si="41"/>
        <v>0</v>
      </c>
      <c r="X42" s="4">
        <f t="shared" si="41"/>
        <v>0</v>
      </c>
    </row>
    <row r="43">
      <c r="A43" s="4" t="str">
        <f>IFERROR(__xludf.DUMMYFUNCTION("""COMPUTED_VALUE"""),"Школа 429")</f>
        <v>Школа 429</v>
      </c>
      <c r="B43" s="4" t="str">
        <f t="array" ref="B43">IFERROR(INDEX('Адреса школ'!F:F, MATCH(A43, 'Адреса школ'!E:E, 0)), "")</f>
        <v>55.77551, 37.725056</v>
      </c>
      <c r="C43" s="5" t="str">
        <f t="array" ref="C43">IFERROR(INDEX('Топ-400'!A:A, MATCH(A43, 'Топ-400'!E:E, 0)), "Вне рейтинга")</f>
        <v>226</v>
      </c>
      <c r="D43" s="6">
        <f>IFERROR(__xludf.DUMMYFUNCTION("""COMPUTED_VALUE"""),1.0)</f>
        <v>1</v>
      </c>
      <c r="E43" s="6">
        <f>IFERROR(__xludf.DUMMYFUNCTION("""COMPUTED_VALUE"""),1.0)</f>
        <v>1</v>
      </c>
      <c r="F43" s="6">
        <f>IFERROR(__xludf.DUMMYFUNCTION("""COMPUTED_VALUE"""),1.0)</f>
        <v>1</v>
      </c>
      <c r="G43" s="6">
        <f>IFERROR(__xludf.DUMMYFUNCTION("""COMPUTED_VALUE"""),0.0)</f>
        <v>0</v>
      </c>
      <c r="H43" s="6">
        <f>IFERROR(__xludf.DUMMYFUNCTION("""COMPUTED_VALUE"""),0.0)</f>
        <v>0</v>
      </c>
      <c r="I43" s="6">
        <f>IFERROR(__xludf.DUMMYFUNCTION("""COMPUTED_VALUE"""),0.0)</f>
        <v>0</v>
      </c>
      <c r="J43" s="6">
        <f>IFERROR(__xludf.DUMMYFUNCTION("""COMPUTED_VALUE"""),1.0)</f>
        <v>1</v>
      </c>
      <c r="K43" s="6">
        <f>IFERROR(__xludf.DUMMYFUNCTION("""COMPUTED_VALUE"""),0.0)</f>
        <v>0</v>
      </c>
      <c r="L43" s="6">
        <f>IFERROR(__xludf.DUMMYFUNCTION("""COMPUTED_VALUE"""),1.0)</f>
        <v>1</v>
      </c>
      <c r="M43" s="6">
        <f>IFERROR(__xludf.DUMMYFUNCTION("""COMPUTED_VALUE"""),0.0)</f>
        <v>0</v>
      </c>
      <c r="N43" s="6">
        <f>IFERROR(__xludf.DUMMYFUNCTION("""COMPUTED_VALUE"""),0.0)</f>
        <v>0</v>
      </c>
      <c r="O43" s="6">
        <f>IFERROR(__xludf.DUMMYFUNCTION("""COMPUTED_VALUE"""),0.0)</f>
        <v>0</v>
      </c>
      <c r="P43" s="6">
        <f>IFERROR(__xludf.DUMMYFUNCTION("""COMPUTED_VALUE"""),1.0)</f>
        <v>1</v>
      </c>
      <c r="Q43" s="6">
        <f>IFERROR(__xludf.DUMMYFUNCTION("""COMPUTED_VALUE"""),1.0)</f>
        <v>1</v>
      </c>
      <c r="R43" s="6">
        <f>IFERROR(__xludf.DUMMYFUNCTION("""COMPUTED_VALUE"""),0.0)</f>
        <v>0</v>
      </c>
      <c r="S43" s="6">
        <f>IFERROR(__xludf.DUMMYFUNCTION("""COMPUTED_VALUE"""),0.0)</f>
        <v>0</v>
      </c>
      <c r="T43" s="6">
        <f>IFERROR(__xludf.DUMMYFUNCTION("""COMPUTED_VALUE"""),0.0)</f>
        <v>0</v>
      </c>
      <c r="U43" s="6">
        <f>IFERROR(__xludf.DUMMYFUNCTION("""COMPUTED_VALUE"""),0.0)</f>
        <v>0</v>
      </c>
      <c r="V43" s="4">
        <f t="shared" ref="V43:X43" si="42">SUM(D43, G43, J43, M43, P43, S43)</f>
        <v>3</v>
      </c>
      <c r="W43" s="4">
        <f t="shared" si="42"/>
        <v>2</v>
      </c>
      <c r="X43" s="4">
        <f t="shared" si="42"/>
        <v>2</v>
      </c>
    </row>
    <row r="44">
      <c r="A44" s="4" t="str">
        <f>IFERROR(__xludf.DUMMYFUNCTION("""COMPUTED_VALUE"""),"Школа 444")</f>
        <v>Школа 444</v>
      </c>
      <c r="B44" s="4" t="str">
        <f t="array" ref="B44">IFERROR(INDEX('Адреса школ'!F:F, MATCH(A44, 'Адреса школ'!E:E, 0)), "")</f>
        <v>55.790712, 37.796481</v>
      </c>
      <c r="C44" s="5" t="str">
        <f t="array" ref="C44">IFERROR(INDEX('Топ-400'!A:A, MATCH(A44, 'Топ-400'!E:E, 0)), "Вне рейтинга")</f>
        <v>2</v>
      </c>
      <c r="D44" s="6">
        <f>IFERROR(__xludf.DUMMYFUNCTION("""COMPUTED_VALUE"""),1.0)</f>
        <v>1</v>
      </c>
      <c r="E44" s="6">
        <f>IFERROR(__xludf.DUMMYFUNCTION("""COMPUTED_VALUE"""),1.0)</f>
        <v>1</v>
      </c>
      <c r="F44" s="6">
        <f>IFERROR(__xludf.DUMMYFUNCTION("""COMPUTED_VALUE"""),1.0)</f>
        <v>1</v>
      </c>
      <c r="G44" s="6">
        <f>IFERROR(__xludf.DUMMYFUNCTION("""COMPUTED_VALUE"""),1.0)</f>
        <v>1</v>
      </c>
      <c r="H44" s="6">
        <f>IFERROR(__xludf.DUMMYFUNCTION("""COMPUTED_VALUE"""),1.0)</f>
        <v>1</v>
      </c>
      <c r="I44" s="6">
        <f>IFERROR(__xludf.DUMMYFUNCTION("""COMPUTED_VALUE"""),1.0)</f>
        <v>1</v>
      </c>
      <c r="J44" s="6">
        <f>IFERROR(__xludf.DUMMYFUNCTION("""COMPUTED_VALUE"""),1.0)</f>
        <v>1</v>
      </c>
      <c r="K44" s="6">
        <f>IFERROR(__xludf.DUMMYFUNCTION("""COMPUTED_VALUE"""),1.0)</f>
        <v>1</v>
      </c>
      <c r="L44" s="6">
        <f>IFERROR(__xludf.DUMMYFUNCTION("""COMPUTED_VALUE"""),1.0)</f>
        <v>1</v>
      </c>
      <c r="M44" s="6">
        <f>IFERROR(__xludf.DUMMYFUNCTION("""COMPUTED_VALUE"""),1.0)</f>
        <v>1</v>
      </c>
      <c r="N44" s="6">
        <f>IFERROR(__xludf.DUMMYFUNCTION("""COMPUTED_VALUE"""),1.0)</f>
        <v>1</v>
      </c>
      <c r="O44" s="6">
        <f>IFERROR(__xludf.DUMMYFUNCTION("""COMPUTED_VALUE"""),1.0)</f>
        <v>1</v>
      </c>
      <c r="P44" s="6">
        <f>IFERROR(__xludf.DUMMYFUNCTION("""COMPUTED_VALUE"""),1.0)</f>
        <v>1</v>
      </c>
      <c r="Q44" s="6">
        <f>IFERROR(__xludf.DUMMYFUNCTION("""COMPUTED_VALUE"""),1.0)</f>
        <v>1</v>
      </c>
      <c r="R44" s="6">
        <f>IFERROR(__xludf.DUMMYFUNCTION("""COMPUTED_VALUE"""),0.0)</f>
        <v>0</v>
      </c>
      <c r="S44" s="6">
        <f>IFERROR(__xludf.DUMMYFUNCTION("""COMPUTED_VALUE"""),0.0)</f>
        <v>0</v>
      </c>
      <c r="T44" s="6">
        <f>IFERROR(__xludf.DUMMYFUNCTION("""COMPUTED_VALUE"""),0.0)</f>
        <v>0</v>
      </c>
      <c r="U44" s="6">
        <f>IFERROR(__xludf.DUMMYFUNCTION("""COMPUTED_VALUE"""),0.0)</f>
        <v>0</v>
      </c>
      <c r="V44" s="4">
        <f t="shared" ref="V44:X44" si="43">SUM(D44, G44, J44, M44, P44, S44)</f>
        <v>5</v>
      </c>
      <c r="W44" s="4">
        <f t="shared" si="43"/>
        <v>5</v>
      </c>
      <c r="X44" s="4">
        <f t="shared" si="43"/>
        <v>4</v>
      </c>
    </row>
    <row r="45">
      <c r="A45" s="4" t="str">
        <f>IFERROR(__xludf.DUMMYFUNCTION("""COMPUTED_VALUE"""),"Школа 460")</f>
        <v>Школа 460</v>
      </c>
      <c r="B45" s="4" t="str">
        <f t="array" ref="B45">IFERROR(INDEX('Адреса школ'!F:F, MATCH(A45, 'Адреса школ'!E:E, 0)), "")</f>
        <v>55.672062, 37.769675</v>
      </c>
      <c r="C45" s="5" t="str">
        <f t="array" ref="C45">IFERROR(INDEX('Топ-400'!A:A, MATCH(A45, 'Топ-400'!E:E, 0)), "Вне рейтинга")</f>
        <v>375</v>
      </c>
      <c r="D45" s="6">
        <f>IFERROR(__xludf.DUMMYFUNCTION("""COMPUTED_VALUE"""),0.0)</f>
        <v>0</v>
      </c>
      <c r="E45" s="6">
        <f>IFERROR(__xludf.DUMMYFUNCTION("""COMPUTED_VALUE"""),0.0)</f>
        <v>0</v>
      </c>
      <c r="F45" s="6">
        <f>IFERROR(__xludf.DUMMYFUNCTION("""COMPUTED_VALUE"""),0.0)</f>
        <v>0</v>
      </c>
      <c r="G45" s="6">
        <f>IFERROR(__xludf.DUMMYFUNCTION("""COMPUTED_VALUE"""),0.0)</f>
        <v>0</v>
      </c>
      <c r="H45" s="6">
        <f>IFERROR(__xludf.DUMMYFUNCTION("""COMPUTED_VALUE"""),0.0)</f>
        <v>0</v>
      </c>
      <c r="I45" s="6">
        <f>IFERROR(__xludf.DUMMYFUNCTION("""COMPUTED_VALUE"""),0.0)</f>
        <v>0</v>
      </c>
      <c r="J45" s="6">
        <f>IFERROR(__xludf.DUMMYFUNCTION("""COMPUTED_VALUE"""),1.0)</f>
        <v>1</v>
      </c>
      <c r="K45" s="6">
        <f>IFERROR(__xludf.DUMMYFUNCTION("""COMPUTED_VALUE"""),0.0)</f>
        <v>0</v>
      </c>
      <c r="L45" s="6">
        <f>IFERROR(__xludf.DUMMYFUNCTION("""COMPUTED_VALUE"""),1.0)</f>
        <v>1</v>
      </c>
      <c r="M45" s="6">
        <f>IFERROR(__xludf.DUMMYFUNCTION("""COMPUTED_VALUE"""),0.0)</f>
        <v>0</v>
      </c>
      <c r="N45" s="6">
        <f>IFERROR(__xludf.DUMMYFUNCTION("""COMPUTED_VALUE"""),0.0)</f>
        <v>0</v>
      </c>
      <c r="O45" s="6">
        <f>IFERROR(__xludf.DUMMYFUNCTION("""COMPUTED_VALUE"""),1.0)</f>
        <v>1</v>
      </c>
      <c r="P45" s="6">
        <f>IFERROR(__xludf.DUMMYFUNCTION("""COMPUTED_VALUE"""),0.0)</f>
        <v>0</v>
      </c>
      <c r="Q45" s="6">
        <f>IFERROR(__xludf.DUMMYFUNCTION("""COMPUTED_VALUE"""),0.0)</f>
        <v>0</v>
      </c>
      <c r="R45" s="6">
        <f>IFERROR(__xludf.DUMMYFUNCTION("""COMPUTED_VALUE"""),0.0)</f>
        <v>0</v>
      </c>
      <c r="S45" s="6">
        <f>IFERROR(__xludf.DUMMYFUNCTION("""COMPUTED_VALUE"""),0.0)</f>
        <v>0</v>
      </c>
      <c r="T45" s="6">
        <f>IFERROR(__xludf.DUMMYFUNCTION("""COMPUTED_VALUE"""),0.0)</f>
        <v>0</v>
      </c>
      <c r="U45" s="6">
        <f>IFERROR(__xludf.DUMMYFUNCTION("""COMPUTED_VALUE"""),0.0)</f>
        <v>0</v>
      </c>
      <c r="V45" s="4">
        <f t="shared" ref="V45:X45" si="44">SUM(D45, G45, J45, M45, P45, S45)</f>
        <v>1</v>
      </c>
      <c r="W45" s="4">
        <f t="shared" si="44"/>
        <v>0</v>
      </c>
      <c r="X45" s="4">
        <f t="shared" si="44"/>
        <v>2</v>
      </c>
    </row>
    <row r="46">
      <c r="A46" s="4" t="str">
        <f>IFERROR(__xludf.DUMMYFUNCTION("""COMPUTED_VALUE"""),"Школа 463")</f>
        <v>Школа 463</v>
      </c>
      <c r="B46" s="4" t="str">
        <f t="array" ref="B46">IFERROR(INDEX('Адреса школ'!F:F, MATCH(A46, 'Адреса школ'!E:E, 0)), "")</f>
        <v>55.67925, 37.671929</v>
      </c>
      <c r="C46" s="5" t="str">
        <f t="array" ref="C46">IFERROR(INDEX('Топ-400'!A:A, MATCH(A46, 'Топ-400'!E:E, 0)), "Вне рейтинга")</f>
        <v>296</v>
      </c>
      <c r="D46" s="6">
        <f>IFERROR(__xludf.DUMMYFUNCTION("""COMPUTED_VALUE"""),0.0)</f>
        <v>0</v>
      </c>
      <c r="E46" s="6">
        <f>IFERROR(__xludf.DUMMYFUNCTION("""COMPUTED_VALUE"""),0.0)</f>
        <v>0</v>
      </c>
      <c r="F46" s="6">
        <f>IFERROR(__xludf.DUMMYFUNCTION("""COMPUTED_VALUE"""),0.0)</f>
        <v>0</v>
      </c>
      <c r="G46" s="6">
        <f>IFERROR(__xludf.DUMMYFUNCTION("""COMPUTED_VALUE"""),0.0)</f>
        <v>0</v>
      </c>
      <c r="H46" s="6">
        <f>IFERROR(__xludf.DUMMYFUNCTION("""COMPUTED_VALUE"""),0.0)</f>
        <v>0</v>
      </c>
      <c r="I46" s="6">
        <f>IFERROR(__xludf.DUMMYFUNCTION("""COMPUTED_VALUE"""),0.0)</f>
        <v>0</v>
      </c>
      <c r="J46" s="6">
        <f>IFERROR(__xludf.DUMMYFUNCTION("""COMPUTED_VALUE"""),0.0)</f>
        <v>0</v>
      </c>
      <c r="K46" s="6">
        <f>IFERROR(__xludf.DUMMYFUNCTION("""COMPUTED_VALUE"""),1.0)</f>
        <v>1</v>
      </c>
      <c r="L46" s="6">
        <f>IFERROR(__xludf.DUMMYFUNCTION("""COMPUTED_VALUE"""),1.0)</f>
        <v>1</v>
      </c>
      <c r="M46" s="6">
        <f>IFERROR(__xludf.DUMMYFUNCTION("""COMPUTED_VALUE"""),1.0)</f>
        <v>1</v>
      </c>
      <c r="N46" s="6">
        <f>IFERROR(__xludf.DUMMYFUNCTION("""COMPUTED_VALUE"""),1.0)</f>
        <v>1</v>
      </c>
      <c r="O46" s="6">
        <f>IFERROR(__xludf.DUMMYFUNCTION("""COMPUTED_VALUE"""),1.0)</f>
        <v>1</v>
      </c>
      <c r="P46" s="6">
        <f>IFERROR(__xludf.DUMMYFUNCTION("""COMPUTED_VALUE"""),1.0)</f>
        <v>1</v>
      </c>
      <c r="Q46" s="6">
        <f>IFERROR(__xludf.DUMMYFUNCTION("""COMPUTED_VALUE"""),1.0)</f>
        <v>1</v>
      </c>
      <c r="R46" s="6">
        <f>IFERROR(__xludf.DUMMYFUNCTION("""COMPUTED_VALUE"""),0.0)</f>
        <v>0</v>
      </c>
      <c r="S46" s="6">
        <f>IFERROR(__xludf.DUMMYFUNCTION("""COMPUTED_VALUE"""),0.0)</f>
        <v>0</v>
      </c>
      <c r="T46" s="6">
        <f>IFERROR(__xludf.DUMMYFUNCTION("""COMPUTED_VALUE"""),0.0)</f>
        <v>0</v>
      </c>
      <c r="U46" s="6">
        <f>IFERROR(__xludf.DUMMYFUNCTION("""COMPUTED_VALUE"""),0.0)</f>
        <v>0</v>
      </c>
      <c r="V46" s="4">
        <f t="shared" ref="V46:X46" si="45">SUM(D46, G46, J46, M46, P46, S46)</f>
        <v>2</v>
      </c>
      <c r="W46" s="4">
        <f t="shared" si="45"/>
        <v>3</v>
      </c>
      <c r="X46" s="4">
        <f t="shared" si="45"/>
        <v>2</v>
      </c>
    </row>
    <row r="47">
      <c r="A47" s="4" t="str">
        <f>IFERROR(__xludf.DUMMYFUNCTION("""COMPUTED_VALUE"""),"Школа 467")</f>
        <v>Школа 467</v>
      </c>
      <c r="B47" s="4" t="str">
        <f t="array" ref="B47">IFERROR(INDEX('Адреса школ'!F:F, MATCH(A47, 'Адреса школ'!E:E, 0)), "")</f>
        <v>55.728991, 37.67139</v>
      </c>
      <c r="C47" s="5" t="str">
        <f t="array" ref="C47">IFERROR(INDEX('Топ-400'!A:A, MATCH(A47, 'Топ-400'!E:E, 0)), "Вне рейтинга")</f>
        <v>Вне рейтинга</v>
      </c>
      <c r="D47" s="6">
        <f>IFERROR(__xludf.DUMMYFUNCTION("""COMPUTED_VALUE"""),0.0)</f>
        <v>0</v>
      </c>
      <c r="E47" s="6">
        <f>IFERROR(__xludf.DUMMYFUNCTION("""COMPUTED_VALUE"""),0.0)</f>
        <v>0</v>
      </c>
      <c r="F47" s="6">
        <f>IFERROR(__xludf.DUMMYFUNCTION("""COMPUTED_VALUE"""),0.0)</f>
        <v>0</v>
      </c>
      <c r="G47" s="6">
        <f>IFERROR(__xludf.DUMMYFUNCTION("""COMPUTED_VALUE"""),0.0)</f>
        <v>0</v>
      </c>
      <c r="H47" s="6">
        <f>IFERROR(__xludf.DUMMYFUNCTION("""COMPUTED_VALUE"""),0.0)</f>
        <v>0</v>
      </c>
      <c r="I47" s="6">
        <f>IFERROR(__xludf.DUMMYFUNCTION("""COMPUTED_VALUE"""),0.0)</f>
        <v>0</v>
      </c>
      <c r="J47" s="6">
        <f>IFERROR(__xludf.DUMMYFUNCTION("""COMPUTED_VALUE"""),0.0)</f>
        <v>0</v>
      </c>
      <c r="K47" s="6">
        <f>IFERROR(__xludf.DUMMYFUNCTION("""COMPUTED_VALUE"""),0.0)</f>
        <v>0</v>
      </c>
      <c r="L47" s="6">
        <f>IFERROR(__xludf.DUMMYFUNCTION("""COMPUTED_VALUE"""),0.0)</f>
        <v>0</v>
      </c>
      <c r="M47" s="6">
        <f>IFERROR(__xludf.DUMMYFUNCTION("""COMPUTED_VALUE"""),1.0)</f>
        <v>1</v>
      </c>
      <c r="N47" s="6">
        <f>IFERROR(__xludf.DUMMYFUNCTION("""COMPUTED_VALUE"""),0.0)</f>
        <v>0</v>
      </c>
      <c r="O47" s="6">
        <f>IFERROR(__xludf.DUMMYFUNCTION("""COMPUTED_VALUE"""),0.0)</f>
        <v>0</v>
      </c>
      <c r="P47" s="6">
        <f>IFERROR(__xludf.DUMMYFUNCTION("""COMPUTED_VALUE"""),0.0)</f>
        <v>0</v>
      </c>
      <c r="Q47" s="6">
        <f>IFERROR(__xludf.DUMMYFUNCTION("""COMPUTED_VALUE"""),0.0)</f>
        <v>0</v>
      </c>
      <c r="R47" s="6">
        <f>IFERROR(__xludf.DUMMYFUNCTION("""COMPUTED_VALUE"""),0.0)</f>
        <v>0</v>
      </c>
      <c r="S47" s="6">
        <f>IFERROR(__xludf.DUMMYFUNCTION("""COMPUTED_VALUE"""),0.0)</f>
        <v>0</v>
      </c>
      <c r="T47" s="6">
        <f>IFERROR(__xludf.DUMMYFUNCTION("""COMPUTED_VALUE"""),0.0)</f>
        <v>0</v>
      </c>
      <c r="U47" s="6">
        <f>IFERROR(__xludf.DUMMYFUNCTION("""COMPUTED_VALUE"""),0.0)</f>
        <v>0</v>
      </c>
      <c r="V47" s="4">
        <f t="shared" ref="V47:X47" si="46">SUM(D47, G47, J47, M47, P47, S47)</f>
        <v>1</v>
      </c>
      <c r="W47" s="4">
        <f t="shared" si="46"/>
        <v>0</v>
      </c>
      <c r="X47" s="4">
        <f t="shared" si="46"/>
        <v>0</v>
      </c>
    </row>
    <row r="48">
      <c r="A48" s="4" t="str">
        <f>IFERROR(__xludf.DUMMYFUNCTION("""COMPUTED_VALUE"""),"Школа 491")</f>
        <v>Школа 491</v>
      </c>
      <c r="B48" s="4" t="str">
        <f t="array" ref="B48">IFERROR(INDEX('Адреса школ'!F:F, MATCH(A48, 'Адреса школ'!E:E, 0)), "")</f>
        <v>55.700562, 37.762273</v>
      </c>
      <c r="C48" s="5" t="str">
        <f t="array" ref="C48">IFERROR(INDEX('Топ-400'!A:A, MATCH(A48, 'Топ-400'!E:E, 0)), "Вне рейтинга")</f>
        <v>144</v>
      </c>
      <c r="D48" s="6">
        <f>IFERROR(__xludf.DUMMYFUNCTION("""COMPUTED_VALUE"""),1.0)</f>
        <v>1</v>
      </c>
      <c r="E48" s="6">
        <f>IFERROR(__xludf.DUMMYFUNCTION("""COMPUTED_VALUE"""),0.0)</f>
        <v>0</v>
      </c>
      <c r="F48" s="6">
        <f>IFERROR(__xludf.DUMMYFUNCTION("""COMPUTED_VALUE"""),1.0)</f>
        <v>1</v>
      </c>
      <c r="G48" s="6">
        <f>IFERROR(__xludf.DUMMYFUNCTION("""COMPUTED_VALUE"""),0.0)</f>
        <v>0</v>
      </c>
      <c r="H48" s="6">
        <f>IFERROR(__xludf.DUMMYFUNCTION("""COMPUTED_VALUE"""),0.0)</f>
        <v>0</v>
      </c>
      <c r="I48" s="6">
        <f>IFERROR(__xludf.DUMMYFUNCTION("""COMPUTED_VALUE"""),0.0)</f>
        <v>0</v>
      </c>
      <c r="J48" s="6">
        <f>IFERROR(__xludf.DUMMYFUNCTION("""COMPUTED_VALUE"""),0.0)</f>
        <v>0</v>
      </c>
      <c r="K48" s="6">
        <f>IFERROR(__xludf.DUMMYFUNCTION("""COMPUTED_VALUE"""),0.0)</f>
        <v>0</v>
      </c>
      <c r="L48" s="6">
        <f>IFERROR(__xludf.DUMMYFUNCTION("""COMPUTED_VALUE"""),0.0)</f>
        <v>0</v>
      </c>
      <c r="M48" s="6">
        <f>IFERROR(__xludf.DUMMYFUNCTION("""COMPUTED_VALUE"""),0.0)</f>
        <v>0</v>
      </c>
      <c r="N48" s="6">
        <f>IFERROR(__xludf.DUMMYFUNCTION("""COMPUTED_VALUE"""),0.0)</f>
        <v>0</v>
      </c>
      <c r="O48" s="6">
        <f>IFERROR(__xludf.DUMMYFUNCTION("""COMPUTED_VALUE"""),0.0)</f>
        <v>0</v>
      </c>
      <c r="P48" s="6">
        <f>IFERROR(__xludf.DUMMYFUNCTION("""COMPUTED_VALUE"""),1.0)</f>
        <v>1</v>
      </c>
      <c r="Q48" s="6">
        <f>IFERROR(__xludf.DUMMYFUNCTION("""COMPUTED_VALUE"""),1.0)</f>
        <v>1</v>
      </c>
      <c r="R48" s="6">
        <f>IFERROR(__xludf.DUMMYFUNCTION("""COMPUTED_VALUE"""),1.0)</f>
        <v>1</v>
      </c>
      <c r="S48" s="6">
        <f>IFERROR(__xludf.DUMMYFUNCTION("""COMPUTED_VALUE"""),0.0)</f>
        <v>0</v>
      </c>
      <c r="T48" s="6">
        <f>IFERROR(__xludf.DUMMYFUNCTION("""COMPUTED_VALUE"""),0.0)</f>
        <v>0</v>
      </c>
      <c r="U48" s="6">
        <f>IFERROR(__xludf.DUMMYFUNCTION("""COMPUTED_VALUE"""),0.0)</f>
        <v>0</v>
      </c>
      <c r="V48" s="4">
        <f t="shared" ref="V48:X48" si="47">SUM(D48, G48, J48, M48, P48, S48)</f>
        <v>2</v>
      </c>
      <c r="W48" s="4">
        <f t="shared" si="47"/>
        <v>1</v>
      </c>
      <c r="X48" s="4">
        <f t="shared" si="47"/>
        <v>2</v>
      </c>
    </row>
    <row r="49">
      <c r="A49" s="4" t="str">
        <f>IFERROR(__xludf.DUMMYFUNCTION("""COMPUTED_VALUE"""),"Школа 498")</f>
        <v>Школа 498</v>
      </c>
      <c r="B49" s="4" t="str">
        <f t="array" ref="B49">IFERROR(INDEX('Адреса школ'!F:F, MATCH(A49, 'Адреса школ'!E:E, 0)), "")</f>
        <v>55.737851, 37.652032</v>
      </c>
      <c r="C49" s="5" t="str">
        <f t="array" ref="C49">IFERROR(INDEX('Топ-400'!A:A, MATCH(A49, 'Топ-400'!E:E, 0)), "Вне рейтинга")</f>
        <v>131</v>
      </c>
      <c r="D49" s="6">
        <f>IFERROR(__xludf.DUMMYFUNCTION("""COMPUTED_VALUE"""),1.0)</f>
        <v>1</v>
      </c>
      <c r="E49" s="6">
        <f>IFERROR(__xludf.DUMMYFUNCTION("""COMPUTED_VALUE"""),0.0)</f>
        <v>0</v>
      </c>
      <c r="F49" s="6">
        <f>IFERROR(__xludf.DUMMYFUNCTION("""COMPUTED_VALUE"""),1.0)</f>
        <v>1</v>
      </c>
      <c r="G49" s="6">
        <f>IFERROR(__xludf.DUMMYFUNCTION("""COMPUTED_VALUE"""),0.0)</f>
        <v>0</v>
      </c>
      <c r="H49" s="6">
        <f>IFERROR(__xludf.DUMMYFUNCTION("""COMPUTED_VALUE"""),0.0)</f>
        <v>0</v>
      </c>
      <c r="I49" s="6">
        <f>IFERROR(__xludf.DUMMYFUNCTION("""COMPUTED_VALUE"""),0.0)</f>
        <v>0</v>
      </c>
      <c r="J49" s="6">
        <f>IFERROR(__xludf.DUMMYFUNCTION("""COMPUTED_VALUE"""),1.0)</f>
        <v>1</v>
      </c>
      <c r="K49" s="6">
        <f>IFERROR(__xludf.DUMMYFUNCTION("""COMPUTED_VALUE"""),1.0)</f>
        <v>1</v>
      </c>
      <c r="L49" s="6">
        <f>IFERROR(__xludf.DUMMYFUNCTION("""COMPUTED_VALUE"""),1.0)</f>
        <v>1</v>
      </c>
      <c r="M49" s="6">
        <f>IFERROR(__xludf.DUMMYFUNCTION("""COMPUTED_VALUE"""),0.0)</f>
        <v>0</v>
      </c>
      <c r="N49" s="6">
        <f>IFERROR(__xludf.DUMMYFUNCTION("""COMPUTED_VALUE"""),0.0)</f>
        <v>0</v>
      </c>
      <c r="O49" s="6">
        <f>IFERROR(__xludf.DUMMYFUNCTION("""COMPUTED_VALUE"""),0.0)</f>
        <v>0</v>
      </c>
      <c r="P49" s="6">
        <f>IFERROR(__xludf.DUMMYFUNCTION("""COMPUTED_VALUE"""),0.0)</f>
        <v>0</v>
      </c>
      <c r="Q49" s="6">
        <f>IFERROR(__xludf.DUMMYFUNCTION("""COMPUTED_VALUE"""),1.0)</f>
        <v>1</v>
      </c>
      <c r="R49" s="6">
        <f>IFERROR(__xludf.DUMMYFUNCTION("""COMPUTED_VALUE"""),1.0)</f>
        <v>1</v>
      </c>
      <c r="S49" s="6">
        <f>IFERROR(__xludf.DUMMYFUNCTION("""COMPUTED_VALUE"""),0.0)</f>
        <v>0</v>
      </c>
      <c r="T49" s="6">
        <f>IFERROR(__xludf.DUMMYFUNCTION("""COMPUTED_VALUE"""),0.0)</f>
        <v>0</v>
      </c>
      <c r="U49" s="6">
        <f>IFERROR(__xludf.DUMMYFUNCTION("""COMPUTED_VALUE"""),0.0)</f>
        <v>0</v>
      </c>
      <c r="V49" s="4">
        <f t="shared" ref="V49:X49" si="48">SUM(D49, G49, J49, M49, P49, S49)</f>
        <v>2</v>
      </c>
      <c r="W49" s="4">
        <f t="shared" si="48"/>
        <v>2</v>
      </c>
      <c r="X49" s="4">
        <f t="shared" si="48"/>
        <v>3</v>
      </c>
    </row>
    <row r="50">
      <c r="A50" s="4" t="str">
        <f>IFERROR(__xludf.DUMMYFUNCTION("""COMPUTED_VALUE"""),"Школа 504")</f>
        <v>Школа 504</v>
      </c>
      <c r="B50" s="4" t="str">
        <f t="array" ref="B50">IFERROR(INDEX('Адреса школ'!F:F, MATCH(A50, 'Адреса школ'!E:E, 0)), "")</f>
        <v>55.663867, 37.621543</v>
      </c>
      <c r="C50" s="5" t="str">
        <f t="array" ref="C50">IFERROR(INDEX('Топ-400'!A:A, MATCH(A50, 'Топ-400'!E:E, 0)), "Вне рейтинга")</f>
        <v>Вне рейтинга</v>
      </c>
      <c r="D50" s="6">
        <f>IFERROR(__xludf.DUMMYFUNCTION("""COMPUTED_VALUE"""),1.0)</f>
        <v>1</v>
      </c>
      <c r="E50" s="6">
        <f>IFERROR(__xludf.DUMMYFUNCTION("""COMPUTED_VALUE"""),0.0)</f>
        <v>0</v>
      </c>
      <c r="F50" s="6">
        <f>IFERROR(__xludf.DUMMYFUNCTION("""COMPUTED_VALUE"""),0.0)</f>
        <v>0</v>
      </c>
      <c r="G50" s="6">
        <f>IFERROR(__xludf.DUMMYFUNCTION("""COMPUTED_VALUE"""),0.0)</f>
        <v>0</v>
      </c>
      <c r="H50" s="6">
        <f>IFERROR(__xludf.DUMMYFUNCTION("""COMPUTED_VALUE"""),0.0)</f>
        <v>0</v>
      </c>
      <c r="I50" s="6">
        <f>IFERROR(__xludf.DUMMYFUNCTION("""COMPUTED_VALUE"""),0.0)</f>
        <v>0</v>
      </c>
      <c r="J50" s="6">
        <f>IFERROR(__xludf.DUMMYFUNCTION("""COMPUTED_VALUE"""),0.0)</f>
        <v>0</v>
      </c>
      <c r="K50" s="6">
        <f>IFERROR(__xludf.DUMMYFUNCTION("""COMPUTED_VALUE"""),0.0)</f>
        <v>0</v>
      </c>
      <c r="L50" s="6">
        <f>IFERROR(__xludf.DUMMYFUNCTION("""COMPUTED_VALUE"""),0.0)</f>
        <v>0</v>
      </c>
      <c r="M50" s="6">
        <f>IFERROR(__xludf.DUMMYFUNCTION("""COMPUTED_VALUE"""),0.0)</f>
        <v>0</v>
      </c>
      <c r="N50" s="6">
        <f>IFERROR(__xludf.DUMMYFUNCTION("""COMPUTED_VALUE"""),0.0)</f>
        <v>0</v>
      </c>
      <c r="O50" s="6">
        <f>IFERROR(__xludf.DUMMYFUNCTION("""COMPUTED_VALUE"""),0.0)</f>
        <v>0</v>
      </c>
      <c r="P50" s="6">
        <f>IFERROR(__xludf.DUMMYFUNCTION("""COMPUTED_VALUE"""),1.0)</f>
        <v>1</v>
      </c>
      <c r="Q50" s="6">
        <f>IFERROR(__xludf.DUMMYFUNCTION("""COMPUTED_VALUE"""),0.0)</f>
        <v>0</v>
      </c>
      <c r="R50" s="6">
        <f>IFERROR(__xludf.DUMMYFUNCTION("""COMPUTED_VALUE"""),0.0)</f>
        <v>0</v>
      </c>
      <c r="S50" s="6">
        <f>IFERROR(__xludf.DUMMYFUNCTION("""COMPUTED_VALUE"""),0.0)</f>
        <v>0</v>
      </c>
      <c r="T50" s="6">
        <f>IFERROR(__xludf.DUMMYFUNCTION("""COMPUTED_VALUE"""),0.0)</f>
        <v>0</v>
      </c>
      <c r="U50" s="6">
        <f>IFERROR(__xludf.DUMMYFUNCTION("""COMPUTED_VALUE"""),0.0)</f>
        <v>0</v>
      </c>
      <c r="V50" s="4">
        <f t="shared" ref="V50:X50" si="49">SUM(D50, G50, J50, M50, P50, S50)</f>
        <v>2</v>
      </c>
      <c r="W50" s="4">
        <f t="shared" si="49"/>
        <v>0</v>
      </c>
      <c r="X50" s="4">
        <f t="shared" si="49"/>
        <v>0</v>
      </c>
    </row>
    <row r="51">
      <c r="A51" s="4" t="str">
        <f>IFERROR(__xludf.DUMMYFUNCTION("""COMPUTED_VALUE"""),"Школа 507")</f>
        <v>Школа 507</v>
      </c>
      <c r="B51" s="4" t="str">
        <f t="array" ref="B51">IFERROR(INDEX('Адреса школ'!F:F, MATCH(A51, 'Адреса школ'!E:E, 0)), "")</f>
        <v>55.672559, 37.657413</v>
      </c>
      <c r="C51" s="5" t="str">
        <f t="array" ref="C51">IFERROR(INDEX('Топ-400'!A:A, MATCH(A51, 'Топ-400'!E:E, 0)), "Вне рейтинга")</f>
        <v>168</v>
      </c>
      <c r="D51" s="6">
        <f>IFERROR(__xludf.DUMMYFUNCTION("""COMPUTED_VALUE"""),1.0)</f>
        <v>1</v>
      </c>
      <c r="E51" s="6">
        <f>IFERROR(__xludf.DUMMYFUNCTION("""COMPUTED_VALUE"""),0.0)</f>
        <v>0</v>
      </c>
      <c r="F51" s="6">
        <f>IFERROR(__xludf.DUMMYFUNCTION("""COMPUTED_VALUE"""),1.0)</f>
        <v>1</v>
      </c>
      <c r="G51" s="6">
        <f>IFERROR(__xludf.DUMMYFUNCTION("""COMPUTED_VALUE"""),1.0)</f>
        <v>1</v>
      </c>
      <c r="H51" s="6">
        <f>IFERROR(__xludf.DUMMYFUNCTION("""COMPUTED_VALUE"""),0.0)</f>
        <v>0</v>
      </c>
      <c r="I51" s="6">
        <f>IFERROR(__xludf.DUMMYFUNCTION("""COMPUTED_VALUE"""),1.0)</f>
        <v>1</v>
      </c>
      <c r="J51" s="6">
        <f>IFERROR(__xludf.DUMMYFUNCTION("""COMPUTED_VALUE"""),0.0)</f>
        <v>0</v>
      </c>
      <c r="K51" s="6">
        <f>IFERROR(__xludf.DUMMYFUNCTION("""COMPUTED_VALUE"""),0.0)</f>
        <v>0</v>
      </c>
      <c r="L51" s="6">
        <f>IFERROR(__xludf.DUMMYFUNCTION("""COMPUTED_VALUE"""),0.0)</f>
        <v>0</v>
      </c>
      <c r="M51" s="6">
        <f>IFERROR(__xludf.DUMMYFUNCTION("""COMPUTED_VALUE"""),1.0)</f>
        <v>1</v>
      </c>
      <c r="N51" s="6">
        <f>IFERROR(__xludf.DUMMYFUNCTION("""COMPUTED_VALUE"""),0.0)</f>
        <v>0</v>
      </c>
      <c r="O51" s="6">
        <f>IFERROR(__xludf.DUMMYFUNCTION("""COMPUTED_VALUE"""),1.0)</f>
        <v>1</v>
      </c>
      <c r="P51" s="6">
        <f>IFERROR(__xludf.DUMMYFUNCTION("""COMPUTED_VALUE"""),0.0)</f>
        <v>0</v>
      </c>
      <c r="Q51" s="6">
        <f>IFERROR(__xludf.DUMMYFUNCTION("""COMPUTED_VALUE"""),0.0)</f>
        <v>0</v>
      </c>
      <c r="R51" s="6">
        <f>IFERROR(__xludf.DUMMYFUNCTION("""COMPUTED_VALUE"""),0.0)</f>
        <v>0</v>
      </c>
      <c r="S51" s="6">
        <f>IFERROR(__xludf.DUMMYFUNCTION("""COMPUTED_VALUE"""),0.0)</f>
        <v>0</v>
      </c>
      <c r="T51" s="6">
        <f>IFERROR(__xludf.DUMMYFUNCTION("""COMPUTED_VALUE"""),0.0)</f>
        <v>0</v>
      </c>
      <c r="U51" s="6">
        <f>IFERROR(__xludf.DUMMYFUNCTION("""COMPUTED_VALUE"""),0.0)</f>
        <v>0</v>
      </c>
      <c r="V51" s="4">
        <f t="shared" ref="V51:X51" si="50">SUM(D51, G51, J51, M51, P51, S51)</f>
        <v>3</v>
      </c>
      <c r="W51" s="4">
        <f t="shared" si="50"/>
        <v>0</v>
      </c>
      <c r="X51" s="4">
        <f t="shared" si="50"/>
        <v>3</v>
      </c>
    </row>
    <row r="52">
      <c r="A52" s="4" t="str">
        <f>IFERROR(__xludf.DUMMYFUNCTION("""COMPUTED_VALUE"""),"Школа 508")</f>
        <v>Школа 508</v>
      </c>
      <c r="B52" s="4" t="str">
        <f t="array" ref="B52">IFERROR(INDEX('Адреса школ'!F:F, MATCH(A52, 'Адреса школ'!E:E, 0)), "")</f>
        <v>55.600501, 37.655616</v>
      </c>
      <c r="C52" s="5" t="str">
        <f t="array" ref="C52">IFERROR(INDEX('Топ-400'!A:A, MATCH(A52, 'Топ-400'!E:E, 0)), "Вне рейтинга")</f>
        <v>162</v>
      </c>
      <c r="D52" s="6">
        <f>IFERROR(__xludf.DUMMYFUNCTION("""COMPUTED_VALUE"""),0.0)</f>
        <v>0</v>
      </c>
      <c r="E52" s="6">
        <f>IFERROR(__xludf.DUMMYFUNCTION("""COMPUTED_VALUE"""),0.0)</f>
        <v>0</v>
      </c>
      <c r="F52" s="6">
        <f>IFERROR(__xludf.DUMMYFUNCTION("""COMPUTED_VALUE"""),0.0)</f>
        <v>0</v>
      </c>
      <c r="G52" s="6">
        <f>IFERROR(__xludf.DUMMYFUNCTION("""COMPUTED_VALUE"""),0.0)</f>
        <v>0</v>
      </c>
      <c r="H52" s="6">
        <f>IFERROR(__xludf.DUMMYFUNCTION("""COMPUTED_VALUE"""),0.0)</f>
        <v>0</v>
      </c>
      <c r="I52" s="6">
        <f>IFERROR(__xludf.DUMMYFUNCTION("""COMPUTED_VALUE"""),0.0)</f>
        <v>0</v>
      </c>
      <c r="J52" s="6">
        <f>IFERROR(__xludf.DUMMYFUNCTION("""COMPUTED_VALUE"""),1.0)</f>
        <v>1</v>
      </c>
      <c r="K52" s="6">
        <f>IFERROR(__xludf.DUMMYFUNCTION("""COMPUTED_VALUE"""),0.0)</f>
        <v>0</v>
      </c>
      <c r="L52" s="6">
        <f>IFERROR(__xludf.DUMMYFUNCTION("""COMPUTED_VALUE"""),1.0)</f>
        <v>1</v>
      </c>
      <c r="M52" s="6">
        <f>IFERROR(__xludf.DUMMYFUNCTION("""COMPUTED_VALUE"""),1.0)</f>
        <v>1</v>
      </c>
      <c r="N52" s="6">
        <f>IFERROR(__xludf.DUMMYFUNCTION("""COMPUTED_VALUE"""),0.0)</f>
        <v>0</v>
      </c>
      <c r="O52" s="6">
        <f>IFERROR(__xludf.DUMMYFUNCTION("""COMPUTED_VALUE"""),1.0)</f>
        <v>1</v>
      </c>
      <c r="P52" s="6">
        <f>IFERROR(__xludf.DUMMYFUNCTION("""COMPUTED_VALUE"""),0.0)</f>
        <v>0</v>
      </c>
      <c r="Q52" s="6">
        <f>IFERROR(__xludf.DUMMYFUNCTION("""COMPUTED_VALUE"""),0.0)</f>
        <v>0</v>
      </c>
      <c r="R52" s="6">
        <f>IFERROR(__xludf.DUMMYFUNCTION("""COMPUTED_VALUE"""),0.0)</f>
        <v>0</v>
      </c>
      <c r="S52" s="6">
        <f>IFERROR(__xludf.DUMMYFUNCTION("""COMPUTED_VALUE"""),0.0)</f>
        <v>0</v>
      </c>
      <c r="T52" s="6">
        <f>IFERROR(__xludf.DUMMYFUNCTION("""COMPUTED_VALUE"""),0.0)</f>
        <v>0</v>
      </c>
      <c r="U52" s="6">
        <f>IFERROR(__xludf.DUMMYFUNCTION("""COMPUTED_VALUE"""),0.0)</f>
        <v>0</v>
      </c>
      <c r="V52" s="4">
        <f t="shared" ref="V52:X52" si="51">SUM(D52, G52, J52, M52, P52, S52)</f>
        <v>2</v>
      </c>
      <c r="W52" s="4">
        <f t="shared" si="51"/>
        <v>0</v>
      </c>
      <c r="X52" s="4">
        <f t="shared" si="51"/>
        <v>2</v>
      </c>
    </row>
    <row r="53">
      <c r="A53" s="4" t="str">
        <f>IFERROR(__xludf.DUMMYFUNCTION("""COMPUTED_VALUE"""),"Школа 534")</f>
        <v>Школа 534</v>
      </c>
      <c r="B53" s="4" t="str">
        <f t="array" ref="B53">IFERROR(INDEX('Адреса школ'!F:F, MATCH(A53, 'Адреса школ'!E:E, 0)), "")</f>
        <v>55.62388, 37.734138</v>
      </c>
      <c r="C53" s="5" t="str">
        <f t="array" ref="C53">IFERROR(INDEX('Топ-400'!A:A, MATCH(A53, 'Топ-400'!E:E, 0)), "Вне рейтинга")</f>
        <v>Вне рейтинга</v>
      </c>
      <c r="D53" s="6">
        <f>IFERROR(__xludf.DUMMYFUNCTION("""COMPUTED_VALUE"""),0.0)</f>
        <v>0</v>
      </c>
      <c r="E53" s="6">
        <f>IFERROR(__xludf.DUMMYFUNCTION("""COMPUTED_VALUE"""),0.0)</f>
        <v>0</v>
      </c>
      <c r="F53" s="6">
        <f>IFERROR(__xludf.DUMMYFUNCTION("""COMPUTED_VALUE"""),0.0)</f>
        <v>0</v>
      </c>
      <c r="G53" s="6">
        <f>IFERROR(__xludf.DUMMYFUNCTION("""COMPUTED_VALUE"""),0.0)</f>
        <v>0</v>
      </c>
      <c r="H53" s="6">
        <f>IFERROR(__xludf.DUMMYFUNCTION("""COMPUTED_VALUE"""),0.0)</f>
        <v>0</v>
      </c>
      <c r="I53" s="6">
        <f>IFERROR(__xludf.DUMMYFUNCTION("""COMPUTED_VALUE"""),0.0)</f>
        <v>0</v>
      </c>
      <c r="J53" s="6">
        <f>IFERROR(__xludf.DUMMYFUNCTION("""COMPUTED_VALUE"""),0.0)</f>
        <v>0</v>
      </c>
      <c r="K53" s="6">
        <f>IFERROR(__xludf.DUMMYFUNCTION("""COMPUTED_VALUE"""),0.0)</f>
        <v>0</v>
      </c>
      <c r="L53" s="6">
        <f>IFERROR(__xludf.DUMMYFUNCTION("""COMPUTED_VALUE"""),1.0)</f>
        <v>1</v>
      </c>
      <c r="M53" s="6">
        <f>IFERROR(__xludf.DUMMYFUNCTION("""COMPUTED_VALUE"""),0.0)</f>
        <v>0</v>
      </c>
      <c r="N53" s="6">
        <f>IFERROR(__xludf.DUMMYFUNCTION("""COMPUTED_VALUE"""),0.0)</f>
        <v>0</v>
      </c>
      <c r="O53" s="6">
        <f>IFERROR(__xludf.DUMMYFUNCTION("""COMPUTED_VALUE"""),0.0)</f>
        <v>0</v>
      </c>
      <c r="P53" s="6">
        <f>IFERROR(__xludf.DUMMYFUNCTION("""COMPUTED_VALUE"""),0.0)</f>
        <v>0</v>
      </c>
      <c r="Q53" s="6">
        <f>IFERROR(__xludf.DUMMYFUNCTION("""COMPUTED_VALUE"""),0.0)</f>
        <v>0</v>
      </c>
      <c r="R53" s="6">
        <f>IFERROR(__xludf.DUMMYFUNCTION("""COMPUTED_VALUE"""),0.0)</f>
        <v>0</v>
      </c>
      <c r="S53" s="6">
        <f>IFERROR(__xludf.DUMMYFUNCTION("""COMPUTED_VALUE"""),0.0)</f>
        <v>0</v>
      </c>
      <c r="T53" s="6">
        <f>IFERROR(__xludf.DUMMYFUNCTION("""COMPUTED_VALUE"""),0.0)</f>
        <v>0</v>
      </c>
      <c r="U53" s="6">
        <f>IFERROR(__xludf.DUMMYFUNCTION("""COMPUTED_VALUE"""),0.0)</f>
        <v>0</v>
      </c>
      <c r="V53" s="4">
        <f t="shared" ref="V53:X53" si="52">SUM(D53, G53, J53, M53, P53, S53)</f>
        <v>0</v>
      </c>
      <c r="W53" s="4">
        <f t="shared" si="52"/>
        <v>0</v>
      </c>
      <c r="X53" s="4">
        <f t="shared" si="52"/>
        <v>1</v>
      </c>
    </row>
    <row r="54">
      <c r="A54" s="4" t="str">
        <f>IFERROR(__xludf.DUMMYFUNCTION("""COMPUTED_VALUE"""),"Школа 544")</f>
        <v>Школа 544</v>
      </c>
      <c r="B54" s="4" t="str">
        <f t="array" ref="B54">IFERROR(INDEX('Адреса школ'!F:F, MATCH(A54, 'Адреса школ'!E:E, 0)), "")</f>
        <v>55.606761, 37.714815</v>
      </c>
      <c r="C54" s="5" t="str">
        <f t="array" ref="C54">IFERROR(INDEX('Топ-400'!A:A, MATCH(A54, 'Топ-400'!E:E, 0)), "Вне рейтинга")</f>
        <v>169</v>
      </c>
      <c r="D54" s="6">
        <f>IFERROR(__xludf.DUMMYFUNCTION("""COMPUTED_VALUE"""),1.0)</f>
        <v>1</v>
      </c>
      <c r="E54" s="6">
        <f>IFERROR(__xludf.DUMMYFUNCTION("""COMPUTED_VALUE"""),0.0)</f>
        <v>0</v>
      </c>
      <c r="F54" s="6">
        <f>IFERROR(__xludf.DUMMYFUNCTION("""COMPUTED_VALUE"""),1.0)</f>
        <v>1</v>
      </c>
      <c r="G54" s="6">
        <f>IFERROR(__xludf.DUMMYFUNCTION("""COMPUTED_VALUE"""),1.0)</f>
        <v>1</v>
      </c>
      <c r="H54" s="6">
        <f>IFERROR(__xludf.DUMMYFUNCTION("""COMPUTED_VALUE"""),1.0)</f>
        <v>1</v>
      </c>
      <c r="I54" s="6">
        <f>IFERROR(__xludf.DUMMYFUNCTION("""COMPUTED_VALUE"""),1.0)</f>
        <v>1</v>
      </c>
      <c r="J54" s="6">
        <f>IFERROR(__xludf.DUMMYFUNCTION("""COMPUTED_VALUE"""),1.0)</f>
        <v>1</v>
      </c>
      <c r="K54" s="6">
        <f>IFERROR(__xludf.DUMMYFUNCTION("""COMPUTED_VALUE"""),1.0)</f>
        <v>1</v>
      </c>
      <c r="L54" s="6">
        <f>IFERROR(__xludf.DUMMYFUNCTION("""COMPUTED_VALUE"""),1.0)</f>
        <v>1</v>
      </c>
      <c r="M54" s="6">
        <f>IFERROR(__xludf.DUMMYFUNCTION("""COMPUTED_VALUE"""),1.0)</f>
        <v>1</v>
      </c>
      <c r="N54" s="6">
        <f>IFERROR(__xludf.DUMMYFUNCTION("""COMPUTED_VALUE"""),0.0)</f>
        <v>0</v>
      </c>
      <c r="O54" s="6">
        <f>IFERROR(__xludf.DUMMYFUNCTION("""COMPUTED_VALUE"""),1.0)</f>
        <v>1</v>
      </c>
      <c r="P54" s="6">
        <f>IFERROR(__xludf.DUMMYFUNCTION("""COMPUTED_VALUE"""),1.0)</f>
        <v>1</v>
      </c>
      <c r="Q54" s="6">
        <f>IFERROR(__xludf.DUMMYFUNCTION("""COMPUTED_VALUE"""),1.0)</f>
        <v>1</v>
      </c>
      <c r="R54" s="6">
        <f>IFERROR(__xludf.DUMMYFUNCTION("""COMPUTED_VALUE"""),1.0)</f>
        <v>1</v>
      </c>
      <c r="S54" s="6">
        <f>IFERROR(__xludf.DUMMYFUNCTION("""COMPUTED_VALUE"""),0.0)</f>
        <v>0</v>
      </c>
      <c r="T54" s="6">
        <f>IFERROR(__xludf.DUMMYFUNCTION("""COMPUTED_VALUE"""),0.0)</f>
        <v>0</v>
      </c>
      <c r="U54" s="6">
        <f>IFERROR(__xludf.DUMMYFUNCTION("""COMPUTED_VALUE"""),0.0)</f>
        <v>0</v>
      </c>
      <c r="V54" s="4">
        <f t="shared" ref="V54:X54" si="53">SUM(D54, G54, J54, M54, P54, S54)</f>
        <v>5</v>
      </c>
      <c r="W54" s="4">
        <f t="shared" si="53"/>
        <v>3</v>
      </c>
      <c r="X54" s="4">
        <f t="shared" si="53"/>
        <v>5</v>
      </c>
    </row>
    <row r="55">
      <c r="A55" s="4" t="str">
        <f>IFERROR(__xludf.DUMMYFUNCTION("""COMPUTED_VALUE"""),"Школа 547")</f>
        <v>Школа 547</v>
      </c>
      <c r="B55" s="4" t="str">
        <f t="array" ref="B55">IFERROR(INDEX('Адреса школ'!F:F, MATCH(A55, 'Адреса школ'!E:E, 0)), "")</f>
        <v>55.708917, 37.61971</v>
      </c>
      <c r="C55" s="5" t="str">
        <f t="array" ref="C55">IFERROR(INDEX('Топ-400'!A:A, MATCH(A55, 'Топ-400'!E:E, 0)), "Вне рейтинга")</f>
        <v>245</v>
      </c>
      <c r="D55" s="6">
        <f>IFERROR(__xludf.DUMMYFUNCTION("""COMPUTED_VALUE"""),0.0)</f>
        <v>0</v>
      </c>
      <c r="E55" s="6">
        <f>IFERROR(__xludf.DUMMYFUNCTION("""COMPUTED_VALUE"""),0.0)</f>
        <v>0</v>
      </c>
      <c r="F55" s="6">
        <f>IFERROR(__xludf.DUMMYFUNCTION("""COMPUTED_VALUE"""),1.0)</f>
        <v>1</v>
      </c>
      <c r="G55" s="6">
        <f>IFERROR(__xludf.DUMMYFUNCTION("""COMPUTED_VALUE"""),0.0)</f>
        <v>0</v>
      </c>
      <c r="H55" s="6">
        <f>IFERROR(__xludf.DUMMYFUNCTION("""COMPUTED_VALUE"""),0.0)</f>
        <v>0</v>
      </c>
      <c r="I55" s="6">
        <f>IFERROR(__xludf.DUMMYFUNCTION("""COMPUTED_VALUE"""),0.0)</f>
        <v>0</v>
      </c>
      <c r="J55" s="6">
        <f>IFERROR(__xludf.DUMMYFUNCTION("""COMPUTED_VALUE"""),0.0)</f>
        <v>0</v>
      </c>
      <c r="K55" s="6">
        <f>IFERROR(__xludf.DUMMYFUNCTION("""COMPUTED_VALUE"""),0.0)</f>
        <v>0</v>
      </c>
      <c r="L55" s="6">
        <f>IFERROR(__xludf.DUMMYFUNCTION("""COMPUTED_VALUE"""),0.0)</f>
        <v>0</v>
      </c>
      <c r="M55" s="6">
        <f>IFERROR(__xludf.DUMMYFUNCTION("""COMPUTED_VALUE"""),0.0)</f>
        <v>0</v>
      </c>
      <c r="N55" s="6">
        <f>IFERROR(__xludf.DUMMYFUNCTION("""COMPUTED_VALUE"""),0.0)</f>
        <v>0</v>
      </c>
      <c r="O55" s="6">
        <f>IFERROR(__xludf.DUMMYFUNCTION("""COMPUTED_VALUE"""),1.0)</f>
        <v>1</v>
      </c>
      <c r="P55" s="6">
        <f>IFERROR(__xludf.DUMMYFUNCTION("""COMPUTED_VALUE"""),0.0)</f>
        <v>0</v>
      </c>
      <c r="Q55" s="6">
        <f>IFERROR(__xludf.DUMMYFUNCTION("""COMPUTED_VALUE"""),0.0)</f>
        <v>0</v>
      </c>
      <c r="R55" s="6">
        <f>IFERROR(__xludf.DUMMYFUNCTION("""COMPUTED_VALUE"""),0.0)</f>
        <v>0</v>
      </c>
      <c r="S55" s="6">
        <f>IFERROR(__xludf.DUMMYFUNCTION("""COMPUTED_VALUE"""),0.0)</f>
        <v>0</v>
      </c>
      <c r="T55" s="6">
        <f>IFERROR(__xludf.DUMMYFUNCTION("""COMPUTED_VALUE"""),0.0)</f>
        <v>0</v>
      </c>
      <c r="U55" s="6">
        <f>IFERROR(__xludf.DUMMYFUNCTION("""COMPUTED_VALUE"""),0.0)</f>
        <v>0</v>
      </c>
      <c r="V55" s="4">
        <f t="shared" ref="V55:X55" si="54">SUM(D55, G55, J55, M55, P55, S55)</f>
        <v>0</v>
      </c>
      <c r="W55" s="4">
        <f t="shared" si="54"/>
        <v>0</v>
      </c>
      <c r="X55" s="4">
        <f t="shared" si="54"/>
        <v>2</v>
      </c>
    </row>
    <row r="56">
      <c r="A56" s="4" t="str">
        <f>IFERROR(__xludf.DUMMYFUNCTION("""COMPUTED_VALUE"""),"Школа 548")</f>
        <v>Школа 548</v>
      </c>
      <c r="B56" s="4" t="str">
        <f t="array" ref="B56">IFERROR(INDEX('Адреса школ'!F:F, MATCH(A56, 'Адреса школ'!E:E, 0)), "")</f>
        <v>55.601747, 37.717115</v>
      </c>
      <c r="C56" s="5" t="str">
        <f t="array" ref="C56">IFERROR(INDEX('Топ-400'!A:A, MATCH(A56, 'Топ-400'!E:E, 0)), "Вне рейтинга")</f>
        <v>20</v>
      </c>
      <c r="D56" s="6">
        <f>IFERROR(__xludf.DUMMYFUNCTION("""COMPUTED_VALUE"""),1.0)</f>
        <v>1</v>
      </c>
      <c r="E56" s="6">
        <f>IFERROR(__xludf.DUMMYFUNCTION("""COMPUTED_VALUE"""),1.0)</f>
        <v>1</v>
      </c>
      <c r="F56" s="6">
        <f>IFERROR(__xludf.DUMMYFUNCTION("""COMPUTED_VALUE"""),1.0)</f>
        <v>1</v>
      </c>
      <c r="G56" s="6">
        <f>IFERROR(__xludf.DUMMYFUNCTION("""COMPUTED_VALUE"""),1.0)</f>
        <v>1</v>
      </c>
      <c r="H56" s="6">
        <f>IFERROR(__xludf.DUMMYFUNCTION("""COMPUTED_VALUE"""),1.0)</f>
        <v>1</v>
      </c>
      <c r="I56" s="6">
        <f>IFERROR(__xludf.DUMMYFUNCTION("""COMPUTED_VALUE"""),1.0)</f>
        <v>1</v>
      </c>
      <c r="J56" s="6">
        <f>IFERROR(__xludf.DUMMYFUNCTION("""COMPUTED_VALUE"""),1.0)</f>
        <v>1</v>
      </c>
      <c r="K56" s="6">
        <f>IFERROR(__xludf.DUMMYFUNCTION("""COMPUTED_VALUE"""),1.0)</f>
        <v>1</v>
      </c>
      <c r="L56" s="6">
        <f>IFERROR(__xludf.DUMMYFUNCTION("""COMPUTED_VALUE"""),1.0)</f>
        <v>1</v>
      </c>
      <c r="M56" s="6">
        <f>IFERROR(__xludf.DUMMYFUNCTION("""COMPUTED_VALUE"""),0.0)</f>
        <v>0</v>
      </c>
      <c r="N56" s="6">
        <f>IFERROR(__xludf.DUMMYFUNCTION("""COMPUTED_VALUE"""),0.0)</f>
        <v>0</v>
      </c>
      <c r="O56" s="6">
        <f>IFERROR(__xludf.DUMMYFUNCTION("""COMPUTED_VALUE"""),0.0)</f>
        <v>0</v>
      </c>
      <c r="P56" s="6">
        <f>IFERROR(__xludf.DUMMYFUNCTION("""COMPUTED_VALUE"""),0.0)</f>
        <v>0</v>
      </c>
      <c r="Q56" s="6">
        <f>IFERROR(__xludf.DUMMYFUNCTION("""COMPUTED_VALUE"""),0.0)</f>
        <v>0</v>
      </c>
      <c r="R56" s="6">
        <f>IFERROR(__xludf.DUMMYFUNCTION("""COMPUTED_VALUE"""),0.0)</f>
        <v>0</v>
      </c>
      <c r="S56" s="6">
        <f>IFERROR(__xludf.DUMMYFUNCTION("""COMPUTED_VALUE"""),0.0)</f>
        <v>0</v>
      </c>
      <c r="T56" s="6">
        <f>IFERROR(__xludf.DUMMYFUNCTION("""COMPUTED_VALUE"""),0.0)</f>
        <v>0</v>
      </c>
      <c r="U56" s="6">
        <f>IFERROR(__xludf.DUMMYFUNCTION("""COMPUTED_VALUE"""),0.0)</f>
        <v>0</v>
      </c>
      <c r="V56" s="4">
        <f t="shared" ref="V56:X56" si="55">SUM(D56, G56, J56, M56, P56, S56)</f>
        <v>3</v>
      </c>
      <c r="W56" s="4">
        <f t="shared" si="55"/>
        <v>3</v>
      </c>
      <c r="X56" s="4">
        <f t="shared" si="55"/>
        <v>3</v>
      </c>
    </row>
    <row r="57">
      <c r="A57" s="4" t="str">
        <f>IFERROR(__xludf.DUMMYFUNCTION("""COMPUTED_VALUE"""),"Школа 554")</f>
        <v>Школа 554</v>
      </c>
      <c r="B57" s="4" t="str">
        <f t="array" ref="B57">IFERROR(INDEX('Адреса школ'!F:F, MATCH(A57, 'Адреса школ'!E:E, 0)), "")</f>
        <v>55.656941, 37.580265</v>
      </c>
      <c r="C57" s="5" t="str">
        <f t="array" ref="C57">IFERROR(INDEX('Топ-400'!A:A, MATCH(A57, 'Топ-400'!E:E, 0)), "Вне рейтинга")</f>
        <v>Вне рейтинга</v>
      </c>
      <c r="D57" s="6">
        <f>IFERROR(__xludf.DUMMYFUNCTION("""COMPUTED_VALUE"""),0.0)</f>
        <v>0</v>
      </c>
      <c r="E57" s="6">
        <f>IFERROR(__xludf.DUMMYFUNCTION("""COMPUTED_VALUE"""),0.0)</f>
        <v>0</v>
      </c>
      <c r="F57" s="6">
        <f>IFERROR(__xludf.DUMMYFUNCTION("""COMPUTED_VALUE"""),0.0)</f>
        <v>0</v>
      </c>
      <c r="G57" s="6">
        <f>IFERROR(__xludf.DUMMYFUNCTION("""COMPUTED_VALUE"""),0.0)</f>
        <v>0</v>
      </c>
      <c r="H57" s="6">
        <f>IFERROR(__xludf.DUMMYFUNCTION("""COMPUTED_VALUE"""),0.0)</f>
        <v>0</v>
      </c>
      <c r="I57" s="6">
        <f>IFERROR(__xludf.DUMMYFUNCTION("""COMPUTED_VALUE"""),0.0)</f>
        <v>0</v>
      </c>
      <c r="J57" s="6">
        <f>IFERROR(__xludf.DUMMYFUNCTION("""COMPUTED_VALUE"""),0.0)</f>
        <v>0</v>
      </c>
      <c r="K57" s="6">
        <f>IFERROR(__xludf.DUMMYFUNCTION("""COMPUTED_VALUE"""),0.0)</f>
        <v>0</v>
      </c>
      <c r="L57" s="6">
        <f>IFERROR(__xludf.DUMMYFUNCTION("""COMPUTED_VALUE"""),0.0)</f>
        <v>0</v>
      </c>
      <c r="M57" s="6">
        <f>IFERROR(__xludf.DUMMYFUNCTION("""COMPUTED_VALUE"""),1.0)</f>
        <v>1</v>
      </c>
      <c r="N57" s="6">
        <f>IFERROR(__xludf.DUMMYFUNCTION("""COMPUTED_VALUE"""),0.0)</f>
        <v>0</v>
      </c>
      <c r="O57" s="6">
        <f>IFERROR(__xludf.DUMMYFUNCTION("""COMPUTED_VALUE"""),1.0)</f>
        <v>1</v>
      </c>
      <c r="P57" s="6">
        <f>IFERROR(__xludf.DUMMYFUNCTION("""COMPUTED_VALUE"""),0.0)</f>
        <v>0</v>
      </c>
      <c r="Q57" s="6">
        <f>IFERROR(__xludf.DUMMYFUNCTION("""COMPUTED_VALUE"""),0.0)</f>
        <v>0</v>
      </c>
      <c r="R57" s="6">
        <f>IFERROR(__xludf.DUMMYFUNCTION("""COMPUTED_VALUE"""),0.0)</f>
        <v>0</v>
      </c>
      <c r="S57" s="6">
        <f>IFERROR(__xludf.DUMMYFUNCTION("""COMPUTED_VALUE"""),0.0)</f>
        <v>0</v>
      </c>
      <c r="T57" s="6">
        <f>IFERROR(__xludf.DUMMYFUNCTION("""COMPUTED_VALUE"""),0.0)</f>
        <v>0</v>
      </c>
      <c r="U57" s="6">
        <f>IFERROR(__xludf.DUMMYFUNCTION("""COMPUTED_VALUE"""),0.0)</f>
        <v>0</v>
      </c>
      <c r="V57" s="4">
        <f t="shared" ref="V57:X57" si="56">SUM(D57, G57, J57, M57, P57, S57)</f>
        <v>1</v>
      </c>
      <c r="W57" s="4">
        <f t="shared" si="56"/>
        <v>0</v>
      </c>
      <c r="X57" s="4">
        <f t="shared" si="56"/>
        <v>1</v>
      </c>
    </row>
    <row r="58">
      <c r="A58" s="4" t="str">
        <f>IFERROR(__xludf.DUMMYFUNCTION("""COMPUTED_VALUE"""),"Школа 556")</f>
        <v>Школа 556</v>
      </c>
      <c r="B58" s="4" t="str">
        <f t="array" ref="B58">IFERROR(INDEX('Адреса школ'!F:F, MATCH(A58, 'Адреса школ'!E:E, 0)), "")</f>
        <v>55.616778, 37.585377</v>
      </c>
      <c r="C58" s="5" t="str">
        <f t="array" ref="C58">IFERROR(INDEX('Топ-400'!A:A, MATCH(A58, 'Топ-400'!E:E, 0)), "Вне рейтинга")</f>
        <v>399</v>
      </c>
      <c r="D58" s="6">
        <f>IFERROR(__xludf.DUMMYFUNCTION("""COMPUTED_VALUE"""),1.0)</f>
        <v>1</v>
      </c>
      <c r="E58" s="6">
        <f>IFERROR(__xludf.DUMMYFUNCTION("""COMPUTED_VALUE"""),0.0)</f>
        <v>0</v>
      </c>
      <c r="F58" s="6">
        <f>IFERROR(__xludf.DUMMYFUNCTION("""COMPUTED_VALUE"""),0.0)</f>
        <v>0</v>
      </c>
      <c r="G58" s="6">
        <f>IFERROR(__xludf.DUMMYFUNCTION("""COMPUTED_VALUE"""),1.0)</f>
        <v>1</v>
      </c>
      <c r="H58" s="6">
        <f>IFERROR(__xludf.DUMMYFUNCTION("""COMPUTED_VALUE"""),0.0)</f>
        <v>0</v>
      </c>
      <c r="I58" s="6">
        <f>IFERROR(__xludf.DUMMYFUNCTION("""COMPUTED_VALUE"""),0.0)</f>
        <v>0</v>
      </c>
      <c r="J58" s="6">
        <f>IFERROR(__xludf.DUMMYFUNCTION("""COMPUTED_VALUE"""),1.0)</f>
        <v>1</v>
      </c>
      <c r="K58" s="6">
        <f>IFERROR(__xludf.DUMMYFUNCTION("""COMPUTED_VALUE"""),0.0)</f>
        <v>0</v>
      </c>
      <c r="L58" s="6">
        <f>IFERROR(__xludf.DUMMYFUNCTION("""COMPUTED_VALUE"""),0.0)</f>
        <v>0</v>
      </c>
      <c r="M58" s="6">
        <f>IFERROR(__xludf.DUMMYFUNCTION("""COMPUTED_VALUE"""),1.0)</f>
        <v>1</v>
      </c>
      <c r="N58" s="6">
        <f>IFERROR(__xludf.DUMMYFUNCTION("""COMPUTED_VALUE"""),0.0)</f>
        <v>0</v>
      </c>
      <c r="O58" s="6">
        <f>IFERROR(__xludf.DUMMYFUNCTION("""COMPUTED_VALUE"""),1.0)</f>
        <v>1</v>
      </c>
      <c r="P58" s="6">
        <f>IFERROR(__xludf.DUMMYFUNCTION("""COMPUTED_VALUE"""),0.0)</f>
        <v>0</v>
      </c>
      <c r="Q58" s="6">
        <f>IFERROR(__xludf.DUMMYFUNCTION("""COMPUTED_VALUE"""),0.0)</f>
        <v>0</v>
      </c>
      <c r="R58" s="6">
        <f>IFERROR(__xludf.DUMMYFUNCTION("""COMPUTED_VALUE"""),0.0)</f>
        <v>0</v>
      </c>
      <c r="S58" s="6">
        <f>IFERROR(__xludf.DUMMYFUNCTION("""COMPUTED_VALUE"""),0.0)</f>
        <v>0</v>
      </c>
      <c r="T58" s="6">
        <f>IFERROR(__xludf.DUMMYFUNCTION("""COMPUTED_VALUE"""),0.0)</f>
        <v>0</v>
      </c>
      <c r="U58" s="6">
        <f>IFERROR(__xludf.DUMMYFUNCTION("""COMPUTED_VALUE"""),0.0)</f>
        <v>0</v>
      </c>
      <c r="V58" s="4">
        <f t="shared" ref="V58:X58" si="57">SUM(D58, G58, J58, M58, P58, S58)</f>
        <v>4</v>
      </c>
      <c r="W58" s="4">
        <f t="shared" si="57"/>
        <v>0</v>
      </c>
      <c r="X58" s="4">
        <f t="shared" si="57"/>
        <v>1</v>
      </c>
    </row>
    <row r="59">
      <c r="A59" s="4" t="str">
        <f>IFERROR(__xludf.DUMMYFUNCTION("""COMPUTED_VALUE"""),"Школа 597")</f>
        <v>Школа 597</v>
      </c>
      <c r="B59" s="4" t="str">
        <f t="array" ref="B59">IFERROR(INDEX('Адреса школ'!F:F, MATCH(A59, 'Адреса школ'!E:E, 0)), "")</f>
        <v>55.866132, 37.489814</v>
      </c>
      <c r="C59" s="5" t="str">
        <f t="array" ref="C59">IFERROR(INDEX('Топ-400'!A:A, MATCH(A59, 'Топ-400'!E:E, 0)), "Вне рейтинга")</f>
        <v>101</v>
      </c>
      <c r="D59" s="6">
        <f>IFERROR(__xludf.DUMMYFUNCTION("""COMPUTED_VALUE"""),1.0)</f>
        <v>1</v>
      </c>
      <c r="E59" s="6">
        <f>IFERROR(__xludf.DUMMYFUNCTION("""COMPUTED_VALUE"""),1.0)</f>
        <v>1</v>
      </c>
      <c r="F59" s="6">
        <f>IFERROR(__xludf.DUMMYFUNCTION("""COMPUTED_VALUE"""),1.0)</f>
        <v>1</v>
      </c>
      <c r="G59" s="6">
        <f>IFERROR(__xludf.DUMMYFUNCTION("""COMPUTED_VALUE"""),0.0)</f>
        <v>0</v>
      </c>
      <c r="H59" s="6">
        <f>IFERROR(__xludf.DUMMYFUNCTION("""COMPUTED_VALUE"""),0.0)</f>
        <v>0</v>
      </c>
      <c r="I59" s="6">
        <f>IFERROR(__xludf.DUMMYFUNCTION("""COMPUTED_VALUE"""),0.0)</f>
        <v>0</v>
      </c>
      <c r="J59" s="6">
        <f>IFERROR(__xludf.DUMMYFUNCTION("""COMPUTED_VALUE"""),0.0)</f>
        <v>0</v>
      </c>
      <c r="K59" s="6">
        <f>IFERROR(__xludf.DUMMYFUNCTION("""COMPUTED_VALUE"""),0.0)</f>
        <v>0</v>
      </c>
      <c r="L59" s="6">
        <f>IFERROR(__xludf.DUMMYFUNCTION("""COMPUTED_VALUE"""),0.0)</f>
        <v>0</v>
      </c>
      <c r="M59" s="6">
        <f>IFERROR(__xludf.DUMMYFUNCTION("""COMPUTED_VALUE"""),0.0)</f>
        <v>0</v>
      </c>
      <c r="N59" s="6">
        <f>IFERROR(__xludf.DUMMYFUNCTION("""COMPUTED_VALUE"""),0.0)</f>
        <v>0</v>
      </c>
      <c r="O59" s="6">
        <f>IFERROR(__xludf.DUMMYFUNCTION("""COMPUTED_VALUE"""),0.0)</f>
        <v>0</v>
      </c>
      <c r="P59" s="6">
        <f>IFERROR(__xludf.DUMMYFUNCTION("""COMPUTED_VALUE"""),0.0)</f>
        <v>0</v>
      </c>
      <c r="Q59" s="6">
        <f>IFERROR(__xludf.DUMMYFUNCTION("""COMPUTED_VALUE"""),0.0)</f>
        <v>0</v>
      </c>
      <c r="R59" s="6">
        <f>IFERROR(__xludf.DUMMYFUNCTION("""COMPUTED_VALUE"""),0.0)</f>
        <v>0</v>
      </c>
      <c r="S59" s="6">
        <f>IFERROR(__xludf.DUMMYFUNCTION("""COMPUTED_VALUE"""),0.0)</f>
        <v>0</v>
      </c>
      <c r="T59" s="6">
        <f>IFERROR(__xludf.DUMMYFUNCTION("""COMPUTED_VALUE"""),0.0)</f>
        <v>0</v>
      </c>
      <c r="U59" s="6">
        <f>IFERROR(__xludf.DUMMYFUNCTION("""COMPUTED_VALUE"""),0.0)</f>
        <v>0</v>
      </c>
      <c r="V59" s="4">
        <f t="shared" ref="V59:X59" si="58">SUM(D59, G59, J59, M59, P59, S59)</f>
        <v>1</v>
      </c>
      <c r="W59" s="4">
        <f t="shared" si="58"/>
        <v>1</v>
      </c>
      <c r="X59" s="4">
        <f t="shared" si="58"/>
        <v>1</v>
      </c>
    </row>
    <row r="60">
      <c r="A60" s="4" t="str">
        <f>IFERROR(__xludf.DUMMYFUNCTION("""COMPUTED_VALUE"""),"Школа 609")</f>
        <v>Школа 609</v>
      </c>
      <c r="B60" s="4" t="str">
        <f t="array" ref="B60">IFERROR(INDEX('Адреса школ'!F:F, MATCH(A60, 'Адреса школ'!E:E, 0)), "")</f>
        <v>55.99799, 37.22093</v>
      </c>
      <c r="C60" s="5" t="str">
        <f t="array" ref="C60">IFERROR(INDEX('Топ-400'!A:A, MATCH(A60, 'Топ-400'!E:E, 0)), "Вне рейтинга")</f>
        <v>Вне рейтинга</v>
      </c>
      <c r="D60" s="6">
        <f>IFERROR(__xludf.DUMMYFUNCTION("""COMPUTED_VALUE"""),0.0)</f>
        <v>0</v>
      </c>
      <c r="E60" s="6">
        <f>IFERROR(__xludf.DUMMYFUNCTION("""COMPUTED_VALUE"""),0.0)</f>
        <v>0</v>
      </c>
      <c r="F60" s="6">
        <f>IFERROR(__xludf.DUMMYFUNCTION("""COMPUTED_VALUE"""),0.0)</f>
        <v>0</v>
      </c>
      <c r="G60" s="6">
        <f>IFERROR(__xludf.DUMMYFUNCTION("""COMPUTED_VALUE"""),0.0)</f>
        <v>0</v>
      </c>
      <c r="H60" s="6">
        <f>IFERROR(__xludf.DUMMYFUNCTION("""COMPUTED_VALUE"""),0.0)</f>
        <v>0</v>
      </c>
      <c r="I60" s="6">
        <f>IFERROR(__xludf.DUMMYFUNCTION("""COMPUTED_VALUE"""),0.0)</f>
        <v>0</v>
      </c>
      <c r="J60" s="6">
        <f>IFERROR(__xludf.DUMMYFUNCTION("""COMPUTED_VALUE"""),0.0)</f>
        <v>0</v>
      </c>
      <c r="K60" s="6">
        <f>IFERROR(__xludf.DUMMYFUNCTION("""COMPUTED_VALUE"""),1.0)</f>
        <v>1</v>
      </c>
      <c r="L60" s="6">
        <f>IFERROR(__xludf.DUMMYFUNCTION("""COMPUTED_VALUE"""),1.0)</f>
        <v>1</v>
      </c>
      <c r="M60" s="6">
        <f>IFERROR(__xludf.DUMMYFUNCTION("""COMPUTED_VALUE"""),0.0)</f>
        <v>0</v>
      </c>
      <c r="N60" s="6">
        <f>IFERROR(__xludf.DUMMYFUNCTION("""COMPUTED_VALUE"""),0.0)</f>
        <v>0</v>
      </c>
      <c r="O60" s="6">
        <f>IFERROR(__xludf.DUMMYFUNCTION("""COMPUTED_VALUE"""),0.0)</f>
        <v>0</v>
      </c>
      <c r="P60" s="6">
        <f>IFERROR(__xludf.DUMMYFUNCTION("""COMPUTED_VALUE"""),0.0)</f>
        <v>0</v>
      </c>
      <c r="Q60" s="6">
        <f>IFERROR(__xludf.DUMMYFUNCTION("""COMPUTED_VALUE"""),0.0)</f>
        <v>0</v>
      </c>
      <c r="R60" s="6">
        <f>IFERROR(__xludf.DUMMYFUNCTION("""COMPUTED_VALUE"""),0.0)</f>
        <v>0</v>
      </c>
      <c r="S60" s="6">
        <f>IFERROR(__xludf.DUMMYFUNCTION("""COMPUTED_VALUE"""),0.0)</f>
        <v>0</v>
      </c>
      <c r="T60" s="6">
        <f>IFERROR(__xludf.DUMMYFUNCTION("""COMPUTED_VALUE"""),0.0)</f>
        <v>0</v>
      </c>
      <c r="U60" s="6">
        <f>IFERROR(__xludf.DUMMYFUNCTION("""COMPUTED_VALUE"""),0.0)</f>
        <v>0</v>
      </c>
      <c r="V60" s="4">
        <f t="shared" ref="V60:X60" si="59">SUM(D60, G60, J60, M60, P60, S60)</f>
        <v>0</v>
      </c>
      <c r="W60" s="4">
        <f t="shared" si="59"/>
        <v>1</v>
      </c>
      <c r="X60" s="4">
        <f t="shared" si="59"/>
        <v>1</v>
      </c>
    </row>
    <row r="61">
      <c r="A61" s="4" t="str">
        <f>IFERROR(__xludf.DUMMYFUNCTION("""COMPUTED_VALUE"""),"Школа 618")</f>
        <v>Школа 618</v>
      </c>
      <c r="B61" s="4" t="str">
        <f t="array" ref="B61">IFERROR(INDEX('Адреса школ'!F:F, MATCH(A61, 'Адреса школ'!E:E, 0)), "")</f>
        <v>55.993882, 37.207653</v>
      </c>
      <c r="C61" s="5" t="str">
        <f t="array" ref="C61">IFERROR(INDEX('Топ-400'!A:A, MATCH(A61, 'Топ-400'!E:E, 0)), "Вне рейтинга")</f>
        <v>242</v>
      </c>
      <c r="D61" s="6">
        <f>IFERROR(__xludf.DUMMYFUNCTION("""COMPUTED_VALUE"""),1.0)</f>
        <v>1</v>
      </c>
      <c r="E61" s="6">
        <f>IFERROR(__xludf.DUMMYFUNCTION("""COMPUTED_VALUE"""),1.0)</f>
        <v>1</v>
      </c>
      <c r="F61" s="6">
        <f>IFERROR(__xludf.DUMMYFUNCTION("""COMPUTED_VALUE"""),1.0)</f>
        <v>1</v>
      </c>
      <c r="G61" s="6">
        <f>IFERROR(__xludf.DUMMYFUNCTION("""COMPUTED_VALUE"""),0.0)</f>
        <v>0</v>
      </c>
      <c r="H61" s="6">
        <f>IFERROR(__xludf.DUMMYFUNCTION("""COMPUTED_VALUE"""),1.0)</f>
        <v>1</v>
      </c>
      <c r="I61" s="6">
        <f>IFERROR(__xludf.DUMMYFUNCTION("""COMPUTED_VALUE"""),1.0)</f>
        <v>1</v>
      </c>
      <c r="J61" s="6">
        <f>IFERROR(__xludf.DUMMYFUNCTION("""COMPUTED_VALUE"""),0.0)</f>
        <v>0</v>
      </c>
      <c r="K61" s="6">
        <f>IFERROR(__xludf.DUMMYFUNCTION("""COMPUTED_VALUE"""),0.0)</f>
        <v>0</v>
      </c>
      <c r="L61" s="6">
        <f>IFERROR(__xludf.DUMMYFUNCTION("""COMPUTED_VALUE"""),0.0)</f>
        <v>0</v>
      </c>
      <c r="M61" s="6">
        <f>IFERROR(__xludf.DUMMYFUNCTION("""COMPUTED_VALUE"""),0.0)</f>
        <v>0</v>
      </c>
      <c r="N61" s="6">
        <f>IFERROR(__xludf.DUMMYFUNCTION("""COMPUTED_VALUE"""),0.0)</f>
        <v>0</v>
      </c>
      <c r="O61" s="6">
        <f>IFERROR(__xludf.DUMMYFUNCTION("""COMPUTED_VALUE"""),0.0)</f>
        <v>0</v>
      </c>
      <c r="P61" s="6">
        <f>IFERROR(__xludf.DUMMYFUNCTION("""COMPUTED_VALUE"""),0.0)</f>
        <v>0</v>
      </c>
      <c r="Q61" s="6">
        <f>IFERROR(__xludf.DUMMYFUNCTION("""COMPUTED_VALUE"""),0.0)</f>
        <v>0</v>
      </c>
      <c r="R61" s="6">
        <f>IFERROR(__xludf.DUMMYFUNCTION("""COMPUTED_VALUE"""),0.0)</f>
        <v>0</v>
      </c>
      <c r="S61" s="6">
        <f>IFERROR(__xludf.DUMMYFUNCTION("""COMPUTED_VALUE"""),0.0)</f>
        <v>0</v>
      </c>
      <c r="T61" s="6">
        <f>IFERROR(__xludf.DUMMYFUNCTION("""COMPUTED_VALUE"""),0.0)</f>
        <v>0</v>
      </c>
      <c r="U61" s="6">
        <f>IFERROR(__xludf.DUMMYFUNCTION("""COMPUTED_VALUE"""),0.0)</f>
        <v>0</v>
      </c>
      <c r="V61" s="4">
        <f t="shared" ref="V61:X61" si="60">SUM(D61, G61, J61, M61, P61, S61)</f>
        <v>1</v>
      </c>
      <c r="W61" s="4">
        <f t="shared" si="60"/>
        <v>2</v>
      </c>
      <c r="X61" s="4">
        <f t="shared" si="60"/>
        <v>2</v>
      </c>
    </row>
    <row r="62">
      <c r="A62" s="4" t="str">
        <f>IFERROR(__xludf.DUMMYFUNCTION("""COMPUTED_VALUE"""),"Школа 625")</f>
        <v>Школа 625</v>
      </c>
      <c r="B62" s="4" t="str">
        <f t="array" ref="B62">IFERROR(INDEX('Адреса школ'!F:F, MATCH(A62, 'Адреса школ'!E:E, 0)), "")</f>
        <v>55.691983, 37.593075</v>
      </c>
      <c r="C62" s="5" t="str">
        <f t="array" ref="C62">IFERROR(INDEX('Топ-400'!A:A, MATCH(A62, 'Топ-400'!E:E, 0)), "Вне рейтинга")</f>
        <v>151</v>
      </c>
      <c r="D62" s="6">
        <f>IFERROR(__xludf.DUMMYFUNCTION("""COMPUTED_VALUE"""),0.0)</f>
        <v>0</v>
      </c>
      <c r="E62" s="6">
        <f>IFERROR(__xludf.DUMMYFUNCTION("""COMPUTED_VALUE"""),0.0)</f>
        <v>0</v>
      </c>
      <c r="F62" s="6">
        <f>IFERROR(__xludf.DUMMYFUNCTION("""COMPUTED_VALUE"""),0.0)</f>
        <v>0</v>
      </c>
      <c r="G62" s="6">
        <f>IFERROR(__xludf.DUMMYFUNCTION("""COMPUTED_VALUE"""),0.0)</f>
        <v>0</v>
      </c>
      <c r="H62" s="6">
        <f>IFERROR(__xludf.DUMMYFUNCTION("""COMPUTED_VALUE"""),0.0)</f>
        <v>0</v>
      </c>
      <c r="I62" s="6">
        <f>IFERROR(__xludf.DUMMYFUNCTION("""COMPUTED_VALUE"""),0.0)</f>
        <v>0</v>
      </c>
      <c r="J62" s="6">
        <f>IFERROR(__xludf.DUMMYFUNCTION("""COMPUTED_VALUE"""),0.0)</f>
        <v>0</v>
      </c>
      <c r="K62" s="6">
        <f>IFERROR(__xludf.DUMMYFUNCTION("""COMPUTED_VALUE"""),0.0)</f>
        <v>0</v>
      </c>
      <c r="L62" s="6">
        <f>IFERROR(__xludf.DUMMYFUNCTION("""COMPUTED_VALUE"""),0.0)</f>
        <v>0</v>
      </c>
      <c r="M62" s="6">
        <f>IFERROR(__xludf.DUMMYFUNCTION("""COMPUTED_VALUE"""),0.0)</f>
        <v>0</v>
      </c>
      <c r="N62" s="6">
        <f>IFERROR(__xludf.DUMMYFUNCTION("""COMPUTED_VALUE"""),0.0)</f>
        <v>0</v>
      </c>
      <c r="O62" s="6">
        <f>IFERROR(__xludf.DUMMYFUNCTION("""COMPUTED_VALUE"""),0.0)</f>
        <v>0</v>
      </c>
      <c r="P62" s="6">
        <f>IFERROR(__xludf.DUMMYFUNCTION("""COMPUTED_VALUE"""),1.0)</f>
        <v>1</v>
      </c>
      <c r="Q62" s="6">
        <f>IFERROR(__xludf.DUMMYFUNCTION("""COMPUTED_VALUE"""),1.0)</f>
        <v>1</v>
      </c>
      <c r="R62" s="6">
        <f>IFERROR(__xludf.DUMMYFUNCTION("""COMPUTED_VALUE"""),1.0)</f>
        <v>1</v>
      </c>
      <c r="S62" s="6">
        <f>IFERROR(__xludf.DUMMYFUNCTION("""COMPUTED_VALUE"""),0.0)</f>
        <v>0</v>
      </c>
      <c r="T62" s="6">
        <f>IFERROR(__xludf.DUMMYFUNCTION("""COMPUTED_VALUE"""),0.0)</f>
        <v>0</v>
      </c>
      <c r="U62" s="6">
        <f>IFERROR(__xludf.DUMMYFUNCTION("""COMPUTED_VALUE"""),0.0)</f>
        <v>0</v>
      </c>
      <c r="V62" s="4">
        <f t="shared" ref="V62:X62" si="61">SUM(D62, G62, J62, M62, P62, S62)</f>
        <v>1</v>
      </c>
      <c r="W62" s="4">
        <f t="shared" si="61"/>
        <v>1</v>
      </c>
      <c r="X62" s="4">
        <f t="shared" si="61"/>
        <v>1</v>
      </c>
    </row>
    <row r="63">
      <c r="A63" s="4" t="str">
        <f>IFERROR(__xludf.DUMMYFUNCTION("""COMPUTED_VALUE"""),"Школа 626")</f>
        <v>Школа 626</v>
      </c>
      <c r="B63" s="4" t="str">
        <f t="array" ref="B63">IFERROR(INDEX('Адреса школ'!F:F, MATCH(A63, 'Адреса школ'!E:E, 0)), "")</f>
        <v>55.67157, 37.590057</v>
      </c>
      <c r="C63" s="5" t="str">
        <f t="array" ref="C63">IFERROR(INDEX('Топ-400'!A:A, MATCH(A63, 'Топ-400'!E:E, 0)), "Вне рейтинга")</f>
        <v>207</v>
      </c>
      <c r="D63" s="6">
        <f>IFERROR(__xludf.DUMMYFUNCTION("""COMPUTED_VALUE"""),0.0)</f>
        <v>0</v>
      </c>
      <c r="E63" s="6">
        <f>IFERROR(__xludf.DUMMYFUNCTION("""COMPUTED_VALUE"""),0.0)</f>
        <v>0</v>
      </c>
      <c r="F63" s="6">
        <f>IFERROR(__xludf.DUMMYFUNCTION("""COMPUTED_VALUE"""),0.0)</f>
        <v>0</v>
      </c>
      <c r="G63" s="6">
        <f>IFERROR(__xludf.DUMMYFUNCTION("""COMPUTED_VALUE"""),0.0)</f>
        <v>0</v>
      </c>
      <c r="H63" s="6">
        <f>IFERROR(__xludf.DUMMYFUNCTION("""COMPUTED_VALUE"""),0.0)</f>
        <v>0</v>
      </c>
      <c r="I63" s="6">
        <f>IFERROR(__xludf.DUMMYFUNCTION("""COMPUTED_VALUE"""),0.0)</f>
        <v>0</v>
      </c>
      <c r="J63" s="6">
        <f>IFERROR(__xludf.DUMMYFUNCTION("""COMPUTED_VALUE"""),1.0)</f>
        <v>1</v>
      </c>
      <c r="K63" s="6">
        <f>IFERROR(__xludf.DUMMYFUNCTION("""COMPUTED_VALUE"""),0.0)</f>
        <v>0</v>
      </c>
      <c r="L63" s="6">
        <f>IFERROR(__xludf.DUMMYFUNCTION("""COMPUTED_VALUE"""),0.0)</f>
        <v>0</v>
      </c>
      <c r="M63" s="6">
        <f>IFERROR(__xludf.DUMMYFUNCTION("""COMPUTED_VALUE"""),1.0)</f>
        <v>1</v>
      </c>
      <c r="N63" s="6">
        <f>IFERROR(__xludf.DUMMYFUNCTION("""COMPUTED_VALUE"""),0.0)</f>
        <v>0</v>
      </c>
      <c r="O63" s="6">
        <f>IFERROR(__xludf.DUMMYFUNCTION("""COMPUTED_VALUE"""),0.0)</f>
        <v>0</v>
      </c>
      <c r="P63" s="6">
        <f>IFERROR(__xludf.DUMMYFUNCTION("""COMPUTED_VALUE"""),1.0)</f>
        <v>1</v>
      </c>
      <c r="Q63" s="6">
        <f>IFERROR(__xludf.DUMMYFUNCTION("""COMPUTED_VALUE"""),0.0)</f>
        <v>0</v>
      </c>
      <c r="R63" s="6">
        <f>IFERROR(__xludf.DUMMYFUNCTION("""COMPUTED_VALUE"""),0.0)</f>
        <v>0</v>
      </c>
      <c r="S63" s="6">
        <f>IFERROR(__xludf.DUMMYFUNCTION("""COMPUTED_VALUE"""),0.0)</f>
        <v>0</v>
      </c>
      <c r="T63" s="6">
        <f>IFERROR(__xludf.DUMMYFUNCTION("""COMPUTED_VALUE"""),0.0)</f>
        <v>0</v>
      </c>
      <c r="U63" s="6">
        <f>IFERROR(__xludf.DUMMYFUNCTION("""COMPUTED_VALUE"""),0.0)</f>
        <v>0</v>
      </c>
      <c r="V63" s="4">
        <f t="shared" ref="V63:X63" si="62">SUM(D63, G63, J63, M63, P63, S63)</f>
        <v>3</v>
      </c>
      <c r="W63" s="4">
        <f t="shared" si="62"/>
        <v>0</v>
      </c>
      <c r="X63" s="4">
        <f t="shared" si="62"/>
        <v>0</v>
      </c>
    </row>
    <row r="64">
      <c r="A64" s="4" t="str">
        <f>IFERROR(__xludf.DUMMYFUNCTION("""COMPUTED_VALUE"""),"Школа 627")</f>
        <v>Школа 627</v>
      </c>
      <c r="B64" s="4" t="str">
        <f t="array" ref="B64">IFERROR(INDEX('Адреса школ'!F:F, MATCH(A64, 'Адреса школ'!E:E, 0)), "")</f>
        <v>55.724489, 37.635072</v>
      </c>
      <c r="C64" s="5" t="str">
        <f t="array" ref="C64">IFERROR(INDEX('Топ-400'!A:A, MATCH(A64, 'Топ-400'!E:E, 0)), "Вне рейтинга")</f>
        <v>125</v>
      </c>
      <c r="D64" s="6">
        <f>IFERROR(__xludf.DUMMYFUNCTION("""COMPUTED_VALUE"""),1.0)</f>
        <v>1</v>
      </c>
      <c r="E64" s="6">
        <f>IFERROR(__xludf.DUMMYFUNCTION("""COMPUTED_VALUE"""),0.0)</f>
        <v>0</v>
      </c>
      <c r="F64" s="6">
        <f>IFERROR(__xludf.DUMMYFUNCTION("""COMPUTED_VALUE"""),1.0)</f>
        <v>1</v>
      </c>
      <c r="G64" s="6">
        <f>IFERROR(__xludf.DUMMYFUNCTION("""COMPUTED_VALUE"""),1.0)</f>
        <v>1</v>
      </c>
      <c r="H64" s="6">
        <f>IFERROR(__xludf.DUMMYFUNCTION("""COMPUTED_VALUE"""),0.0)</f>
        <v>0</v>
      </c>
      <c r="I64" s="6">
        <f>IFERROR(__xludf.DUMMYFUNCTION("""COMPUTED_VALUE"""),1.0)</f>
        <v>1</v>
      </c>
      <c r="J64" s="6">
        <f>IFERROR(__xludf.DUMMYFUNCTION("""COMPUTED_VALUE"""),1.0)</f>
        <v>1</v>
      </c>
      <c r="K64" s="6">
        <f>IFERROR(__xludf.DUMMYFUNCTION("""COMPUTED_VALUE"""),0.0)</f>
        <v>0</v>
      </c>
      <c r="L64" s="6">
        <f>IFERROR(__xludf.DUMMYFUNCTION("""COMPUTED_VALUE"""),1.0)</f>
        <v>1</v>
      </c>
      <c r="M64" s="6">
        <f>IFERROR(__xludf.DUMMYFUNCTION("""COMPUTED_VALUE"""),1.0)</f>
        <v>1</v>
      </c>
      <c r="N64" s="6">
        <f>IFERROR(__xludf.DUMMYFUNCTION("""COMPUTED_VALUE"""),1.0)</f>
        <v>1</v>
      </c>
      <c r="O64" s="6">
        <f>IFERROR(__xludf.DUMMYFUNCTION("""COMPUTED_VALUE"""),1.0)</f>
        <v>1</v>
      </c>
      <c r="P64" s="6">
        <f>IFERROR(__xludf.DUMMYFUNCTION("""COMPUTED_VALUE"""),1.0)</f>
        <v>1</v>
      </c>
      <c r="Q64" s="6">
        <f>IFERROR(__xludf.DUMMYFUNCTION("""COMPUTED_VALUE"""),1.0)</f>
        <v>1</v>
      </c>
      <c r="R64" s="6">
        <f>IFERROR(__xludf.DUMMYFUNCTION("""COMPUTED_VALUE"""),1.0)</f>
        <v>1</v>
      </c>
      <c r="S64" s="6">
        <f>IFERROR(__xludf.DUMMYFUNCTION("""COMPUTED_VALUE"""),0.0)</f>
        <v>0</v>
      </c>
      <c r="T64" s="6">
        <f>IFERROR(__xludf.DUMMYFUNCTION("""COMPUTED_VALUE"""),0.0)</f>
        <v>0</v>
      </c>
      <c r="U64" s="6">
        <f>IFERROR(__xludf.DUMMYFUNCTION("""COMPUTED_VALUE"""),0.0)</f>
        <v>0</v>
      </c>
      <c r="V64" s="4">
        <f t="shared" ref="V64:X64" si="63">SUM(D64, G64, J64, M64, P64, S64)</f>
        <v>5</v>
      </c>
      <c r="W64" s="4">
        <f t="shared" si="63"/>
        <v>2</v>
      </c>
      <c r="X64" s="4">
        <f t="shared" si="63"/>
        <v>5</v>
      </c>
    </row>
    <row r="65">
      <c r="A65" s="4" t="str">
        <f>IFERROR(__xludf.DUMMYFUNCTION("""COMPUTED_VALUE"""),"Школа 629")</f>
        <v>Школа 629</v>
      </c>
      <c r="B65" s="4" t="str">
        <f t="array" ref="B65">IFERROR(INDEX('Адреса школ'!F:F, MATCH(A65, 'Адреса школ'!E:E, 0)), "")</f>
        <v>55.587687, 37.595168</v>
      </c>
      <c r="C65" s="5" t="str">
        <f t="array" ref="C65">IFERROR(INDEX('Топ-400'!A:A, MATCH(A65, 'Топ-400'!E:E, 0)), "Вне рейтинга")</f>
        <v>220</v>
      </c>
      <c r="D65" s="6">
        <f>IFERROR(__xludf.DUMMYFUNCTION("""COMPUTED_VALUE"""),1.0)</f>
        <v>1</v>
      </c>
      <c r="E65" s="6">
        <f>IFERROR(__xludf.DUMMYFUNCTION("""COMPUTED_VALUE"""),0.0)</f>
        <v>0</v>
      </c>
      <c r="F65" s="6">
        <f>IFERROR(__xludf.DUMMYFUNCTION("""COMPUTED_VALUE"""),1.0)</f>
        <v>1</v>
      </c>
      <c r="G65" s="6">
        <f>IFERROR(__xludf.DUMMYFUNCTION("""COMPUTED_VALUE"""),0.0)</f>
        <v>0</v>
      </c>
      <c r="H65" s="6">
        <f>IFERROR(__xludf.DUMMYFUNCTION("""COMPUTED_VALUE"""),0.0)</f>
        <v>0</v>
      </c>
      <c r="I65" s="6">
        <f>IFERROR(__xludf.DUMMYFUNCTION("""COMPUTED_VALUE"""),0.0)</f>
        <v>0</v>
      </c>
      <c r="J65" s="6">
        <f>IFERROR(__xludf.DUMMYFUNCTION("""COMPUTED_VALUE"""),0.0)</f>
        <v>0</v>
      </c>
      <c r="K65" s="6">
        <f>IFERROR(__xludf.DUMMYFUNCTION("""COMPUTED_VALUE"""),0.0)</f>
        <v>0</v>
      </c>
      <c r="L65" s="6">
        <f>IFERROR(__xludf.DUMMYFUNCTION("""COMPUTED_VALUE"""),0.0)</f>
        <v>0</v>
      </c>
      <c r="M65" s="6">
        <f>IFERROR(__xludf.DUMMYFUNCTION("""COMPUTED_VALUE"""),0.0)</f>
        <v>0</v>
      </c>
      <c r="N65" s="6">
        <f>IFERROR(__xludf.DUMMYFUNCTION("""COMPUTED_VALUE"""),0.0)</f>
        <v>0</v>
      </c>
      <c r="O65" s="6">
        <f>IFERROR(__xludf.DUMMYFUNCTION("""COMPUTED_VALUE"""),0.0)</f>
        <v>0</v>
      </c>
      <c r="P65" s="6">
        <f>IFERROR(__xludf.DUMMYFUNCTION("""COMPUTED_VALUE"""),0.0)</f>
        <v>0</v>
      </c>
      <c r="Q65" s="6">
        <f>IFERROR(__xludf.DUMMYFUNCTION("""COMPUTED_VALUE"""),0.0)</f>
        <v>0</v>
      </c>
      <c r="R65" s="6">
        <f>IFERROR(__xludf.DUMMYFUNCTION("""COMPUTED_VALUE"""),0.0)</f>
        <v>0</v>
      </c>
      <c r="S65" s="6">
        <f>IFERROR(__xludf.DUMMYFUNCTION("""COMPUTED_VALUE"""),0.0)</f>
        <v>0</v>
      </c>
      <c r="T65" s="6">
        <f>IFERROR(__xludf.DUMMYFUNCTION("""COMPUTED_VALUE"""),0.0)</f>
        <v>0</v>
      </c>
      <c r="U65" s="6">
        <f>IFERROR(__xludf.DUMMYFUNCTION("""COMPUTED_VALUE"""),0.0)</f>
        <v>0</v>
      </c>
      <c r="V65" s="4">
        <f t="shared" ref="V65:X65" si="64">SUM(D65, G65, J65, M65, P65, S65)</f>
        <v>1</v>
      </c>
      <c r="W65" s="4">
        <f t="shared" si="64"/>
        <v>0</v>
      </c>
      <c r="X65" s="4">
        <f t="shared" si="64"/>
        <v>1</v>
      </c>
    </row>
    <row r="66">
      <c r="A66" s="4" t="str">
        <f>IFERROR(__xludf.DUMMYFUNCTION("""COMPUTED_VALUE"""),"Школа 630")</f>
        <v>Школа 630</v>
      </c>
      <c r="B66" s="4" t="str">
        <f t="array" ref="B66">IFERROR(INDEX('Адреса школ'!F:F, MATCH(A66, 'Адреса школ'!E:E, 0)), "")</f>
        <v>55.697199, 37.619665</v>
      </c>
      <c r="C66" s="5" t="str">
        <f t="array" ref="C66">IFERROR(INDEX('Топ-400'!A:A, MATCH(A66, 'Топ-400'!E:E, 0)), "Вне рейтинга")</f>
        <v>395</v>
      </c>
      <c r="D66" s="6">
        <f>IFERROR(__xludf.DUMMYFUNCTION("""COMPUTED_VALUE"""),0.0)</f>
        <v>0</v>
      </c>
      <c r="E66" s="6">
        <f>IFERROR(__xludf.DUMMYFUNCTION("""COMPUTED_VALUE"""),0.0)</f>
        <v>0</v>
      </c>
      <c r="F66" s="6">
        <f>IFERROR(__xludf.DUMMYFUNCTION("""COMPUTED_VALUE"""),0.0)</f>
        <v>0</v>
      </c>
      <c r="G66" s="6">
        <f>IFERROR(__xludf.DUMMYFUNCTION("""COMPUTED_VALUE"""),0.0)</f>
        <v>0</v>
      </c>
      <c r="H66" s="6">
        <f>IFERROR(__xludf.DUMMYFUNCTION("""COMPUTED_VALUE"""),0.0)</f>
        <v>0</v>
      </c>
      <c r="I66" s="6">
        <f>IFERROR(__xludf.DUMMYFUNCTION("""COMPUTED_VALUE"""),0.0)</f>
        <v>0</v>
      </c>
      <c r="J66" s="6">
        <f>IFERROR(__xludf.DUMMYFUNCTION("""COMPUTED_VALUE"""),1.0)</f>
        <v>1</v>
      </c>
      <c r="K66" s="6">
        <f>IFERROR(__xludf.DUMMYFUNCTION("""COMPUTED_VALUE"""),1.0)</f>
        <v>1</v>
      </c>
      <c r="L66" s="6">
        <f>IFERROR(__xludf.DUMMYFUNCTION("""COMPUTED_VALUE"""),1.0)</f>
        <v>1</v>
      </c>
      <c r="M66" s="6">
        <f>IFERROR(__xludf.DUMMYFUNCTION("""COMPUTED_VALUE"""),0.0)</f>
        <v>0</v>
      </c>
      <c r="N66" s="6">
        <f>IFERROR(__xludf.DUMMYFUNCTION("""COMPUTED_VALUE"""),0.0)</f>
        <v>0</v>
      </c>
      <c r="O66" s="6">
        <f>IFERROR(__xludf.DUMMYFUNCTION("""COMPUTED_VALUE"""),0.0)</f>
        <v>0</v>
      </c>
      <c r="P66" s="6">
        <f>IFERROR(__xludf.DUMMYFUNCTION("""COMPUTED_VALUE"""),1.0)</f>
        <v>1</v>
      </c>
      <c r="Q66" s="6">
        <f>IFERROR(__xludf.DUMMYFUNCTION("""COMPUTED_VALUE"""),1.0)</f>
        <v>1</v>
      </c>
      <c r="R66" s="6">
        <f>IFERROR(__xludf.DUMMYFUNCTION("""COMPUTED_VALUE"""),1.0)</f>
        <v>1</v>
      </c>
      <c r="S66" s="6">
        <f>IFERROR(__xludf.DUMMYFUNCTION("""COMPUTED_VALUE"""),0.0)</f>
        <v>0</v>
      </c>
      <c r="T66" s="6">
        <f>IFERROR(__xludf.DUMMYFUNCTION("""COMPUTED_VALUE"""),0.0)</f>
        <v>0</v>
      </c>
      <c r="U66" s="6">
        <f>IFERROR(__xludf.DUMMYFUNCTION("""COMPUTED_VALUE"""),0.0)</f>
        <v>0</v>
      </c>
      <c r="V66" s="4">
        <f t="shared" ref="V66:X66" si="65">SUM(D66, G66, J66, M66, P66, S66)</f>
        <v>2</v>
      </c>
      <c r="W66" s="4">
        <f t="shared" si="65"/>
        <v>2</v>
      </c>
      <c r="X66" s="4">
        <f t="shared" si="65"/>
        <v>2</v>
      </c>
    </row>
    <row r="67">
      <c r="A67" s="4" t="str">
        <f>IFERROR(__xludf.DUMMYFUNCTION("""COMPUTED_VALUE"""),"Школа 641")</f>
        <v>Школа 641</v>
      </c>
      <c r="B67" s="4" t="str">
        <f t="array" ref="B67">IFERROR(INDEX('Адреса школ'!F:F, MATCH(A67, 'Адреса школ'!E:E, 0)), "")</f>
        <v>55.704448, 37.756919</v>
      </c>
      <c r="C67" s="5" t="str">
        <f t="array" ref="C67">IFERROR(INDEX('Топ-400'!A:A, MATCH(A67, 'Топ-400'!E:E, 0)), "Вне рейтинга")</f>
        <v>371</v>
      </c>
      <c r="D67" s="6">
        <f>IFERROR(__xludf.DUMMYFUNCTION("""COMPUTED_VALUE"""),1.0)</f>
        <v>1</v>
      </c>
      <c r="E67" s="6">
        <f>IFERROR(__xludf.DUMMYFUNCTION("""COMPUTED_VALUE"""),1.0)</f>
        <v>1</v>
      </c>
      <c r="F67" s="6">
        <f>IFERROR(__xludf.DUMMYFUNCTION("""COMPUTED_VALUE"""),1.0)</f>
        <v>1</v>
      </c>
      <c r="G67" s="6">
        <f>IFERROR(__xludf.DUMMYFUNCTION("""COMPUTED_VALUE"""),1.0)</f>
        <v>1</v>
      </c>
      <c r="H67" s="6">
        <f>IFERROR(__xludf.DUMMYFUNCTION("""COMPUTED_VALUE"""),1.0)</f>
        <v>1</v>
      </c>
      <c r="I67" s="6">
        <f>IFERROR(__xludf.DUMMYFUNCTION("""COMPUTED_VALUE"""),1.0)</f>
        <v>1</v>
      </c>
      <c r="J67" s="6">
        <f>IFERROR(__xludf.DUMMYFUNCTION("""COMPUTED_VALUE"""),1.0)</f>
        <v>1</v>
      </c>
      <c r="K67" s="6">
        <f>IFERROR(__xludf.DUMMYFUNCTION("""COMPUTED_VALUE"""),0.0)</f>
        <v>0</v>
      </c>
      <c r="L67" s="6">
        <f>IFERROR(__xludf.DUMMYFUNCTION("""COMPUTED_VALUE"""),1.0)</f>
        <v>1</v>
      </c>
      <c r="M67" s="6">
        <f>IFERROR(__xludf.DUMMYFUNCTION("""COMPUTED_VALUE"""),1.0)</f>
        <v>1</v>
      </c>
      <c r="N67" s="6">
        <f>IFERROR(__xludf.DUMMYFUNCTION("""COMPUTED_VALUE"""),0.0)</f>
        <v>0</v>
      </c>
      <c r="O67" s="6">
        <f>IFERROR(__xludf.DUMMYFUNCTION("""COMPUTED_VALUE"""),0.0)</f>
        <v>0</v>
      </c>
      <c r="P67" s="6">
        <f>IFERROR(__xludf.DUMMYFUNCTION("""COMPUTED_VALUE"""),0.0)</f>
        <v>0</v>
      </c>
      <c r="Q67" s="6">
        <f>IFERROR(__xludf.DUMMYFUNCTION("""COMPUTED_VALUE"""),0.0)</f>
        <v>0</v>
      </c>
      <c r="R67" s="6">
        <f>IFERROR(__xludf.DUMMYFUNCTION("""COMPUTED_VALUE"""),0.0)</f>
        <v>0</v>
      </c>
      <c r="S67" s="6">
        <f>IFERROR(__xludf.DUMMYFUNCTION("""COMPUTED_VALUE"""),0.0)</f>
        <v>0</v>
      </c>
      <c r="T67" s="6">
        <f>IFERROR(__xludf.DUMMYFUNCTION("""COMPUTED_VALUE"""),0.0)</f>
        <v>0</v>
      </c>
      <c r="U67" s="6">
        <f>IFERROR(__xludf.DUMMYFUNCTION("""COMPUTED_VALUE"""),0.0)</f>
        <v>0</v>
      </c>
      <c r="V67" s="4">
        <f t="shared" ref="V67:X67" si="66">SUM(D67, G67, J67, M67, P67, S67)</f>
        <v>4</v>
      </c>
      <c r="W67" s="4">
        <f t="shared" si="66"/>
        <v>2</v>
      </c>
      <c r="X67" s="4">
        <f t="shared" si="66"/>
        <v>3</v>
      </c>
    </row>
    <row r="68">
      <c r="A68" s="4" t="str">
        <f>IFERROR(__xludf.DUMMYFUNCTION("""COMPUTED_VALUE"""),"Школа 648")</f>
        <v>Школа 648</v>
      </c>
      <c r="B68" s="4" t="str">
        <f t="array" ref="B68">IFERROR(INDEX('Адреса школ'!F:F, MATCH(A68, 'Адреса школ'!E:E, 0)), "")</f>
        <v>55.855133, 37.502705</v>
      </c>
      <c r="C68" s="5" t="str">
        <f t="array" ref="C68">IFERROR(INDEX('Топ-400'!A:A, MATCH(A68, 'Топ-400'!E:E, 0)), "Вне рейтинга")</f>
        <v>102</v>
      </c>
      <c r="D68" s="6">
        <f>IFERROR(__xludf.DUMMYFUNCTION("""COMPUTED_VALUE"""),1.0)</f>
        <v>1</v>
      </c>
      <c r="E68" s="6">
        <f>IFERROR(__xludf.DUMMYFUNCTION("""COMPUTED_VALUE"""),1.0)</f>
        <v>1</v>
      </c>
      <c r="F68" s="6">
        <f>IFERROR(__xludf.DUMMYFUNCTION("""COMPUTED_VALUE"""),1.0)</f>
        <v>1</v>
      </c>
      <c r="G68" s="6">
        <f>IFERROR(__xludf.DUMMYFUNCTION("""COMPUTED_VALUE"""),1.0)</f>
        <v>1</v>
      </c>
      <c r="H68" s="6">
        <f>IFERROR(__xludf.DUMMYFUNCTION("""COMPUTED_VALUE"""),0.0)</f>
        <v>0</v>
      </c>
      <c r="I68" s="6">
        <f>IFERROR(__xludf.DUMMYFUNCTION("""COMPUTED_VALUE"""),1.0)</f>
        <v>1</v>
      </c>
      <c r="J68" s="6">
        <f>IFERROR(__xludf.DUMMYFUNCTION("""COMPUTED_VALUE"""),0.0)</f>
        <v>0</v>
      </c>
      <c r="K68" s="6">
        <f>IFERROR(__xludf.DUMMYFUNCTION("""COMPUTED_VALUE"""),0.0)</f>
        <v>0</v>
      </c>
      <c r="L68" s="6">
        <f>IFERROR(__xludf.DUMMYFUNCTION("""COMPUTED_VALUE"""),0.0)</f>
        <v>0</v>
      </c>
      <c r="M68" s="6">
        <f>IFERROR(__xludf.DUMMYFUNCTION("""COMPUTED_VALUE"""),1.0)</f>
        <v>1</v>
      </c>
      <c r="N68" s="6">
        <f>IFERROR(__xludf.DUMMYFUNCTION("""COMPUTED_VALUE"""),0.0)</f>
        <v>0</v>
      </c>
      <c r="O68" s="6">
        <f>IFERROR(__xludf.DUMMYFUNCTION("""COMPUTED_VALUE"""),1.0)</f>
        <v>1</v>
      </c>
      <c r="P68" s="6">
        <f>IFERROR(__xludf.DUMMYFUNCTION("""COMPUTED_VALUE"""),0.0)</f>
        <v>0</v>
      </c>
      <c r="Q68" s="6">
        <f>IFERROR(__xludf.DUMMYFUNCTION("""COMPUTED_VALUE"""),0.0)</f>
        <v>0</v>
      </c>
      <c r="R68" s="6">
        <f>IFERROR(__xludf.DUMMYFUNCTION("""COMPUTED_VALUE"""),0.0)</f>
        <v>0</v>
      </c>
      <c r="S68" s="6">
        <f>IFERROR(__xludf.DUMMYFUNCTION("""COMPUTED_VALUE"""),0.0)</f>
        <v>0</v>
      </c>
      <c r="T68" s="6">
        <f>IFERROR(__xludf.DUMMYFUNCTION("""COMPUTED_VALUE"""),0.0)</f>
        <v>0</v>
      </c>
      <c r="U68" s="6">
        <f>IFERROR(__xludf.DUMMYFUNCTION("""COMPUTED_VALUE"""),0.0)</f>
        <v>0</v>
      </c>
      <c r="V68" s="4">
        <f t="shared" ref="V68:X68" si="67">SUM(D68, G68, J68, M68, P68, S68)</f>
        <v>3</v>
      </c>
      <c r="W68" s="4">
        <f t="shared" si="67"/>
        <v>1</v>
      </c>
      <c r="X68" s="4">
        <f t="shared" si="67"/>
        <v>3</v>
      </c>
    </row>
    <row r="69">
      <c r="A69" s="4" t="str">
        <f>IFERROR(__xludf.DUMMYFUNCTION("""COMPUTED_VALUE"""),"Школа 654")</f>
        <v>Школа 654</v>
      </c>
      <c r="B69" s="4" t="str">
        <f t="array" ref="B69">IFERROR(INDEX('Адреса школ'!F:F, MATCH(A69, 'Адреса школ'!E:E, 0)), "")</f>
        <v>55.700781, 37.744648</v>
      </c>
      <c r="C69" s="5" t="str">
        <f t="array" ref="C69">IFERROR(INDEX('Топ-400'!A:A, MATCH(A69, 'Топ-400'!E:E, 0)), "Вне рейтинга")</f>
        <v>149</v>
      </c>
      <c r="D69" s="6">
        <f>IFERROR(__xludf.DUMMYFUNCTION("""COMPUTED_VALUE"""),1.0)</f>
        <v>1</v>
      </c>
      <c r="E69" s="6">
        <f>IFERROR(__xludf.DUMMYFUNCTION("""COMPUTED_VALUE"""),1.0)</f>
        <v>1</v>
      </c>
      <c r="F69" s="6">
        <f>IFERROR(__xludf.DUMMYFUNCTION("""COMPUTED_VALUE"""),1.0)</f>
        <v>1</v>
      </c>
      <c r="G69" s="6">
        <f>IFERROR(__xludf.DUMMYFUNCTION("""COMPUTED_VALUE"""),0.0)</f>
        <v>0</v>
      </c>
      <c r="H69" s="6">
        <f>IFERROR(__xludf.DUMMYFUNCTION("""COMPUTED_VALUE"""),0.0)</f>
        <v>0</v>
      </c>
      <c r="I69" s="6">
        <f>IFERROR(__xludf.DUMMYFUNCTION("""COMPUTED_VALUE"""),0.0)</f>
        <v>0</v>
      </c>
      <c r="J69" s="6">
        <f>IFERROR(__xludf.DUMMYFUNCTION("""COMPUTED_VALUE"""),1.0)</f>
        <v>1</v>
      </c>
      <c r="K69" s="6">
        <f>IFERROR(__xludf.DUMMYFUNCTION("""COMPUTED_VALUE"""),1.0)</f>
        <v>1</v>
      </c>
      <c r="L69" s="6">
        <f>IFERROR(__xludf.DUMMYFUNCTION("""COMPUTED_VALUE"""),1.0)</f>
        <v>1</v>
      </c>
      <c r="M69" s="6">
        <f>IFERROR(__xludf.DUMMYFUNCTION("""COMPUTED_VALUE"""),1.0)</f>
        <v>1</v>
      </c>
      <c r="N69" s="6">
        <f>IFERROR(__xludf.DUMMYFUNCTION("""COMPUTED_VALUE"""),1.0)</f>
        <v>1</v>
      </c>
      <c r="O69" s="6">
        <f>IFERROR(__xludf.DUMMYFUNCTION("""COMPUTED_VALUE"""),1.0)</f>
        <v>1</v>
      </c>
      <c r="P69" s="6">
        <f>IFERROR(__xludf.DUMMYFUNCTION("""COMPUTED_VALUE"""),0.0)</f>
        <v>0</v>
      </c>
      <c r="Q69" s="6">
        <f>IFERROR(__xludf.DUMMYFUNCTION("""COMPUTED_VALUE"""),0.0)</f>
        <v>0</v>
      </c>
      <c r="R69" s="6">
        <f>IFERROR(__xludf.DUMMYFUNCTION("""COMPUTED_VALUE"""),0.0)</f>
        <v>0</v>
      </c>
      <c r="S69" s="6">
        <f>IFERROR(__xludf.DUMMYFUNCTION("""COMPUTED_VALUE"""),0.0)</f>
        <v>0</v>
      </c>
      <c r="T69" s="6">
        <f>IFERROR(__xludf.DUMMYFUNCTION("""COMPUTED_VALUE"""),0.0)</f>
        <v>0</v>
      </c>
      <c r="U69" s="6">
        <f>IFERROR(__xludf.DUMMYFUNCTION("""COMPUTED_VALUE"""),0.0)</f>
        <v>0</v>
      </c>
      <c r="V69" s="4">
        <f t="shared" ref="V69:X69" si="68">SUM(D69, G69, J69, M69, P69, S69)</f>
        <v>3</v>
      </c>
      <c r="W69" s="4">
        <f t="shared" si="68"/>
        <v>3</v>
      </c>
      <c r="X69" s="4">
        <f t="shared" si="68"/>
        <v>3</v>
      </c>
    </row>
    <row r="70">
      <c r="A70" s="4" t="str">
        <f>IFERROR(__xludf.DUMMYFUNCTION("""COMPUTED_VALUE"""),"Школа 656")</f>
        <v>Школа 656</v>
      </c>
      <c r="B70" s="4" t="str">
        <f t="array" ref="B70">IFERROR(INDEX('Адреса школ'!F:F, MATCH(A70, 'Адреса школ'!E:E, 0)), "")</f>
        <v>55.870804, 37.552804</v>
      </c>
      <c r="C70" s="5" t="str">
        <f t="array" ref="C70">IFERROR(INDEX('Топ-400'!A:A, MATCH(A70, 'Топ-400'!E:E, 0)), "Вне рейтинга")</f>
        <v>329</v>
      </c>
      <c r="D70" s="6">
        <f>IFERROR(__xludf.DUMMYFUNCTION("""COMPUTED_VALUE"""),0.0)</f>
        <v>0</v>
      </c>
      <c r="E70" s="6">
        <f>IFERROR(__xludf.DUMMYFUNCTION("""COMPUTED_VALUE"""),0.0)</f>
        <v>0</v>
      </c>
      <c r="F70" s="6">
        <f>IFERROR(__xludf.DUMMYFUNCTION("""COMPUTED_VALUE"""),0.0)</f>
        <v>0</v>
      </c>
      <c r="G70" s="6">
        <f>IFERROR(__xludf.DUMMYFUNCTION("""COMPUTED_VALUE"""),0.0)</f>
        <v>0</v>
      </c>
      <c r="H70" s="6">
        <f>IFERROR(__xludf.DUMMYFUNCTION("""COMPUTED_VALUE"""),0.0)</f>
        <v>0</v>
      </c>
      <c r="I70" s="6">
        <f>IFERROR(__xludf.DUMMYFUNCTION("""COMPUTED_VALUE"""),0.0)</f>
        <v>0</v>
      </c>
      <c r="J70" s="6">
        <f>IFERROR(__xludf.DUMMYFUNCTION("""COMPUTED_VALUE"""),0.0)</f>
        <v>0</v>
      </c>
      <c r="K70" s="6">
        <f>IFERROR(__xludf.DUMMYFUNCTION("""COMPUTED_VALUE"""),0.0)</f>
        <v>0</v>
      </c>
      <c r="L70" s="6">
        <f>IFERROR(__xludf.DUMMYFUNCTION("""COMPUTED_VALUE"""),0.0)</f>
        <v>0</v>
      </c>
      <c r="M70" s="6">
        <f>IFERROR(__xludf.DUMMYFUNCTION("""COMPUTED_VALUE"""),1.0)</f>
        <v>1</v>
      </c>
      <c r="N70" s="6">
        <f>IFERROR(__xludf.DUMMYFUNCTION("""COMPUTED_VALUE"""),1.0)</f>
        <v>1</v>
      </c>
      <c r="O70" s="6">
        <f>IFERROR(__xludf.DUMMYFUNCTION("""COMPUTED_VALUE"""),1.0)</f>
        <v>1</v>
      </c>
      <c r="P70" s="6">
        <f>IFERROR(__xludf.DUMMYFUNCTION("""COMPUTED_VALUE"""),0.0)</f>
        <v>0</v>
      </c>
      <c r="Q70" s="6">
        <f>IFERROR(__xludf.DUMMYFUNCTION("""COMPUTED_VALUE"""),0.0)</f>
        <v>0</v>
      </c>
      <c r="R70" s="6">
        <f>IFERROR(__xludf.DUMMYFUNCTION("""COMPUTED_VALUE"""),0.0)</f>
        <v>0</v>
      </c>
      <c r="S70" s="6">
        <f>IFERROR(__xludf.DUMMYFUNCTION("""COMPUTED_VALUE"""),0.0)</f>
        <v>0</v>
      </c>
      <c r="T70" s="6">
        <f>IFERROR(__xludf.DUMMYFUNCTION("""COMPUTED_VALUE"""),0.0)</f>
        <v>0</v>
      </c>
      <c r="U70" s="6">
        <f>IFERROR(__xludf.DUMMYFUNCTION("""COMPUTED_VALUE"""),0.0)</f>
        <v>0</v>
      </c>
      <c r="V70" s="4">
        <f t="shared" ref="V70:X70" si="69">SUM(D70, G70, J70, M70, P70, S70)</f>
        <v>1</v>
      </c>
      <c r="W70" s="4">
        <f t="shared" si="69"/>
        <v>1</v>
      </c>
      <c r="X70" s="4">
        <f t="shared" si="69"/>
        <v>1</v>
      </c>
    </row>
    <row r="71">
      <c r="A71" s="4" t="str">
        <f>IFERROR(__xludf.DUMMYFUNCTION("""COMPUTED_VALUE"""),"Школа 664")</f>
        <v>Школа 664</v>
      </c>
      <c r="B71" s="4" t="str">
        <f t="array" ref="B71">IFERROR(INDEX('Адреса школ'!F:F, MATCH(A71, 'Адреса школ'!E:E, 0)), "")</f>
        <v>55.819616, 37.866702</v>
      </c>
      <c r="C71" s="5" t="str">
        <f t="array" ref="C71">IFERROR(INDEX('Топ-400'!A:A, MATCH(A71, 'Топ-400'!E:E, 0)), "Вне рейтинга")</f>
        <v>Вне рейтинга</v>
      </c>
      <c r="D71" s="6">
        <f>IFERROR(__xludf.DUMMYFUNCTION("""COMPUTED_VALUE"""),0.0)</f>
        <v>0</v>
      </c>
      <c r="E71" s="6">
        <f>IFERROR(__xludf.DUMMYFUNCTION("""COMPUTED_VALUE"""),0.0)</f>
        <v>0</v>
      </c>
      <c r="F71" s="6">
        <f>IFERROR(__xludf.DUMMYFUNCTION("""COMPUTED_VALUE"""),0.0)</f>
        <v>0</v>
      </c>
      <c r="G71" s="6">
        <f>IFERROR(__xludf.DUMMYFUNCTION("""COMPUTED_VALUE"""),0.0)</f>
        <v>0</v>
      </c>
      <c r="H71" s="6">
        <f>IFERROR(__xludf.DUMMYFUNCTION("""COMPUTED_VALUE"""),0.0)</f>
        <v>0</v>
      </c>
      <c r="I71" s="6">
        <f>IFERROR(__xludf.DUMMYFUNCTION("""COMPUTED_VALUE"""),0.0)</f>
        <v>0</v>
      </c>
      <c r="J71" s="6">
        <f>IFERROR(__xludf.DUMMYFUNCTION("""COMPUTED_VALUE"""),0.0)</f>
        <v>0</v>
      </c>
      <c r="K71" s="6">
        <f>IFERROR(__xludf.DUMMYFUNCTION("""COMPUTED_VALUE"""),0.0)</f>
        <v>0</v>
      </c>
      <c r="L71" s="6">
        <f>IFERROR(__xludf.DUMMYFUNCTION("""COMPUTED_VALUE"""),0.0)</f>
        <v>0</v>
      </c>
      <c r="M71" s="6">
        <f>IFERROR(__xludf.DUMMYFUNCTION("""COMPUTED_VALUE"""),0.0)</f>
        <v>0</v>
      </c>
      <c r="N71" s="6">
        <f>IFERROR(__xludf.DUMMYFUNCTION("""COMPUTED_VALUE"""),0.0)</f>
        <v>0</v>
      </c>
      <c r="O71" s="6">
        <f>IFERROR(__xludf.DUMMYFUNCTION("""COMPUTED_VALUE"""),0.0)</f>
        <v>0</v>
      </c>
      <c r="P71" s="6">
        <f>IFERROR(__xludf.DUMMYFUNCTION("""COMPUTED_VALUE"""),1.0)</f>
        <v>1</v>
      </c>
      <c r="Q71" s="6">
        <f>IFERROR(__xludf.DUMMYFUNCTION("""COMPUTED_VALUE"""),0.0)</f>
        <v>0</v>
      </c>
      <c r="R71" s="6">
        <f>IFERROR(__xludf.DUMMYFUNCTION("""COMPUTED_VALUE"""),0.0)</f>
        <v>0</v>
      </c>
      <c r="S71" s="6">
        <f>IFERROR(__xludf.DUMMYFUNCTION("""COMPUTED_VALUE"""),0.0)</f>
        <v>0</v>
      </c>
      <c r="T71" s="6">
        <f>IFERROR(__xludf.DUMMYFUNCTION("""COMPUTED_VALUE"""),0.0)</f>
        <v>0</v>
      </c>
      <c r="U71" s="6">
        <f>IFERROR(__xludf.DUMMYFUNCTION("""COMPUTED_VALUE"""),0.0)</f>
        <v>0</v>
      </c>
      <c r="V71" s="4">
        <f t="shared" ref="V71:X71" si="70">SUM(D71, G71, J71, M71, P71, S71)</f>
        <v>1</v>
      </c>
      <c r="W71" s="4">
        <f t="shared" si="70"/>
        <v>0</v>
      </c>
      <c r="X71" s="4">
        <f t="shared" si="70"/>
        <v>0</v>
      </c>
    </row>
    <row r="72">
      <c r="A72" s="4" t="str">
        <f>IFERROR(__xludf.DUMMYFUNCTION("""COMPUTED_VALUE"""),"Школа 667")</f>
        <v>Школа 667</v>
      </c>
      <c r="B72" s="4" t="str">
        <f t="array" ref="B72">IFERROR(INDEX('Адреса школ'!F:F, MATCH(A72, 'Адреса школ'!E:E, 0)), "")</f>
        <v>55.577882, 37.645214</v>
      </c>
      <c r="C72" s="5" t="str">
        <f t="array" ref="C72">IFERROR(INDEX('Топ-400'!A:A, MATCH(A72, 'Топ-400'!E:E, 0)), "Вне рейтинга")</f>
        <v>294</v>
      </c>
      <c r="D72" s="6">
        <f>IFERROR(__xludf.DUMMYFUNCTION("""COMPUTED_VALUE"""),1.0)</f>
        <v>1</v>
      </c>
      <c r="E72" s="6">
        <f>IFERROR(__xludf.DUMMYFUNCTION("""COMPUTED_VALUE"""),1.0)</f>
        <v>1</v>
      </c>
      <c r="F72" s="6">
        <f>IFERROR(__xludf.DUMMYFUNCTION("""COMPUTED_VALUE"""),1.0)</f>
        <v>1</v>
      </c>
      <c r="G72" s="6">
        <f>IFERROR(__xludf.DUMMYFUNCTION("""COMPUTED_VALUE"""),1.0)</f>
        <v>1</v>
      </c>
      <c r="H72" s="6">
        <f>IFERROR(__xludf.DUMMYFUNCTION("""COMPUTED_VALUE"""),1.0)</f>
        <v>1</v>
      </c>
      <c r="I72" s="6">
        <f>IFERROR(__xludf.DUMMYFUNCTION("""COMPUTED_VALUE"""),1.0)</f>
        <v>1</v>
      </c>
      <c r="J72" s="6">
        <f>IFERROR(__xludf.DUMMYFUNCTION("""COMPUTED_VALUE"""),1.0)</f>
        <v>1</v>
      </c>
      <c r="K72" s="6">
        <f>IFERROR(__xludf.DUMMYFUNCTION("""COMPUTED_VALUE"""),1.0)</f>
        <v>1</v>
      </c>
      <c r="L72" s="6">
        <f>IFERROR(__xludf.DUMMYFUNCTION("""COMPUTED_VALUE"""),1.0)</f>
        <v>1</v>
      </c>
      <c r="M72" s="6">
        <f>IFERROR(__xludf.DUMMYFUNCTION("""COMPUTED_VALUE"""),0.0)</f>
        <v>0</v>
      </c>
      <c r="N72" s="6">
        <f>IFERROR(__xludf.DUMMYFUNCTION("""COMPUTED_VALUE"""),1.0)</f>
        <v>1</v>
      </c>
      <c r="O72" s="6">
        <f>IFERROR(__xludf.DUMMYFUNCTION("""COMPUTED_VALUE"""),1.0)</f>
        <v>1</v>
      </c>
      <c r="P72" s="6">
        <f>IFERROR(__xludf.DUMMYFUNCTION("""COMPUTED_VALUE"""),0.0)</f>
        <v>0</v>
      </c>
      <c r="Q72" s="6">
        <f>IFERROR(__xludf.DUMMYFUNCTION("""COMPUTED_VALUE"""),0.0)</f>
        <v>0</v>
      </c>
      <c r="R72" s="6">
        <f>IFERROR(__xludf.DUMMYFUNCTION("""COMPUTED_VALUE"""),0.0)</f>
        <v>0</v>
      </c>
      <c r="S72" s="6">
        <f>IFERROR(__xludf.DUMMYFUNCTION("""COMPUTED_VALUE"""),0.0)</f>
        <v>0</v>
      </c>
      <c r="T72" s="6">
        <f>IFERROR(__xludf.DUMMYFUNCTION("""COMPUTED_VALUE"""),0.0)</f>
        <v>0</v>
      </c>
      <c r="U72" s="6">
        <f>IFERROR(__xludf.DUMMYFUNCTION("""COMPUTED_VALUE"""),0.0)</f>
        <v>0</v>
      </c>
      <c r="V72" s="4">
        <f t="shared" ref="V72:X72" si="71">SUM(D72, G72, J72, M72, P72, S72)</f>
        <v>3</v>
      </c>
      <c r="W72" s="4">
        <f t="shared" si="71"/>
        <v>4</v>
      </c>
      <c r="X72" s="4">
        <f t="shared" si="71"/>
        <v>4</v>
      </c>
    </row>
    <row r="73">
      <c r="A73" s="4" t="str">
        <f>IFERROR(__xludf.DUMMYFUNCTION("""COMPUTED_VALUE"""),"Школа 709")</f>
        <v>Школа 709</v>
      </c>
      <c r="B73" s="4" t="str">
        <f t="array" ref="B73">IFERROR(INDEX('Адреса школ'!F:F, MATCH(A73, 'Адреса школ'!E:E, 0)), "")</f>
        <v>55.937946, 37.549741</v>
      </c>
      <c r="C73" s="5" t="str">
        <f t="array" ref="C73">IFERROR(INDEX('Топ-400'!A:A, MATCH(A73, 'Топ-400'!E:E, 0)), "Вне рейтинга")</f>
        <v>116</v>
      </c>
      <c r="D73" s="6">
        <f>IFERROR(__xludf.DUMMYFUNCTION("""COMPUTED_VALUE"""),1.0)</f>
        <v>1</v>
      </c>
      <c r="E73" s="6">
        <f>IFERROR(__xludf.DUMMYFUNCTION("""COMPUTED_VALUE"""),1.0)</f>
        <v>1</v>
      </c>
      <c r="F73" s="6">
        <f>IFERROR(__xludf.DUMMYFUNCTION("""COMPUTED_VALUE"""),1.0)</f>
        <v>1</v>
      </c>
      <c r="G73" s="6">
        <f>IFERROR(__xludf.DUMMYFUNCTION("""COMPUTED_VALUE"""),0.0)</f>
        <v>0</v>
      </c>
      <c r="H73" s="6">
        <f>IFERROR(__xludf.DUMMYFUNCTION("""COMPUTED_VALUE"""),0.0)</f>
        <v>0</v>
      </c>
      <c r="I73" s="6">
        <f>IFERROR(__xludf.DUMMYFUNCTION("""COMPUTED_VALUE"""),0.0)</f>
        <v>0</v>
      </c>
      <c r="J73" s="6">
        <f>IFERROR(__xludf.DUMMYFUNCTION("""COMPUTED_VALUE"""),0.0)</f>
        <v>0</v>
      </c>
      <c r="K73" s="6">
        <f>IFERROR(__xludf.DUMMYFUNCTION("""COMPUTED_VALUE"""),0.0)</f>
        <v>0</v>
      </c>
      <c r="L73" s="6">
        <f>IFERROR(__xludf.DUMMYFUNCTION("""COMPUTED_VALUE"""),0.0)</f>
        <v>0</v>
      </c>
      <c r="M73" s="6">
        <f>IFERROR(__xludf.DUMMYFUNCTION("""COMPUTED_VALUE"""),1.0)</f>
        <v>1</v>
      </c>
      <c r="N73" s="6">
        <f>IFERROR(__xludf.DUMMYFUNCTION("""COMPUTED_VALUE"""),0.0)</f>
        <v>0</v>
      </c>
      <c r="O73" s="6">
        <f>IFERROR(__xludf.DUMMYFUNCTION("""COMPUTED_VALUE"""),0.0)</f>
        <v>0</v>
      </c>
      <c r="P73" s="6">
        <f>IFERROR(__xludf.DUMMYFUNCTION("""COMPUTED_VALUE"""),0.0)</f>
        <v>0</v>
      </c>
      <c r="Q73" s="6">
        <f>IFERROR(__xludf.DUMMYFUNCTION("""COMPUTED_VALUE"""),0.0)</f>
        <v>0</v>
      </c>
      <c r="R73" s="6">
        <f>IFERROR(__xludf.DUMMYFUNCTION("""COMPUTED_VALUE"""),0.0)</f>
        <v>0</v>
      </c>
      <c r="S73" s="6">
        <f>IFERROR(__xludf.DUMMYFUNCTION("""COMPUTED_VALUE"""),0.0)</f>
        <v>0</v>
      </c>
      <c r="T73" s="6">
        <f>IFERROR(__xludf.DUMMYFUNCTION("""COMPUTED_VALUE"""),0.0)</f>
        <v>0</v>
      </c>
      <c r="U73" s="6">
        <f>IFERROR(__xludf.DUMMYFUNCTION("""COMPUTED_VALUE"""),0.0)</f>
        <v>0</v>
      </c>
      <c r="V73" s="4">
        <f t="shared" ref="V73:X73" si="72">SUM(D73, G73, J73, M73, P73, S73)</f>
        <v>2</v>
      </c>
      <c r="W73" s="4">
        <f t="shared" si="72"/>
        <v>1</v>
      </c>
      <c r="X73" s="4">
        <f t="shared" si="72"/>
        <v>1</v>
      </c>
    </row>
    <row r="74">
      <c r="A74" s="4" t="str">
        <f>IFERROR(__xludf.DUMMYFUNCTION("""COMPUTED_VALUE"""),"Школа 727")</f>
        <v>Школа 727</v>
      </c>
      <c r="B74" s="4" t="str">
        <f t="array" ref="B74">IFERROR(INDEX('Адреса школ'!F:F, MATCH(A74, 'Адреса школ'!E:E, 0)), "")</f>
        <v>55.846851, 37.516853</v>
      </c>
      <c r="C74" s="5" t="str">
        <f t="array" ref="C74">IFERROR(INDEX('Топ-400'!A:A, MATCH(A74, 'Топ-400'!E:E, 0)), "Вне рейтинга")</f>
        <v>Вне рейтинга</v>
      </c>
      <c r="D74" s="6">
        <f>IFERROR(__xludf.DUMMYFUNCTION("""COMPUTED_VALUE"""),1.0)</f>
        <v>1</v>
      </c>
      <c r="E74" s="6">
        <f>IFERROR(__xludf.DUMMYFUNCTION("""COMPUTED_VALUE"""),0.0)</f>
        <v>0</v>
      </c>
      <c r="F74" s="6">
        <f>IFERROR(__xludf.DUMMYFUNCTION("""COMPUTED_VALUE"""),1.0)</f>
        <v>1</v>
      </c>
      <c r="G74" s="6">
        <f>IFERROR(__xludf.DUMMYFUNCTION("""COMPUTED_VALUE"""),1.0)</f>
        <v>1</v>
      </c>
      <c r="H74" s="6">
        <f>IFERROR(__xludf.DUMMYFUNCTION("""COMPUTED_VALUE"""),0.0)</f>
        <v>0</v>
      </c>
      <c r="I74" s="6">
        <f>IFERROR(__xludf.DUMMYFUNCTION("""COMPUTED_VALUE"""),0.0)</f>
        <v>0</v>
      </c>
      <c r="J74" s="6">
        <f>IFERROR(__xludf.DUMMYFUNCTION("""COMPUTED_VALUE"""),0.0)</f>
        <v>0</v>
      </c>
      <c r="K74" s="6">
        <f>IFERROR(__xludf.DUMMYFUNCTION("""COMPUTED_VALUE"""),0.0)</f>
        <v>0</v>
      </c>
      <c r="L74" s="6">
        <f>IFERROR(__xludf.DUMMYFUNCTION("""COMPUTED_VALUE"""),1.0)</f>
        <v>1</v>
      </c>
      <c r="M74" s="6">
        <f>IFERROR(__xludf.DUMMYFUNCTION("""COMPUTED_VALUE"""),0.0)</f>
        <v>0</v>
      </c>
      <c r="N74" s="6">
        <f>IFERROR(__xludf.DUMMYFUNCTION("""COMPUTED_VALUE"""),1.0)</f>
        <v>1</v>
      </c>
      <c r="O74" s="6">
        <f>IFERROR(__xludf.DUMMYFUNCTION("""COMPUTED_VALUE"""),1.0)</f>
        <v>1</v>
      </c>
      <c r="P74" s="6">
        <f>IFERROR(__xludf.DUMMYFUNCTION("""COMPUTED_VALUE"""),0.0)</f>
        <v>0</v>
      </c>
      <c r="Q74" s="6">
        <f>IFERROR(__xludf.DUMMYFUNCTION("""COMPUTED_VALUE"""),1.0)</f>
        <v>1</v>
      </c>
      <c r="R74" s="6">
        <f>IFERROR(__xludf.DUMMYFUNCTION("""COMPUTED_VALUE"""),1.0)</f>
        <v>1</v>
      </c>
      <c r="S74" s="6">
        <f>IFERROR(__xludf.DUMMYFUNCTION("""COMPUTED_VALUE"""),0.0)</f>
        <v>0</v>
      </c>
      <c r="T74" s="6">
        <f>IFERROR(__xludf.DUMMYFUNCTION("""COMPUTED_VALUE"""),0.0)</f>
        <v>0</v>
      </c>
      <c r="U74" s="6">
        <f>IFERROR(__xludf.DUMMYFUNCTION("""COMPUTED_VALUE"""),0.0)</f>
        <v>0</v>
      </c>
      <c r="V74" s="4">
        <f t="shared" ref="V74:X74" si="73">SUM(D74, G74, J74, M74, P74, S74)</f>
        <v>2</v>
      </c>
      <c r="W74" s="4">
        <f t="shared" si="73"/>
        <v>2</v>
      </c>
      <c r="X74" s="4">
        <f t="shared" si="73"/>
        <v>4</v>
      </c>
    </row>
    <row r="75">
      <c r="A75" s="4" t="str">
        <f>IFERROR(__xludf.DUMMYFUNCTION("""COMPUTED_VALUE"""),"Школа 760")</f>
        <v>Школа 760</v>
      </c>
      <c r="B75" s="4" t="str">
        <f t="array" ref="B75">IFERROR(INDEX('Адреса школ'!F:F, MATCH(A75, 'Адреса школ'!E:E, 0)), "")</f>
        <v>55.877874, 37.714752</v>
      </c>
      <c r="C75" s="5" t="str">
        <f t="array" ref="C75">IFERROR(INDEX('Топ-400'!A:A, MATCH(A75, 'Топ-400'!E:E, 0)), "Вне рейтинга")</f>
        <v>Вне рейтинга</v>
      </c>
      <c r="D75" s="6">
        <f>IFERROR(__xludf.DUMMYFUNCTION("""COMPUTED_VALUE"""),0.0)</f>
        <v>0</v>
      </c>
      <c r="E75" s="6">
        <f>IFERROR(__xludf.DUMMYFUNCTION("""COMPUTED_VALUE"""),0.0)</f>
        <v>0</v>
      </c>
      <c r="F75" s="6">
        <f>IFERROR(__xludf.DUMMYFUNCTION("""COMPUTED_VALUE"""),0.0)</f>
        <v>0</v>
      </c>
      <c r="G75" s="6">
        <f>IFERROR(__xludf.DUMMYFUNCTION("""COMPUTED_VALUE"""),0.0)</f>
        <v>0</v>
      </c>
      <c r="H75" s="6">
        <f>IFERROR(__xludf.DUMMYFUNCTION("""COMPUTED_VALUE"""),0.0)</f>
        <v>0</v>
      </c>
      <c r="I75" s="6">
        <f>IFERROR(__xludf.DUMMYFUNCTION("""COMPUTED_VALUE"""),0.0)</f>
        <v>0</v>
      </c>
      <c r="J75" s="6">
        <f>IFERROR(__xludf.DUMMYFUNCTION("""COMPUTED_VALUE"""),1.0)</f>
        <v>1</v>
      </c>
      <c r="K75" s="6">
        <f>IFERROR(__xludf.DUMMYFUNCTION("""COMPUTED_VALUE"""),1.0)</f>
        <v>1</v>
      </c>
      <c r="L75" s="6">
        <f>IFERROR(__xludf.DUMMYFUNCTION("""COMPUTED_VALUE"""),1.0)</f>
        <v>1</v>
      </c>
      <c r="M75" s="6">
        <f>IFERROR(__xludf.DUMMYFUNCTION("""COMPUTED_VALUE"""),0.0)</f>
        <v>0</v>
      </c>
      <c r="N75" s="6">
        <f>IFERROR(__xludf.DUMMYFUNCTION("""COMPUTED_VALUE"""),0.0)</f>
        <v>0</v>
      </c>
      <c r="O75" s="6">
        <f>IFERROR(__xludf.DUMMYFUNCTION("""COMPUTED_VALUE"""),0.0)</f>
        <v>0</v>
      </c>
      <c r="P75" s="6">
        <f>IFERROR(__xludf.DUMMYFUNCTION("""COMPUTED_VALUE"""),1.0)</f>
        <v>1</v>
      </c>
      <c r="Q75" s="6">
        <f>IFERROR(__xludf.DUMMYFUNCTION("""COMPUTED_VALUE"""),1.0)</f>
        <v>1</v>
      </c>
      <c r="R75" s="6">
        <f>IFERROR(__xludf.DUMMYFUNCTION("""COMPUTED_VALUE"""),1.0)</f>
        <v>1</v>
      </c>
      <c r="S75" s="6">
        <f>IFERROR(__xludf.DUMMYFUNCTION("""COMPUTED_VALUE"""),0.0)</f>
        <v>0</v>
      </c>
      <c r="T75" s="6">
        <f>IFERROR(__xludf.DUMMYFUNCTION("""COMPUTED_VALUE"""),0.0)</f>
        <v>0</v>
      </c>
      <c r="U75" s="6">
        <f>IFERROR(__xludf.DUMMYFUNCTION("""COMPUTED_VALUE"""),0.0)</f>
        <v>0</v>
      </c>
      <c r="V75" s="4">
        <f t="shared" ref="V75:X75" si="74">SUM(D75, G75, J75, M75, P75, S75)</f>
        <v>2</v>
      </c>
      <c r="W75" s="4">
        <f t="shared" si="74"/>
        <v>2</v>
      </c>
      <c r="X75" s="4">
        <f t="shared" si="74"/>
        <v>2</v>
      </c>
    </row>
    <row r="76">
      <c r="A76" s="4" t="str">
        <f>IFERROR(__xludf.DUMMYFUNCTION("""COMPUTED_VALUE"""),"Школа 763")</f>
        <v>Школа 763</v>
      </c>
      <c r="B76" s="4" t="str">
        <f t="array" ref="B76">IFERROR(INDEX('Адреса школ'!F:F, MATCH(A76, 'Адреса школ'!E:E, 0)), "")</f>
        <v>55.884191, 37.693561</v>
      </c>
      <c r="C76" s="5" t="str">
        <f t="array" ref="C76">IFERROR(INDEX('Топ-400'!A:A, MATCH(A76, 'Топ-400'!E:E, 0)), "Вне рейтинга")</f>
        <v>258</v>
      </c>
      <c r="D76" s="6">
        <f>IFERROR(__xludf.DUMMYFUNCTION("""COMPUTED_VALUE"""),0.0)</f>
        <v>0</v>
      </c>
      <c r="E76" s="6">
        <f>IFERROR(__xludf.DUMMYFUNCTION("""COMPUTED_VALUE"""),0.0)</f>
        <v>0</v>
      </c>
      <c r="F76" s="6">
        <f>IFERROR(__xludf.DUMMYFUNCTION("""COMPUTED_VALUE"""),0.0)</f>
        <v>0</v>
      </c>
      <c r="G76" s="6">
        <f>IFERROR(__xludf.DUMMYFUNCTION("""COMPUTED_VALUE"""),0.0)</f>
        <v>0</v>
      </c>
      <c r="H76" s="6">
        <f>IFERROR(__xludf.DUMMYFUNCTION("""COMPUTED_VALUE"""),0.0)</f>
        <v>0</v>
      </c>
      <c r="I76" s="6">
        <f>IFERROR(__xludf.DUMMYFUNCTION("""COMPUTED_VALUE"""),0.0)</f>
        <v>0</v>
      </c>
      <c r="J76" s="6">
        <f>IFERROR(__xludf.DUMMYFUNCTION("""COMPUTED_VALUE"""),0.0)</f>
        <v>0</v>
      </c>
      <c r="K76" s="6">
        <f>IFERROR(__xludf.DUMMYFUNCTION("""COMPUTED_VALUE"""),0.0)</f>
        <v>0</v>
      </c>
      <c r="L76" s="6">
        <f>IFERROR(__xludf.DUMMYFUNCTION("""COMPUTED_VALUE"""),0.0)</f>
        <v>0</v>
      </c>
      <c r="M76" s="6">
        <f>IFERROR(__xludf.DUMMYFUNCTION("""COMPUTED_VALUE"""),1.0)</f>
        <v>1</v>
      </c>
      <c r="N76" s="6">
        <f>IFERROR(__xludf.DUMMYFUNCTION("""COMPUTED_VALUE"""),0.0)</f>
        <v>0</v>
      </c>
      <c r="O76" s="6">
        <f>IFERROR(__xludf.DUMMYFUNCTION("""COMPUTED_VALUE"""),1.0)</f>
        <v>1</v>
      </c>
      <c r="P76" s="6">
        <f>IFERROR(__xludf.DUMMYFUNCTION("""COMPUTED_VALUE"""),0.0)</f>
        <v>0</v>
      </c>
      <c r="Q76" s="6">
        <f>IFERROR(__xludf.DUMMYFUNCTION("""COMPUTED_VALUE"""),0.0)</f>
        <v>0</v>
      </c>
      <c r="R76" s="6">
        <f>IFERROR(__xludf.DUMMYFUNCTION("""COMPUTED_VALUE"""),0.0)</f>
        <v>0</v>
      </c>
      <c r="S76" s="6">
        <f>IFERROR(__xludf.DUMMYFUNCTION("""COMPUTED_VALUE"""),0.0)</f>
        <v>0</v>
      </c>
      <c r="T76" s="6">
        <f>IFERROR(__xludf.DUMMYFUNCTION("""COMPUTED_VALUE"""),0.0)</f>
        <v>0</v>
      </c>
      <c r="U76" s="6">
        <f>IFERROR(__xludf.DUMMYFUNCTION("""COMPUTED_VALUE"""),0.0)</f>
        <v>0</v>
      </c>
      <c r="V76" s="4">
        <f t="shared" ref="V76:X76" si="75">SUM(D76, G76, J76, M76, P76, S76)</f>
        <v>1</v>
      </c>
      <c r="W76" s="4">
        <f t="shared" si="75"/>
        <v>0</v>
      </c>
      <c r="X76" s="4">
        <f t="shared" si="75"/>
        <v>1</v>
      </c>
    </row>
    <row r="77">
      <c r="A77" s="4" t="str">
        <f>IFERROR(__xludf.DUMMYFUNCTION("""COMPUTED_VALUE"""),"Школа 771")</f>
        <v>Школа 771</v>
      </c>
      <c r="B77" s="4" t="str">
        <f t="array" ref="B77">IFERROR(INDEX('Адреса школ'!F:F, MATCH(A77, 'Адреса школ'!E:E, 0)), "")</f>
        <v>55.88249, 37.53437</v>
      </c>
      <c r="C77" s="5" t="str">
        <f t="array" ref="C77">IFERROR(INDEX('Топ-400'!A:A, MATCH(A77, 'Топ-400'!E:E, 0)), "Вне рейтинга")</f>
        <v>247</v>
      </c>
      <c r="D77" s="6">
        <f>IFERROR(__xludf.DUMMYFUNCTION("""COMPUTED_VALUE"""),0.0)</f>
        <v>0</v>
      </c>
      <c r="E77" s="6">
        <f>IFERROR(__xludf.DUMMYFUNCTION("""COMPUTED_VALUE"""),0.0)</f>
        <v>0</v>
      </c>
      <c r="F77" s="6">
        <f>IFERROR(__xludf.DUMMYFUNCTION("""COMPUTED_VALUE"""),0.0)</f>
        <v>0</v>
      </c>
      <c r="G77" s="6">
        <f>IFERROR(__xludf.DUMMYFUNCTION("""COMPUTED_VALUE"""),0.0)</f>
        <v>0</v>
      </c>
      <c r="H77" s="6">
        <f>IFERROR(__xludf.DUMMYFUNCTION("""COMPUTED_VALUE"""),0.0)</f>
        <v>0</v>
      </c>
      <c r="I77" s="6">
        <f>IFERROR(__xludf.DUMMYFUNCTION("""COMPUTED_VALUE"""),0.0)</f>
        <v>0</v>
      </c>
      <c r="J77" s="6">
        <f>IFERROR(__xludf.DUMMYFUNCTION("""COMPUTED_VALUE"""),1.0)</f>
        <v>1</v>
      </c>
      <c r="K77" s="6">
        <f>IFERROR(__xludf.DUMMYFUNCTION("""COMPUTED_VALUE"""),1.0)</f>
        <v>1</v>
      </c>
      <c r="L77" s="6">
        <f>IFERROR(__xludf.DUMMYFUNCTION("""COMPUTED_VALUE"""),1.0)</f>
        <v>1</v>
      </c>
      <c r="M77" s="6">
        <f>IFERROR(__xludf.DUMMYFUNCTION("""COMPUTED_VALUE"""),0.0)</f>
        <v>0</v>
      </c>
      <c r="N77" s="6">
        <f>IFERROR(__xludf.DUMMYFUNCTION("""COMPUTED_VALUE"""),0.0)</f>
        <v>0</v>
      </c>
      <c r="O77" s="6">
        <f>IFERROR(__xludf.DUMMYFUNCTION("""COMPUTED_VALUE"""),0.0)</f>
        <v>0</v>
      </c>
      <c r="P77" s="6">
        <f>IFERROR(__xludf.DUMMYFUNCTION("""COMPUTED_VALUE"""),0.0)</f>
        <v>0</v>
      </c>
      <c r="Q77" s="6">
        <f>IFERROR(__xludf.DUMMYFUNCTION("""COMPUTED_VALUE"""),0.0)</f>
        <v>0</v>
      </c>
      <c r="R77" s="6">
        <f>IFERROR(__xludf.DUMMYFUNCTION("""COMPUTED_VALUE"""),1.0)</f>
        <v>1</v>
      </c>
      <c r="S77" s="6">
        <f>IFERROR(__xludf.DUMMYFUNCTION("""COMPUTED_VALUE"""),0.0)</f>
        <v>0</v>
      </c>
      <c r="T77" s="6">
        <f>IFERROR(__xludf.DUMMYFUNCTION("""COMPUTED_VALUE"""),0.0)</f>
        <v>0</v>
      </c>
      <c r="U77" s="6">
        <f>IFERROR(__xludf.DUMMYFUNCTION("""COMPUTED_VALUE"""),0.0)</f>
        <v>0</v>
      </c>
      <c r="V77" s="4">
        <f t="shared" ref="V77:X77" si="76">SUM(D77, G77, J77, M77, P77, S77)</f>
        <v>1</v>
      </c>
      <c r="W77" s="4">
        <f t="shared" si="76"/>
        <v>1</v>
      </c>
      <c r="X77" s="4">
        <f t="shared" si="76"/>
        <v>2</v>
      </c>
    </row>
    <row r="78">
      <c r="A78" s="4" t="str">
        <f>IFERROR(__xludf.DUMMYFUNCTION("""COMPUTED_VALUE"""),"Школа 777")</f>
        <v>Школа 777</v>
      </c>
      <c r="B78" s="4" t="str">
        <f t="array" ref="B78">IFERROR(INDEX('Адреса школ'!F:F, MATCH(A78, 'Адреса школ'!E:E, 0)), "")</f>
        <v>55.728368, 37.770034</v>
      </c>
      <c r="C78" s="5" t="str">
        <f t="array" ref="C78">IFERROR(INDEX('Топ-400'!A:A, MATCH(A78, 'Топ-400'!E:E, 0)), "Вне рейтинга")</f>
        <v>148</v>
      </c>
      <c r="D78" s="6">
        <f>IFERROR(__xludf.DUMMYFUNCTION("""COMPUTED_VALUE"""),1.0)</f>
        <v>1</v>
      </c>
      <c r="E78" s="6">
        <f>IFERROR(__xludf.DUMMYFUNCTION("""COMPUTED_VALUE"""),0.0)</f>
        <v>0</v>
      </c>
      <c r="F78" s="6">
        <f>IFERROR(__xludf.DUMMYFUNCTION("""COMPUTED_VALUE"""),0.0)</f>
        <v>0</v>
      </c>
      <c r="G78" s="6">
        <f>IFERROR(__xludf.DUMMYFUNCTION("""COMPUTED_VALUE"""),1.0)</f>
        <v>1</v>
      </c>
      <c r="H78" s="6">
        <f>IFERROR(__xludf.DUMMYFUNCTION("""COMPUTED_VALUE"""),0.0)</f>
        <v>0</v>
      </c>
      <c r="I78" s="6">
        <f>IFERROR(__xludf.DUMMYFUNCTION("""COMPUTED_VALUE"""),0.0)</f>
        <v>0</v>
      </c>
      <c r="J78" s="6">
        <f>IFERROR(__xludf.DUMMYFUNCTION("""COMPUTED_VALUE"""),1.0)</f>
        <v>1</v>
      </c>
      <c r="K78" s="6">
        <f>IFERROR(__xludf.DUMMYFUNCTION("""COMPUTED_VALUE"""),1.0)</f>
        <v>1</v>
      </c>
      <c r="L78" s="6">
        <f>IFERROR(__xludf.DUMMYFUNCTION("""COMPUTED_VALUE"""),1.0)</f>
        <v>1</v>
      </c>
      <c r="M78" s="6">
        <f>IFERROR(__xludf.DUMMYFUNCTION("""COMPUTED_VALUE"""),0.0)</f>
        <v>0</v>
      </c>
      <c r="N78" s="6">
        <f>IFERROR(__xludf.DUMMYFUNCTION("""COMPUTED_VALUE"""),0.0)</f>
        <v>0</v>
      </c>
      <c r="O78" s="6">
        <f>IFERROR(__xludf.DUMMYFUNCTION("""COMPUTED_VALUE"""),0.0)</f>
        <v>0</v>
      </c>
      <c r="P78" s="6">
        <f>IFERROR(__xludf.DUMMYFUNCTION("""COMPUTED_VALUE"""),0.0)</f>
        <v>0</v>
      </c>
      <c r="Q78" s="6">
        <f>IFERROR(__xludf.DUMMYFUNCTION("""COMPUTED_VALUE"""),1.0)</f>
        <v>1</v>
      </c>
      <c r="R78" s="6">
        <f>IFERROR(__xludf.DUMMYFUNCTION("""COMPUTED_VALUE"""),1.0)</f>
        <v>1</v>
      </c>
      <c r="S78" s="6">
        <f>IFERROR(__xludf.DUMMYFUNCTION("""COMPUTED_VALUE"""),0.0)</f>
        <v>0</v>
      </c>
      <c r="T78" s="6">
        <f>IFERROR(__xludf.DUMMYFUNCTION("""COMPUTED_VALUE"""),0.0)</f>
        <v>0</v>
      </c>
      <c r="U78" s="6">
        <f>IFERROR(__xludf.DUMMYFUNCTION("""COMPUTED_VALUE"""),0.0)</f>
        <v>0</v>
      </c>
      <c r="V78" s="4">
        <f t="shared" ref="V78:X78" si="77">SUM(D78, G78, J78, M78, P78, S78)</f>
        <v>3</v>
      </c>
      <c r="W78" s="4">
        <f t="shared" si="77"/>
        <v>2</v>
      </c>
      <c r="X78" s="4">
        <f t="shared" si="77"/>
        <v>2</v>
      </c>
    </row>
    <row r="79">
      <c r="A79" s="4" t="str">
        <f>IFERROR(__xludf.DUMMYFUNCTION("""COMPUTED_VALUE"""),"Школа 806")</f>
        <v>Школа 806</v>
      </c>
      <c r="B79" s="4" t="str">
        <f t="array" ref="B79">IFERROR(INDEX('Адреса школ'!F:F, MATCH(A79, 'Адреса школ'!E:E, 0)), "")</f>
        <v>55.732352, 37.423518</v>
      </c>
      <c r="C79" s="5" t="str">
        <f t="array" ref="C79">IFERROR(INDEX('Топ-400'!A:A, MATCH(A79, 'Топ-400'!E:E, 0)), "Вне рейтинга")</f>
        <v>315</v>
      </c>
      <c r="D79" s="6">
        <f>IFERROR(__xludf.DUMMYFUNCTION("""COMPUTED_VALUE"""),0.0)</f>
        <v>0</v>
      </c>
      <c r="E79" s="6">
        <f>IFERROR(__xludf.DUMMYFUNCTION("""COMPUTED_VALUE"""),1.0)</f>
        <v>1</v>
      </c>
      <c r="F79" s="6">
        <f>IFERROR(__xludf.DUMMYFUNCTION("""COMPUTED_VALUE"""),1.0)</f>
        <v>1</v>
      </c>
      <c r="G79" s="6">
        <f>IFERROR(__xludf.DUMMYFUNCTION("""COMPUTED_VALUE"""),0.0)</f>
        <v>0</v>
      </c>
      <c r="H79" s="6">
        <f>IFERROR(__xludf.DUMMYFUNCTION("""COMPUTED_VALUE"""),0.0)</f>
        <v>0</v>
      </c>
      <c r="I79" s="6">
        <f>IFERROR(__xludf.DUMMYFUNCTION("""COMPUTED_VALUE"""),0.0)</f>
        <v>0</v>
      </c>
      <c r="J79" s="6">
        <f>IFERROR(__xludf.DUMMYFUNCTION("""COMPUTED_VALUE"""),0.0)</f>
        <v>0</v>
      </c>
      <c r="K79" s="6">
        <f>IFERROR(__xludf.DUMMYFUNCTION("""COMPUTED_VALUE"""),0.0)</f>
        <v>0</v>
      </c>
      <c r="L79" s="6">
        <f>IFERROR(__xludf.DUMMYFUNCTION("""COMPUTED_VALUE"""),0.0)</f>
        <v>0</v>
      </c>
      <c r="M79" s="6">
        <f>IFERROR(__xludf.DUMMYFUNCTION("""COMPUTED_VALUE"""),0.0)</f>
        <v>0</v>
      </c>
      <c r="N79" s="6">
        <f>IFERROR(__xludf.DUMMYFUNCTION("""COMPUTED_VALUE"""),0.0)</f>
        <v>0</v>
      </c>
      <c r="O79" s="6">
        <f>IFERROR(__xludf.DUMMYFUNCTION("""COMPUTED_VALUE"""),0.0)</f>
        <v>0</v>
      </c>
      <c r="P79" s="6">
        <f>IFERROR(__xludf.DUMMYFUNCTION("""COMPUTED_VALUE"""),0.0)</f>
        <v>0</v>
      </c>
      <c r="Q79" s="6">
        <f>IFERROR(__xludf.DUMMYFUNCTION("""COMPUTED_VALUE"""),0.0)</f>
        <v>0</v>
      </c>
      <c r="R79" s="6">
        <f>IFERROR(__xludf.DUMMYFUNCTION("""COMPUTED_VALUE"""),0.0)</f>
        <v>0</v>
      </c>
      <c r="S79" s="6">
        <f>IFERROR(__xludf.DUMMYFUNCTION("""COMPUTED_VALUE"""),0.0)</f>
        <v>0</v>
      </c>
      <c r="T79" s="6">
        <f>IFERROR(__xludf.DUMMYFUNCTION("""COMPUTED_VALUE"""),0.0)</f>
        <v>0</v>
      </c>
      <c r="U79" s="6">
        <f>IFERROR(__xludf.DUMMYFUNCTION("""COMPUTED_VALUE"""),0.0)</f>
        <v>0</v>
      </c>
      <c r="V79" s="4">
        <f t="shared" ref="V79:X79" si="78">SUM(D79, G79, J79, M79, P79, S79)</f>
        <v>0</v>
      </c>
      <c r="W79" s="4">
        <f t="shared" si="78"/>
        <v>1</v>
      </c>
      <c r="X79" s="4">
        <f t="shared" si="78"/>
        <v>1</v>
      </c>
    </row>
    <row r="80">
      <c r="A80" s="4" t="str">
        <f>IFERROR(__xludf.DUMMYFUNCTION("""COMPUTED_VALUE"""),"Школа 814")</f>
        <v>Школа 814</v>
      </c>
      <c r="B80" s="4" t="str">
        <f t="array" ref="B80">IFERROR(INDEX('Адреса школ'!F:F, MATCH(A80, 'Адреса школ'!E:E, 0)), "")</f>
        <v>55.706548, 37.474731</v>
      </c>
      <c r="C80" s="5" t="str">
        <f t="array" ref="C80">IFERROR(INDEX('Топ-400'!A:A, MATCH(A80, 'Топ-400'!E:E, 0)), "Вне рейтинга")</f>
        <v>84</v>
      </c>
      <c r="D80" s="6">
        <f>IFERROR(__xludf.DUMMYFUNCTION("""COMPUTED_VALUE"""),1.0)</f>
        <v>1</v>
      </c>
      <c r="E80" s="6">
        <f>IFERROR(__xludf.DUMMYFUNCTION("""COMPUTED_VALUE"""),0.0)</f>
        <v>0</v>
      </c>
      <c r="F80" s="6">
        <f>IFERROR(__xludf.DUMMYFUNCTION("""COMPUTED_VALUE"""),0.0)</f>
        <v>0</v>
      </c>
      <c r="G80" s="6">
        <f>IFERROR(__xludf.DUMMYFUNCTION("""COMPUTED_VALUE"""),0.0)</f>
        <v>0</v>
      </c>
      <c r="H80" s="6">
        <f>IFERROR(__xludf.DUMMYFUNCTION("""COMPUTED_VALUE"""),0.0)</f>
        <v>0</v>
      </c>
      <c r="I80" s="6">
        <f>IFERROR(__xludf.DUMMYFUNCTION("""COMPUTED_VALUE"""),0.0)</f>
        <v>0</v>
      </c>
      <c r="J80" s="6">
        <f>IFERROR(__xludf.DUMMYFUNCTION("""COMPUTED_VALUE"""),1.0)</f>
        <v>1</v>
      </c>
      <c r="K80" s="6">
        <f>IFERROR(__xludf.DUMMYFUNCTION("""COMPUTED_VALUE"""),1.0)</f>
        <v>1</v>
      </c>
      <c r="L80" s="6">
        <f>IFERROR(__xludf.DUMMYFUNCTION("""COMPUTED_VALUE"""),1.0)</f>
        <v>1</v>
      </c>
      <c r="M80" s="6">
        <f>IFERROR(__xludf.DUMMYFUNCTION("""COMPUTED_VALUE"""),1.0)</f>
        <v>1</v>
      </c>
      <c r="N80" s="6">
        <f>IFERROR(__xludf.DUMMYFUNCTION("""COMPUTED_VALUE"""),1.0)</f>
        <v>1</v>
      </c>
      <c r="O80" s="6">
        <f>IFERROR(__xludf.DUMMYFUNCTION("""COMPUTED_VALUE"""),1.0)</f>
        <v>1</v>
      </c>
      <c r="P80" s="6">
        <f>IFERROR(__xludf.DUMMYFUNCTION("""COMPUTED_VALUE"""),0.0)</f>
        <v>0</v>
      </c>
      <c r="Q80" s="6">
        <f>IFERROR(__xludf.DUMMYFUNCTION("""COMPUTED_VALUE"""),0.0)</f>
        <v>0</v>
      </c>
      <c r="R80" s="6">
        <f>IFERROR(__xludf.DUMMYFUNCTION("""COMPUTED_VALUE"""),0.0)</f>
        <v>0</v>
      </c>
      <c r="S80" s="6">
        <f>IFERROR(__xludf.DUMMYFUNCTION("""COMPUTED_VALUE"""),0.0)</f>
        <v>0</v>
      </c>
      <c r="T80" s="6">
        <f>IFERROR(__xludf.DUMMYFUNCTION("""COMPUTED_VALUE"""),0.0)</f>
        <v>0</v>
      </c>
      <c r="U80" s="6">
        <f>IFERROR(__xludf.DUMMYFUNCTION("""COMPUTED_VALUE"""),0.0)</f>
        <v>0</v>
      </c>
      <c r="V80" s="4">
        <f t="shared" ref="V80:X80" si="79">SUM(D80, G80, J80, M80, P80, S80)</f>
        <v>3</v>
      </c>
      <c r="W80" s="4">
        <f t="shared" si="79"/>
        <v>2</v>
      </c>
      <c r="X80" s="4">
        <f t="shared" si="79"/>
        <v>2</v>
      </c>
    </row>
    <row r="81">
      <c r="A81" s="4" t="str">
        <f>IFERROR(__xludf.DUMMYFUNCTION("""COMPUTED_VALUE"""),"Школа 827")</f>
        <v>Школа 827</v>
      </c>
      <c r="B81" s="4" t="str">
        <f t="array" ref="B81">IFERROR(INDEX('Адреса школ'!F:F, MATCH(A81, 'Адреса школ'!E:E, 0)), "")</f>
        <v>55.852496, 37.415541</v>
      </c>
      <c r="C81" s="5" t="str">
        <f t="array" ref="C81">IFERROR(INDEX('Топ-400'!A:A, MATCH(A81, 'Топ-400'!E:E, 0)), "Вне рейтинга")</f>
        <v>120</v>
      </c>
      <c r="D81" s="6">
        <f>IFERROR(__xludf.DUMMYFUNCTION("""COMPUTED_VALUE"""),1.0)</f>
        <v>1</v>
      </c>
      <c r="E81" s="6">
        <f>IFERROR(__xludf.DUMMYFUNCTION("""COMPUTED_VALUE"""),0.0)</f>
        <v>0</v>
      </c>
      <c r="F81" s="6">
        <f>IFERROR(__xludf.DUMMYFUNCTION("""COMPUTED_VALUE"""),1.0)</f>
        <v>1</v>
      </c>
      <c r="G81" s="6">
        <f>IFERROR(__xludf.DUMMYFUNCTION("""COMPUTED_VALUE"""),1.0)</f>
        <v>1</v>
      </c>
      <c r="H81" s="6">
        <f>IFERROR(__xludf.DUMMYFUNCTION("""COMPUTED_VALUE"""),1.0)</f>
        <v>1</v>
      </c>
      <c r="I81" s="6">
        <f>IFERROR(__xludf.DUMMYFUNCTION("""COMPUTED_VALUE"""),1.0)</f>
        <v>1</v>
      </c>
      <c r="J81" s="6">
        <f>IFERROR(__xludf.DUMMYFUNCTION("""COMPUTED_VALUE"""),0.0)</f>
        <v>0</v>
      </c>
      <c r="K81" s="6">
        <f>IFERROR(__xludf.DUMMYFUNCTION("""COMPUTED_VALUE"""),0.0)</f>
        <v>0</v>
      </c>
      <c r="L81" s="6">
        <f>IFERROR(__xludf.DUMMYFUNCTION("""COMPUTED_VALUE"""),0.0)</f>
        <v>0</v>
      </c>
      <c r="M81" s="6">
        <f>IFERROR(__xludf.DUMMYFUNCTION("""COMPUTED_VALUE"""),1.0)</f>
        <v>1</v>
      </c>
      <c r="N81" s="6">
        <f>IFERROR(__xludf.DUMMYFUNCTION("""COMPUTED_VALUE"""),0.0)</f>
        <v>0</v>
      </c>
      <c r="O81" s="6">
        <f>IFERROR(__xludf.DUMMYFUNCTION("""COMPUTED_VALUE"""),1.0)</f>
        <v>1</v>
      </c>
      <c r="P81" s="6">
        <f>IFERROR(__xludf.DUMMYFUNCTION("""COMPUTED_VALUE"""),1.0)</f>
        <v>1</v>
      </c>
      <c r="Q81" s="6">
        <f>IFERROR(__xludf.DUMMYFUNCTION("""COMPUTED_VALUE"""),1.0)</f>
        <v>1</v>
      </c>
      <c r="R81" s="6">
        <f>IFERROR(__xludf.DUMMYFUNCTION("""COMPUTED_VALUE"""),0.0)</f>
        <v>0</v>
      </c>
      <c r="S81" s="6">
        <f>IFERROR(__xludf.DUMMYFUNCTION("""COMPUTED_VALUE"""),0.0)</f>
        <v>0</v>
      </c>
      <c r="T81" s="6">
        <f>IFERROR(__xludf.DUMMYFUNCTION("""COMPUTED_VALUE"""),0.0)</f>
        <v>0</v>
      </c>
      <c r="U81" s="6">
        <f>IFERROR(__xludf.DUMMYFUNCTION("""COMPUTED_VALUE"""),0.0)</f>
        <v>0</v>
      </c>
      <c r="V81" s="4">
        <f t="shared" ref="V81:X81" si="80">SUM(D81, G81, J81, M81, P81, S81)</f>
        <v>4</v>
      </c>
      <c r="W81" s="4">
        <f t="shared" si="80"/>
        <v>2</v>
      </c>
      <c r="X81" s="4">
        <f t="shared" si="80"/>
        <v>3</v>
      </c>
    </row>
    <row r="82">
      <c r="A82" s="4" t="str">
        <f>IFERROR(__xludf.DUMMYFUNCTION("""COMPUTED_VALUE"""),"Школа 853")</f>
        <v>Школа 853</v>
      </c>
      <c r="B82" s="4" t="str">
        <f t="array" ref="B82">IFERROR(INDEX('Адреса школ'!F:F, MATCH(A82, 'Адреса школ'!E:E, 0)), "")</f>
        <v>55.984955, 37.192328</v>
      </c>
      <c r="C82" s="5" t="str">
        <f t="array" ref="C82">IFERROR(INDEX('Топ-400'!A:A, MATCH(A82, 'Топ-400'!E:E, 0)), "Вне рейтинга")</f>
        <v>243</v>
      </c>
      <c r="D82" s="6">
        <f>IFERROR(__xludf.DUMMYFUNCTION("""COMPUTED_VALUE"""),1.0)</f>
        <v>1</v>
      </c>
      <c r="E82" s="6">
        <f>IFERROR(__xludf.DUMMYFUNCTION("""COMPUTED_VALUE"""),1.0)</f>
        <v>1</v>
      </c>
      <c r="F82" s="6">
        <f>IFERROR(__xludf.DUMMYFUNCTION("""COMPUTED_VALUE"""),1.0)</f>
        <v>1</v>
      </c>
      <c r="G82" s="6">
        <f>IFERROR(__xludf.DUMMYFUNCTION("""COMPUTED_VALUE"""),1.0)</f>
        <v>1</v>
      </c>
      <c r="H82" s="6">
        <f>IFERROR(__xludf.DUMMYFUNCTION("""COMPUTED_VALUE"""),0.0)</f>
        <v>0</v>
      </c>
      <c r="I82" s="6">
        <f>IFERROR(__xludf.DUMMYFUNCTION("""COMPUTED_VALUE"""),1.0)</f>
        <v>1</v>
      </c>
      <c r="J82" s="6">
        <f>IFERROR(__xludf.DUMMYFUNCTION("""COMPUTED_VALUE"""),1.0)</f>
        <v>1</v>
      </c>
      <c r="K82" s="6">
        <f>IFERROR(__xludf.DUMMYFUNCTION("""COMPUTED_VALUE"""),1.0)</f>
        <v>1</v>
      </c>
      <c r="L82" s="6">
        <f>IFERROR(__xludf.DUMMYFUNCTION("""COMPUTED_VALUE"""),1.0)</f>
        <v>1</v>
      </c>
      <c r="M82" s="6">
        <f>IFERROR(__xludf.DUMMYFUNCTION("""COMPUTED_VALUE"""),1.0)</f>
        <v>1</v>
      </c>
      <c r="N82" s="6">
        <f>IFERROR(__xludf.DUMMYFUNCTION("""COMPUTED_VALUE"""),1.0)</f>
        <v>1</v>
      </c>
      <c r="O82" s="6">
        <f>IFERROR(__xludf.DUMMYFUNCTION("""COMPUTED_VALUE"""),1.0)</f>
        <v>1</v>
      </c>
      <c r="P82" s="6">
        <f>IFERROR(__xludf.DUMMYFUNCTION("""COMPUTED_VALUE"""),1.0)</f>
        <v>1</v>
      </c>
      <c r="Q82" s="6">
        <f>IFERROR(__xludf.DUMMYFUNCTION("""COMPUTED_VALUE"""),1.0)</f>
        <v>1</v>
      </c>
      <c r="R82" s="6">
        <f>IFERROR(__xludf.DUMMYFUNCTION("""COMPUTED_VALUE"""),1.0)</f>
        <v>1</v>
      </c>
      <c r="S82" s="6">
        <f>IFERROR(__xludf.DUMMYFUNCTION("""COMPUTED_VALUE"""),0.0)</f>
        <v>0</v>
      </c>
      <c r="T82" s="6">
        <f>IFERROR(__xludf.DUMMYFUNCTION("""COMPUTED_VALUE"""),0.0)</f>
        <v>0</v>
      </c>
      <c r="U82" s="6">
        <f>IFERROR(__xludf.DUMMYFUNCTION("""COMPUTED_VALUE"""),0.0)</f>
        <v>0</v>
      </c>
      <c r="V82" s="4">
        <f t="shared" ref="V82:X82" si="81">SUM(D82, G82, J82, M82, P82, S82)</f>
        <v>5</v>
      </c>
      <c r="W82" s="4">
        <f t="shared" si="81"/>
        <v>4</v>
      </c>
      <c r="X82" s="4">
        <f t="shared" si="81"/>
        <v>5</v>
      </c>
    </row>
    <row r="83">
      <c r="A83" s="4" t="str">
        <f>IFERROR(__xludf.DUMMYFUNCTION("""COMPUTED_VALUE"""),"Школа 854")</f>
        <v>Школа 854</v>
      </c>
      <c r="B83" s="4" t="str">
        <f t="array" ref="B83">IFERROR(INDEX('Адреса школ'!F:F, MATCH(A83, 'Адреса школ'!E:E, 0)), "")</f>
        <v>55.991531, 37.228314</v>
      </c>
      <c r="C83" s="5" t="str">
        <f t="array" ref="C83">IFERROR(INDEX('Топ-400'!A:A, MATCH(A83, 'Топ-400'!E:E, 0)), "Вне рейтинга")</f>
        <v>Вне рейтинга</v>
      </c>
      <c r="D83" s="6">
        <f>IFERROR(__xludf.DUMMYFUNCTION("""COMPUTED_VALUE"""),0.0)</f>
        <v>0</v>
      </c>
      <c r="E83" s="6">
        <f>IFERROR(__xludf.DUMMYFUNCTION("""COMPUTED_VALUE"""),0.0)</f>
        <v>0</v>
      </c>
      <c r="F83" s="6">
        <f>IFERROR(__xludf.DUMMYFUNCTION("""COMPUTED_VALUE"""),0.0)</f>
        <v>0</v>
      </c>
      <c r="G83" s="6">
        <f>IFERROR(__xludf.DUMMYFUNCTION("""COMPUTED_VALUE"""),0.0)</f>
        <v>0</v>
      </c>
      <c r="H83" s="6">
        <f>IFERROR(__xludf.DUMMYFUNCTION("""COMPUTED_VALUE"""),0.0)</f>
        <v>0</v>
      </c>
      <c r="I83" s="6">
        <f>IFERROR(__xludf.DUMMYFUNCTION("""COMPUTED_VALUE"""),0.0)</f>
        <v>0</v>
      </c>
      <c r="J83" s="6">
        <f>IFERROR(__xludf.DUMMYFUNCTION("""COMPUTED_VALUE"""),0.0)</f>
        <v>0</v>
      </c>
      <c r="K83" s="6">
        <f>IFERROR(__xludf.DUMMYFUNCTION("""COMPUTED_VALUE"""),0.0)</f>
        <v>0</v>
      </c>
      <c r="L83" s="6">
        <f>IFERROR(__xludf.DUMMYFUNCTION("""COMPUTED_VALUE"""),0.0)</f>
        <v>0</v>
      </c>
      <c r="M83" s="6">
        <f>IFERROR(__xludf.DUMMYFUNCTION("""COMPUTED_VALUE"""),0.0)</f>
        <v>0</v>
      </c>
      <c r="N83" s="6">
        <f>IFERROR(__xludf.DUMMYFUNCTION("""COMPUTED_VALUE"""),0.0)</f>
        <v>0</v>
      </c>
      <c r="O83" s="6">
        <f>IFERROR(__xludf.DUMMYFUNCTION("""COMPUTED_VALUE"""),0.0)</f>
        <v>0</v>
      </c>
      <c r="P83" s="6">
        <f>IFERROR(__xludf.DUMMYFUNCTION("""COMPUTED_VALUE"""),1.0)</f>
        <v>1</v>
      </c>
      <c r="Q83" s="6">
        <f>IFERROR(__xludf.DUMMYFUNCTION("""COMPUTED_VALUE"""),0.0)</f>
        <v>0</v>
      </c>
      <c r="R83" s="6">
        <f>IFERROR(__xludf.DUMMYFUNCTION("""COMPUTED_VALUE"""),0.0)</f>
        <v>0</v>
      </c>
      <c r="S83" s="6">
        <f>IFERROR(__xludf.DUMMYFUNCTION("""COMPUTED_VALUE"""),0.0)</f>
        <v>0</v>
      </c>
      <c r="T83" s="6">
        <f>IFERROR(__xludf.DUMMYFUNCTION("""COMPUTED_VALUE"""),0.0)</f>
        <v>0</v>
      </c>
      <c r="U83" s="6">
        <f>IFERROR(__xludf.DUMMYFUNCTION("""COMPUTED_VALUE"""),0.0)</f>
        <v>0</v>
      </c>
      <c r="V83" s="4">
        <f t="shared" ref="V83:X83" si="82">SUM(D83, G83, J83, M83, P83, S83)</f>
        <v>1</v>
      </c>
      <c r="W83" s="4">
        <f t="shared" si="82"/>
        <v>0</v>
      </c>
      <c r="X83" s="4">
        <f t="shared" si="82"/>
        <v>0</v>
      </c>
    </row>
    <row r="84">
      <c r="A84" s="4" t="str">
        <f>IFERROR(__xludf.DUMMYFUNCTION("""COMPUTED_VALUE"""),"Школа 875")</f>
        <v>Школа 875</v>
      </c>
      <c r="B84" s="4" t="str">
        <f t="array" ref="B84">IFERROR(INDEX('Адреса школ'!F:F, MATCH(A84, 'Адреса школ'!E:E, 0)), "")</f>
        <v>55.664299, 37.49162</v>
      </c>
      <c r="C84" s="5" t="str">
        <f t="array" ref="C84">IFERROR(INDEX('Топ-400'!A:A, MATCH(A84, 'Топ-400'!E:E, 0)), "Вне рейтинга")</f>
        <v>319</v>
      </c>
      <c r="D84" s="6">
        <f>IFERROR(__xludf.DUMMYFUNCTION("""COMPUTED_VALUE"""),0.0)</f>
        <v>0</v>
      </c>
      <c r="E84" s="6">
        <f>IFERROR(__xludf.DUMMYFUNCTION("""COMPUTED_VALUE"""),0.0)</f>
        <v>0</v>
      </c>
      <c r="F84" s="6">
        <f>IFERROR(__xludf.DUMMYFUNCTION("""COMPUTED_VALUE"""),0.0)</f>
        <v>0</v>
      </c>
      <c r="G84" s="6">
        <f>IFERROR(__xludf.DUMMYFUNCTION("""COMPUTED_VALUE"""),1.0)</f>
        <v>1</v>
      </c>
      <c r="H84" s="6">
        <f>IFERROR(__xludf.DUMMYFUNCTION("""COMPUTED_VALUE"""),0.0)</f>
        <v>0</v>
      </c>
      <c r="I84" s="6">
        <f>IFERROR(__xludf.DUMMYFUNCTION("""COMPUTED_VALUE"""),0.0)</f>
        <v>0</v>
      </c>
      <c r="J84" s="6">
        <f>IFERROR(__xludf.DUMMYFUNCTION("""COMPUTED_VALUE"""),1.0)</f>
        <v>1</v>
      </c>
      <c r="K84" s="6">
        <f>IFERROR(__xludf.DUMMYFUNCTION("""COMPUTED_VALUE"""),0.0)</f>
        <v>0</v>
      </c>
      <c r="L84" s="6">
        <f>IFERROR(__xludf.DUMMYFUNCTION("""COMPUTED_VALUE"""),0.0)</f>
        <v>0</v>
      </c>
      <c r="M84" s="6">
        <f>IFERROR(__xludf.DUMMYFUNCTION("""COMPUTED_VALUE"""),1.0)</f>
        <v>1</v>
      </c>
      <c r="N84" s="6">
        <f>IFERROR(__xludf.DUMMYFUNCTION("""COMPUTED_VALUE"""),0.0)</f>
        <v>0</v>
      </c>
      <c r="O84" s="6">
        <f>IFERROR(__xludf.DUMMYFUNCTION("""COMPUTED_VALUE"""),1.0)</f>
        <v>1</v>
      </c>
      <c r="P84" s="6">
        <f>IFERROR(__xludf.DUMMYFUNCTION("""COMPUTED_VALUE"""),0.0)</f>
        <v>0</v>
      </c>
      <c r="Q84" s="6">
        <f>IFERROR(__xludf.DUMMYFUNCTION("""COMPUTED_VALUE"""),0.0)</f>
        <v>0</v>
      </c>
      <c r="R84" s="6">
        <f>IFERROR(__xludf.DUMMYFUNCTION("""COMPUTED_VALUE"""),0.0)</f>
        <v>0</v>
      </c>
      <c r="S84" s="6">
        <f>IFERROR(__xludf.DUMMYFUNCTION("""COMPUTED_VALUE"""),0.0)</f>
        <v>0</v>
      </c>
      <c r="T84" s="6">
        <f>IFERROR(__xludf.DUMMYFUNCTION("""COMPUTED_VALUE"""),0.0)</f>
        <v>0</v>
      </c>
      <c r="U84" s="6">
        <f>IFERROR(__xludf.DUMMYFUNCTION("""COMPUTED_VALUE"""),0.0)</f>
        <v>0</v>
      </c>
      <c r="V84" s="4">
        <f t="shared" ref="V84:X84" si="83">SUM(D84, G84, J84, M84, P84, S84)</f>
        <v>3</v>
      </c>
      <c r="W84" s="4">
        <f t="shared" si="83"/>
        <v>0</v>
      </c>
      <c r="X84" s="4">
        <f t="shared" si="83"/>
        <v>1</v>
      </c>
    </row>
    <row r="85">
      <c r="A85" s="4" t="str">
        <f>IFERROR(__xludf.DUMMYFUNCTION("""COMPUTED_VALUE"""),"Школа 878")</f>
        <v>Школа 878</v>
      </c>
      <c r="B85" s="4" t="str">
        <f t="array" ref="B85">IFERROR(INDEX('Адреса школ'!F:F, MATCH(A85, 'Адреса школ'!E:E, 0)), "")</f>
        <v>55.613763, 37.697918</v>
      </c>
      <c r="C85" s="5" t="str">
        <f t="array" ref="C85">IFERROR(INDEX('Топ-400'!A:A, MATCH(A85, 'Топ-400'!E:E, 0)), "Вне рейтинга")</f>
        <v>217</v>
      </c>
      <c r="D85" s="6">
        <f>IFERROR(__xludf.DUMMYFUNCTION("""COMPUTED_VALUE"""),1.0)</f>
        <v>1</v>
      </c>
      <c r="E85" s="6">
        <f>IFERROR(__xludf.DUMMYFUNCTION("""COMPUTED_VALUE"""),1.0)</f>
        <v>1</v>
      </c>
      <c r="F85" s="6">
        <f>IFERROR(__xludf.DUMMYFUNCTION("""COMPUTED_VALUE"""),1.0)</f>
        <v>1</v>
      </c>
      <c r="G85" s="6">
        <f>IFERROR(__xludf.DUMMYFUNCTION("""COMPUTED_VALUE"""),0.0)</f>
        <v>0</v>
      </c>
      <c r="H85" s="6">
        <f>IFERROR(__xludf.DUMMYFUNCTION("""COMPUTED_VALUE"""),0.0)</f>
        <v>0</v>
      </c>
      <c r="I85" s="6">
        <f>IFERROR(__xludf.DUMMYFUNCTION("""COMPUTED_VALUE"""),0.0)</f>
        <v>0</v>
      </c>
      <c r="J85" s="6">
        <f>IFERROR(__xludf.DUMMYFUNCTION("""COMPUTED_VALUE"""),0.0)</f>
        <v>0</v>
      </c>
      <c r="K85" s="6">
        <f>IFERROR(__xludf.DUMMYFUNCTION("""COMPUTED_VALUE"""),0.0)</f>
        <v>0</v>
      </c>
      <c r="L85" s="6">
        <f>IFERROR(__xludf.DUMMYFUNCTION("""COMPUTED_VALUE"""),0.0)</f>
        <v>0</v>
      </c>
      <c r="M85" s="6">
        <f>IFERROR(__xludf.DUMMYFUNCTION("""COMPUTED_VALUE"""),0.0)</f>
        <v>0</v>
      </c>
      <c r="N85" s="6">
        <f>IFERROR(__xludf.DUMMYFUNCTION("""COMPUTED_VALUE"""),0.0)</f>
        <v>0</v>
      </c>
      <c r="O85" s="6">
        <f>IFERROR(__xludf.DUMMYFUNCTION("""COMPUTED_VALUE"""),0.0)</f>
        <v>0</v>
      </c>
      <c r="P85" s="6">
        <f>IFERROR(__xludf.DUMMYFUNCTION("""COMPUTED_VALUE"""),0.0)</f>
        <v>0</v>
      </c>
      <c r="Q85" s="6">
        <f>IFERROR(__xludf.DUMMYFUNCTION("""COMPUTED_VALUE"""),0.0)</f>
        <v>0</v>
      </c>
      <c r="R85" s="6">
        <f>IFERROR(__xludf.DUMMYFUNCTION("""COMPUTED_VALUE"""),0.0)</f>
        <v>0</v>
      </c>
      <c r="S85" s="6">
        <f>IFERROR(__xludf.DUMMYFUNCTION("""COMPUTED_VALUE"""),0.0)</f>
        <v>0</v>
      </c>
      <c r="T85" s="6">
        <f>IFERROR(__xludf.DUMMYFUNCTION("""COMPUTED_VALUE"""),0.0)</f>
        <v>0</v>
      </c>
      <c r="U85" s="6">
        <f>IFERROR(__xludf.DUMMYFUNCTION("""COMPUTED_VALUE"""),0.0)</f>
        <v>0</v>
      </c>
      <c r="V85" s="4">
        <f t="shared" ref="V85:X85" si="84">SUM(D85, G85, J85, M85, P85, S85)</f>
        <v>1</v>
      </c>
      <c r="W85" s="4">
        <f t="shared" si="84"/>
        <v>1</v>
      </c>
      <c r="X85" s="4">
        <f t="shared" si="84"/>
        <v>1</v>
      </c>
    </row>
    <row r="86">
      <c r="A86" s="4" t="str">
        <f>IFERROR(__xludf.DUMMYFUNCTION("""COMPUTED_VALUE"""),"Школа 883")</f>
        <v>Школа 883</v>
      </c>
      <c r="B86" s="4" t="str">
        <f t="array" ref="B86">IFERROR(INDEX('Адреса школ'!F:F, MATCH(A86, 'Адреса школ'!E:E, 0)), "")</f>
        <v>55.860438, 37.431468</v>
      </c>
      <c r="C86" s="5" t="str">
        <f t="array" ref="C86">IFERROR(INDEX('Топ-400'!A:A, MATCH(A86, 'Топ-400'!E:E, 0)), "Вне рейтинга")</f>
        <v>355</v>
      </c>
      <c r="D86" s="6">
        <f>IFERROR(__xludf.DUMMYFUNCTION("""COMPUTED_VALUE"""),0.0)</f>
        <v>0</v>
      </c>
      <c r="E86" s="6">
        <f>IFERROR(__xludf.DUMMYFUNCTION("""COMPUTED_VALUE"""),0.0)</f>
        <v>0</v>
      </c>
      <c r="F86" s="6">
        <f>IFERROR(__xludf.DUMMYFUNCTION("""COMPUTED_VALUE"""),0.0)</f>
        <v>0</v>
      </c>
      <c r="G86" s="6">
        <f>IFERROR(__xludf.DUMMYFUNCTION("""COMPUTED_VALUE"""),0.0)</f>
        <v>0</v>
      </c>
      <c r="H86" s="6">
        <f>IFERROR(__xludf.DUMMYFUNCTION("""COMPUTED_VALUE"""),0.0)</f>
        <v>0</v>
      </c>
      <c r="I86" s="6">
        <f>IFERROR(__xludf.DUMMYFUNCTION("""COMPUTED_VALUE"""),0.0)</f>
        <v>0</v>
      </c>
      <c r="J86" s="6">
        <f>IFERROR(__xludf.DUMMYFUNCTION("""COMPUTED_VALUE"""),0.0)</f>
        <v>0</v>
      </c>
      <c r="K86" s="6">
        <f>IFERROR(__xludf.DUMMYFUNCTION("""COMPUTED_VALUE"""),0.0)</f>
        <v>0</v>
      </c>
      <c r="L86" s="6">
        <f>IFERROR(__xludf.DUMMYFUNCTION("""COMPUTED_VALUE"""),0.0)</f>
        <v>0</v>
      </c>
      <c r="M86" s="6">
        <f>IFERROR(__xludf.DUMMYFUNCTION("""COMPUTED_VALUE"""),1.0)</f>
        <v>1</v>
      </c>
      <c r="N86" s="6">
        <f>IFERROR(__xludf.DUMMYFUNCTION("""COMPUTED_VALUE"""),0.0)</f>
        <v>0</v>
      </c>
      <c r="O86" s="6">
        <f>IFERROR(__xludf.DUMMYFUNCTION("""COMPUTED_VALUE"""),0.0)</f>
        <v>0</v>
      </c>
      <c r="P86" s="6">
        <f>IFERROR(__xludf.DUMMYFUNCTION("""COMPUTED_VALUE"""),0.0)</f>
        <v>0</v>
      </c>
      <c r="Q86" s="6">
        <f>IFERROR(__xludf.DUMMYFUNCTION("""COMPUTED_VALUE"""),0.0)</f>
        <v>0</v>
      </c>
      <c r="R86" s="6">
        <f>IFERROR(__xludf.DUMMYFUNCTION("""COMPUTED_VALUE"""),0.0)</f>
        <v>0</v>
      </c>
      <c r="S86" s="6">
        <f>IFERROR(__xludf.DUMMYFUNCTION("""COMPUTED_VALUE"""),0.0)</f>
        <v>0</v>
      </c>
      <c r="T86" s="6">
        <f>IFERROR(__xludf.DUMMYFUNCTION("""COMPUTED_VALUE"""),0.0)</f>
        <v>0</v>
      </c>
      <c r="U86" s="6">
        <f>IFERROR(__xludf.DUMMYFUNCTION("""COMPUTED_VALUE"""),0.0)</f>
        <v>0</v>
      </c>
      <c r="V86" s="4">
        <f t="shared" ref="V86:X86" si="85">SUM(D86, G86, J86, M86, P86, S86)</f>
        <v>1</v>
      </c>
      <c r="W86" s="4">
        <f t="shared" si="85"/>
        <v>0</v>
      </c>
      <c r="X86" s="4">
        <f t="shared" si="85"/>
        <v>0</v>
      </c>
    </row>
    <row r="87">
      <c r="A87" s="4" t="str">
        <f>IFERROR(__xludf.DUMMYFUNCTION("""COMPUTED_VALUE"""),"Школа 887")</f>
        <v>Школа 887</v>
      </c>
      <c r="B87" s="4" t="str">
        <f t="array" ref="B87">IFERROR(INDEX('Адреса школ'!F:F, MATCH(A87, 'Адреса школ'!E:E, 0)), "")</f>
        <v>55.732002, 37.439715</v>
      </c>
      <c r="C87" s="5" t="str">
        <f t="array" ref="C87">IFERROR(INDEX('Топ-400'!A:A, MATCH(A87, 'Топ-400'!E:E, 0)), "Вне рейтинга")</f>
        <v>231</v>
      </c>
      <c r="D87" s="6">
        <f>IFERROR(__xludf.DUMMYFUNCTION("""COMPUTED_VALUE"""),0.0)</f>
        <v>0</v>
      </c>
      <c r="E87" s="6">
        <f>IFERROR(__xludf.DUMMYFUNCTION("""COMPUTED_VALUE"""),0.0)</f>
        <v>0</v>
      </c>
      <c r="F87" s="6">
        <f>IFERROR(__xludf.DUMMYFUNCTION("""COMPUTED_VALUE"""),0.0)</f>
        <v>0</v>
      </c>
      <c r="G87" s="6">
        <f>IFERROR(__xludf.DUMMYFUNCTION("""COMPUTED_VALUE"""),0.0)</f>
        <v>0</v>
      </c>
      <c r="H87" s="6">
        <f>IFERROR(__xludf.DUMMYFUNCTION("""COMPUTED_VALUE"""),0.0)</f>
        <v>0</v>
      </c>
      <c r="I87" s="6">
        <f>IFERROR(__xludf.DUMMYFUNCTION("""COMPUTED_VALUE"""),0.0)</f>
        <v>0</v>
      </c>
      <c r="J87" s="6">
        <f>IFERROR(__xludf.DUMMYFUNCTION("""COMPUTED_VALUE"""),0.0)</f>
        <v>0</v>
      </c>
      <c r="K87" s="6">
        <f>IFERROR(__xludf.DUMMYFUNCTION("""COMPUTED_VALUE"""),0.0)</f>
        <v>0</v>
      </c>
      <c r="L87" s="6">
        <f>IFERROR(__xludf.DUMMYFUNCTION("""COMPUTED_VALUE"""),0.0)</f>
        <v>0</v>
      </c>
      <c r="M87" s="6">
        <f>IFERROR(__xludf.DUMMYFUNCTION("""COMPUTED_VALUE"""),1.0)</f>
        <v>1</v>
      </c>
      <c r="N87" s="6">
        <f>IFERROR(__xludf.DUMMYFUNCTION("""COMPUTED_VALUE"""),1.0)</f>
        <v>1</v>
      </c>
      <c r="O87" s="6">
        <f>IFERROR(__xludf.DUMMYFUNCTION("""COMPUTED_VALUE"""),1.0)</f>
        <v>1</v>
      </c>
      <c r="P87" s="6">
        <f>IFERROR(__xludf.DUMMYFUNCTION("""COMPUTED_VALUE"""),0.0)</f>
        <v>0</v>
      </c>
      <c r="Q87" s="6">
        <f>IFERROR(__xludf.DUMMYFUNCTION("""COMPUTED_VALUE"""),0.0)</f>
        <v>0</v>
      </c>
      <c r="R87" s="6">
        <f>IFERROR(__xludf.DUMMYFUNCTION("""COMPUTED_VALUE"""),0.0)</f>
        <v>0</v>
      </c>
      <c r="S87" s="6">
        <f>IFERROR(__xludf.DUMMYFUNCTION("""COMPUTED_VALUE"""),0.0)</f>
        <v>0</v>
      </c>
      <c r="T87" s="6">
        <f>IFERROR(__xludf.DUMMYFUNCTION("""COMPUTED_VALUE"""),0.0)</f>
        <v>0</v>
      </c>
      <c r="U87" s="6">
        <f>IFERROR(__xludf.DUMMYFUNCTION("""COMPUTED_VALUE"""),0.0)</f>
        <v>0</v>
      </c>
      <c r="V87" s="4">
        <f t="shared" ref="V87:X87" si="86">SUM(D87, G87, J87, M87, P87, S87)</f>
        <v>1</v>
      </c>
      <c r="W87" s="4">
        <f t="shared" si="86"/>
        <v>1</v>
      </c>
      <c r="X87" s="4">
        <f t="shared" si="86"/>
        <v>1</v>
      </c>
    </row>
    <row r="88">
      <c r="A88" s="4" t="str">
        <f>IFERROR(__xludf.DUMMYFUNCTION("""COMPUTED_VALUE"""),"Школа 902")</f>
        <v>Школа 902</v>
      </c>
      <c r="B88" s="4" t="str">
        <f t="array" ref="B88">IFERROR(INDEX('Адреса школ'!F:F, MATCH(A88, 'Адреса школ'!E:E, 0)), "")</f>
        <v>55.591126, 37.668004</v>
      </c>
      <c r="C88" s="5" t="str">
        <f t="array" ref="C88">IFERROR(INDEX('Топ-400'!A:A, MATCH(A88, 'Топ-400'!E:E, 0)), "Вне рейтинга")</f>
        <v>391</v>
      </c>
      <c r="D88" s="6">
        <f>IFERROR(__xludf.DUMMYFUNCTION("""COMPUTED_VALUE"""),0.0)</f>
        <v>0</v>
      </c>
      <c r="E88" s="6">
        <f>IFERROR(__xludf.DUMMYFUNCTION("""COMPUTED_VALUE"""),0.0)</f>
        <v>0</v>
      </c>
      <c r="F88" s="6">
        <f>IFERROR(__xludf.DUMMYFUNCTION("""COMPUTED_VALUE"""),0.0)</f>
        <v>0</v>
      </c>
      <c r="G88" s="6">
        <f>IFERROR(__xludf.DUMMYFUNCTION("""COMPUTED_VALUE"""),1.0)</f>
        <v>1</v>
      </c>
      <c r="H88" s="6">
        <f>IFERROR(__xludf.DUMMYFUNCTION("""COMPUTED_VALUE"""),0.0)</f>
        <v>0</v>
      </c>
      <c r="I88" s="6">
        <f>IFERROR(__xludf.DUMMYFUNCTION("""COMPUTED_VALUE"""),0.0)</f>
        <v>0</v>
      </c>
      <c r="J88" s="6">
        <f>IFERROR(__xludf.DUMMYFUNCTION("""COMPUTED_VALUE"""),0.0)</f>
        <v>0</v>
      </c>
      <c r="K88" s="6">
        <f>IFERROR(__xludf.DUMMYFUNCTION("""COMPUTED_VALUE"""),0.0)</f>
        <v>0</v>
      </c>
      <c r="L88" s="6">
        <f>IFERROR(__xludf.DUMMYFUNCTION("""COMPUTED_VALUE"""),0.0)</f>
        <v>0</v>
      </c>
      <c r="M88" s="6">
        <f>IFERROR(__xludf.DUMMYFUNCTION("""COMPUTED_VALUE"""),1.0)</f>
        <v>1</v>
      </c>
      <c r="N88" s="6">
        <f>IFERROR(__xludf.DUMMYFUNCTION("""COMPUTED_VALUE"""),0.0)</f>
        <v>0</v>
      </c>
      <c r="O88" s="6">
        <f>IFERROR(__xludf.DUMMYFUNCTION("""COMPUTED_VALUE"""),1.0)</f>
        <v>1</v>
      </c>
      <c r="P88" s="6">
        <f>IFERROR(__xludf.DUMMYFUNCTION("""COMPUTED_VALUE"""),0.0)</f>
        <v>0</v>
      </c>
      <c r="Q88" s="6">
        <f>IFERROR(__xludf.DUMMYFUNCTION("""COMPUTED_VALUE"""),1.0)</f>
        <v>1</v>
      </c>
      <c r="R88" s="6">
        <f>IFERROR(__xludf.DUMMYFUNCTION("""COMPUTED_VALUE"""),1.0)</f>
        <v>1</v>
      </c>
      <c r="S88" s="6">
        <f>IFERROR(__xludf.DUMMYFUNCTION("""COMPUTED_VALUE"""),0.0)</f>
        <v>0</v>
      </c>
      <c r="T88" s="6">
        <f>IFERROR(__xludf.DUMMYFUNCTION("""COMPUTED_VALUE"""),0.0)</f>
        <v>0</v>
      </c>
      <c r="U88" s="6">
        <f>IFERROR(__xludf.DUMMYFUNCTION("""COMPUTED_VALUE"""),0.0)</f>
        <v>0</v>
      </c>
      <c r="V88" s="4">
        <f t="shared" ref="V88:X88" si="87">SUM(D88, G88, J88, M88, P88, S88)</f>
        <v>2</v>
      </c>
      <c r="W88" s="4">
        <f t="shared" si="87"/>
        <v>1</v>
      </c>
      <c r="X88" s="4">
        <f t="shared" si="87"/>
        <v>2</v>
      </c>
    </row>
    <row r="89">
      <c r="A89" s="4" t="str">
        <f>IFERROR(__xludf.DUMMYFUNCTION("""COMPUTED_VALUE"""),"Школа 904")</f>
        <v>Школа 904</v>
      </c>
      <c r="B89" s="4" t="str">
        <f t="array" ref="B89">IFERROR(INDEX('Адреса школ'!F:F, MATCH(A89, 'Адреса школ'!E:E, 0)), "")</f>
        <v>55.633419, 37.665497</v>
      </c>
      <c r="C89" s="5" t="str">
        <f t="array" ref="C89">IFERROR(INDEX('Топ-400'!A:A, MATCH(A89, 'Топ-400'!E:E, 0)), "Вне рейтинга")</f>
        <v>298</v>
      </c>
      <c r="D89" s="6">
        <f>IFERROR(__xludf.DUMMYFUNCTION("""COMPUTED_VALUE"""),1.0)</f>
        <v>1</v>
      </c>
      <c r="E89" s="6">
        <f>IFERROR(__xludf.DUMMYFUNCTION("""COMPUTED_VALUE"""),1.0)</f>
        <v>1</v>
      </c>
      <c r="F89" s="6">
        <f>IFERROR(__xludf.DUMMYFUNCTION("""COMPUTED_VALUE"""),1.0)</f>
        <v>1</v>
      </c>
      <c r="G89" s="6">
        <f>IFERROR(__xludf.DUMMYFUNCTION("""COMPUTED_VALUE"""),0.0)</f>
        <v>0</v>
      </c>
      <c r="H89" s="6">
        <f>IFERROR(__xludf.DUMMYFUNCTION("""COMPUTED_VALUE"""),0.0)</f>
        <v>0</v>
      </c>
      <c r="I89" s="6">
        <f>IFERROR(__xludf.DUMMYFUNCTION("""COMPUTED_VALUE"""),0.0)</f>
        <v>0</v>
      </c>
      <c r="J89" s="6">
        <f>IFERROR(__xludf.DUMMYFUNCTION("""COMPUTED_VALUE"""),0.0)</f>
        <v>0</v>
      </c>
      <c r="K89" s="6">
        <f>IFERROR(__xludf.DUMMYFUNCTION("""COMPUTED_VALUE"""),0.0)</f>
        <v>0</v>
      </c>
      <c r="L89" s="6">
        <f>IFERROR(__xludf.DUMMYFUNCTION("""COMPUTED_VALUE"""),0.0)</f>
        <v>0</v>
      </c>
      <c r="M89" s="6">
        <f>IFERROR(__xludf.DUMMYFUNCTION("""COMPUTED_VALUE"""),0.0)</f>
        <v>0</v>
      </c>
      <c r="N89" s="6">
        <f>IFERROR(__xludf.DUMMYFUNCTION("""COMPUTED_VALUE"""),0.0)</f>
        <v>0</v>
      </c>
      <c r="O89" s="6">
        <f>IFERROR(__xludf.DUMMYFUNCTION("""COMPUTED_VALUE"""),0.0)</f>
        <v>0</v>
      </c>
      <c r="P89" s="6">
        <f>IFERROR(__xludf.DUMMYFUNCTION("""COMPUTED_VALUE"""),0.0)</f>
        <v>0</v>
      </c>
      <c r="Q89" s="6">
        <f>IFERROR(__xludf.DUMMYFUNCTION("""COMPUTED_VALUE"""),0.0)</f>
        <v>0</v>
      </c>
      <c r="R89" s="6">
        <f>IFERROR(__xludf.DUMMYFUNCTION("""COMPUTED_VALUE"""),0.0)</f>
        <v>0</v>
      </c>
      <c r="S89" s="6">
        <f>IFERROR(__xludf.DUMMYFUNCTION("""COMPUTED_VALUE"""),0.0)</f>
        <v>0</v>
      </c>
      <c r="T89" s="6">
        <f>IFERROR(__xludf.DUMMYFUNCTION("""COMPUTED_VALUE"""),0.0)</f>
        <v>0</v>
      </c>
      <c r="U89" s="6">
        <f>IFERROR(__xludf.DUMMYFUNCTION("""COMPUTED_VALUE"""),0.0)</f>
        <v>0</v>
      </c>
      <c r="V89" s="4">
        <f t="shared" ref="V89:X89" si="88">SUM(D89, G89, J89, M89, P89, S89)</f>
        <v>1</v>
      </c>
      <c r="W89" s="4">
        <f t="shared" si="88"/>
        <v>1</v>
      </c>
      <c r="X89" s="4">
        <f t="shared" si="88"/>
        <v>1</v>
      </c>
    </row>
    <row r="90">
      <c r="A90" s="4" t="str">
        <f>IFERROR(__xludf.DUMMYFUNCTION("""COMPUTED_VALUE"""),"Школа 924")</f>
        <v>Школа 924</v>
      </c>
      <c r="B90" s="4" t="str">
        <f t="array" ref="B90">IFERROR(INDEX('Адреса школ'!F:F, MATCH(A90, 'Адреса школ'!E:E, 0)), "")</f>
        <v>55.591421, 37.605247</v>
      </c>
      <c r="C90" s="5" t="str">
        <f t="array" ref="C90">IFERROR(INDEX('Топ-400'!A:A, MATCH(A90, 'Топ-400'!E:E, 0)), "Вне рейтинга")</f>
        <v>300</v>
      </c>
      <c r="D90" s="6">
        <f>IFERROR(__xludf.DUMMYFUNCTION("""COMPUTED_VALUE"""),1.0)</f>
        <v>1</v>
      </c>
      <c r="E90" s="6">
        <f>IFERROR(__xludf.DUMMYFUNCTION("""COMPUTED_VALUE"""),1.0)</f>
        <v>1</v>
      </c>
      <c r="F90" s="6">
        <f>IFERROR(__xludf.DUMMYFUNCTION("""COMPUTED_VALUE"""),1.0)</f>
        <v>1</v>
      </c>
      <c r="G90" s="6">
        <f>IFERROR(__xludf.DUMMYFUNCTION("""COMPUTED_VALUE"""),0.0)</f>
        <v>0</v>
      </c>
      <c r="H90" s="6">
        <f>IFERROR(__xludf.DUMMYFUNCTION("""COMPUTED_VALUE"""),0.0)</f>
        <v>0</v>
      </c>
      <c r="I90" s="6">
        <f>IFERROR(__xludf.DUMMYFUNCTION("""COMPUTED_VALUE"""),0.0)</f>
        <v>0</v>
      </c>
      <c r="J90" s="6">
        <f>IFERROR(__xludf.DUMMYFUNCTION("""COMPUTED_VALUE"""),0.0)</f>
        <v>0</v>
      </c>
      <c r="K90" s="6">
        <f>IFERROR(__xludf.DUMMYFUNCTION("""COMPUTED_VALUE"""),0.0)</f>
        <v>0</v>
      </c>
      <c r="L90" s="6">
        <f>IFERROR(__xludf.DUMMYFUNCTION("""COMPUTED_VALUE"""),0.0)</f>
        <v>0</v>
      </c>
      <c r="M90" s="6">
        <f>IFERROR(__xludf.DUMMYFUNCTION("""COMPUTED_VALUE"""),1.0)</f>
        <v>1</v>
      </c>
      <c r="N90" s="6">
        <f>IFERROR(__xludf.DUMMYFUNCTION("""COMPUTED_VALUE"""),1.0)</f>
        <v>1</v>
      </c>
      <c r="O90" s="6">
        <f>IFERROR(__xludf.DUMMYFUNCTION("""COMPUTED_VALUE"""),1.0)</f>
        <v>1</v>
      </c>
      <c r="P90" s="6">
        <f>IFERROR(__xludf.DUMMYFUNCTION("""COMPUTED_VALUE"""),0.0)</f>
        <v>0</v>
      </c>
      <c r="Q90" s="6">
        <f>IFERROR(__xludf.DUMMYFUNCTION("""COMPUTED_VALUE"""),0.0)</f>
        <v>0</v>
      </c>
      <c r="R90" s="6">
        <f>IFERROR(__xludf.DUMMYFUNCTION("""COMPUTED_VALUE"""),0.0)</f>
        <v>0</v>
      </c>
      <c r="S90" s="6">
        <f>IFERROR(__xludf.DUMMYFUNCTION("""COMPUTED_VALUE"""),0.0)</f>
        <v>0</v>
      </c>
      <c r="T90" s="6">
        <f>IFERROR(__xludf.DUMMYFUNCTION("""COMPUTED_VALUE"""),0.0)</f>
        <v>0</v>
      </c>
      <c r="U90" s="6">
        <f>IFERROR(__xludf.DUMMYFUNCTION("""COMPUTED_VALUE"""),0.0)</f>
        <v>0</v>
      </c>
      <c r="V90" s="4">
        <f t="shared" ref="V90:X90" si="89">SUM(D90, G90, J90, M90, P90, S90)</f>
        <v>2</v>
      </c>
      <c r="W90" s="4">
        <f t="shared" si="89"/>
        <v>2</v>
      </c>
      <c r="X90" s="4">
        <f t="shared" si="89"/>
        <v>2</v>
      </c>
    </row>
    <row r="91">
      <c r="A91" s="4" t="str">
        <f>IFERROR(__xludf.DUMMYFUNCTION("""COMPUTED_VALUE"""),"Школа 937")</f>
        <v>Школа 937</v>
      </c>
      <c r="B91" s="4" t="str">
        <f t="array" ref="B91">IFERROR(INDEX('Адреса школ'!F:F, MATCH(A91, 'Адреса школ'!E:E, 0)), "")</f>
        <v>55.6193, 37.701403</v>
      </c>
      <c r="C91" s="5" t="str">
        <f t="array" ref="C91">IFERROR(INDEX('Топ-400'!A:A, MATCH(A91, 'Топ-400'!E:E, 0)), "Вне рейтинга")</f>
        <v>Вне рейтинга</v>
      </c>
      <c r="D91" s="6">
        <f>IFERROR(__xludf.DUMMYFUNCTION("""COMPUTED_VALUE"""),0.0)</f>
        <v>0</v>
      </c>
      <c r="E91" s="6">
        <f>IFERROR(__xludf.DUMMYFUNCTION("""COMPUTED_VALUE"""),0.0)</f>
        <v>0</v>
      </c>
      <c r="F91" s="6">
        <f>IFERROR(__xludf.DUMMYFUNCTION("""COMPUTED_VALUE"""),1.0)</f>
        <v>1</v>
      </c>
      <c r="G91" s="6">
        <f>IFERROR(__xludf.DUMMYFUNCTION("""COMPUTED_VALUE"""),0.0)</f>
        <v>0</v>
      </c>
      <c r="H91" s="6">
        <f>IFERROR(__xludf.DUMMYFUNCTION("""COMPUTED_VALUE"""),0.0)</f>
        <v>0</v>
      </c>
      <c r="I91" s="6">
        <f>IFERROR(__xludf.DUMMYFUNCTION("""COMPUTED_VALUE"""),0.0)</f>
        <v>0</v>
      </c>
      <c r="J91" s="6">
        <f>IFERROR(__xludf.DUMMYFUNCTION("""COMPUTED_VALUE"""),0.0)</f>
        <v>0</v>
      </c>
      <c r="K91" s="6">
        <f>IFERROR(__xludf.DUMMYFUNCTION("""COMPUTED_VALUE"""),0.0)</f>
        <v>0</v>
      </c>
      <c r="L91" s="6">
        <f>IFERROR(__xludf.DUMMYFUNCTION("""COMPUTED_VALUE"""),0.0)</f>
        <v>0</v>
      </c>
      <c r="M91" s="6">
        <f>IFERROR(__xludf.DUMMYFUNCTION("""COMPUTED_VALUE"""),0.0)</f>
        <v>0</v>
      </c>
      <c r="N91" s="6">
        <f>IFERROR(__xludf.DUMMYFUNCTION("""COMPUTED_VALUE"""),0.0)</f>
        <v>0</v>
      </c>
      <c r="O91" s="6">
        <f>IFERROR(__xludf.DUMMYFUNCTION("""COMPUTED_VALUE"""),0.0)</f>
        <v>0</v>
      </c>
      <c r="P91" s="6">
        <f>IFERROR(__xludf.DUMMYFUNCTION("""COMPUTED_VALUE"""),0.0)</f>
        <v>0</v>
      </c>
      <c r="Q91" s="6">
        <f>IFERROR(__xludf.DUMMYFUNCTION("""COMPUTED_VALUE"""),0.0)</f>
        <v>0</v>
      </c>
      <c r="R91" s="6">
        <f>IFERROR(__xludf.DUMMYFUNCTION("""COMPUTED_VALUE"""),0.0)</f>
        <v>0</v>
      </c>
      <c r="S91" s="6">
        <f>IFERROR(__xludf.DUMMYFUNCTION("""COMPUTED_VALUE"""),0.0)</f>
        <v>0</v>
      </c>
      <c r="T91" s="6">
        <f>IFERROR(__xludf.DUMMYFUNCTION("""COMPUTED_VALUE"""),0.0)</f>
        <v>0</v>
      </c>
      <c r="U91" s="6">
        <f>IFERROR(__xludf.DUMMYFUNCTION("""COMPUTED_VALUE"""),0.0)</f>
        <v>0</v>
      </c>
      <c r="V91" s="4">
        <f t="shared" ref="V91:X91" si="90">SUM(D91, G91, J91, M91, P91, S91)</f>
        <v>0</v>
      </c>
      <c r="W91" s="4">
        <f t="shared" si="90"/>
        <v>0</v>
      </c>
      <c r="X91" s="4">
        <f t="shared" si="90"/>
        <v>1</v>
      </c>
    </row>
    <row r="92">
      <c r="A92" s="4" t="str">
        <f>IFERROR(__xludf.DUMMYFUNCTION("""COMPUTED_VALUE"""),"Школа 947")</f>
        <v>Школа 947</v>
      </c>
      <c r="B92" s="4" t="str">
        <f t="array" ref="B92">IFERROR(INDEX('Адреса школ'!F:F, MATCH(A92, 'Адреса школ'!E:E, 0)), "")</f>
        <v>55.584975, 37.674561</v>
      </c>
      <c r="C92" s="5" t="str">
        <f t="array" ref="C92">IFERROR(INDEX('Топ-400'!A:A, MATCH(A92, 'Топ-400'!E:E, 0)), "Вне рейтинга")</f>
        <v>163</v>
      </c>
      <c r="D92" s="6">
        <f>IFERROR(__xludf.DUMMYFUNCTION("""COMPUTED_VALUE"""),1.0)</f>
        <v>1</v>
      </c>
      <c r="E92" s="6">
        <f>IFERROR(__xludf.DUMMYFUNCTION("""COMPUTED_VALUE"""),0.0)</f>
        <v>0</v>
      </c>
      <c r="F92" s="6">
        <f>IFERROR(__xludf.DUMMYFUNCTION("""COMPUTED_VALUE"""),0.0)</f>
        <v>0</v>
      </c>
      <c r="G92" s="6">
        <f>IFERROR(__xludf.DUMMYFUNCTION("""COMPUTED_VALUE"""),1.0)</f>
        <v>1</v>
      </c>
      <c r="H92" s="6">
        <f>IFERROR(__xludf.DUMMYFUNCTION("""COMPUTED_VALUE"""),0.0)</f>
        <v>0</v>
      </c>
      <c r="I92" s="6">
        <f>IFERROR(__xludf.DUMMYFUNCTION("""COMPUTED_VALUE"""),1.0)</f>
        <v>1</v>
      </c>
      <c r="J92" s="6">
        <f>IFERROR(__xludf.DUMMYFUNCTION("""COMPUTED_VALUE"""),1.0)</f>
        <v>1</v>
      </c>
      <c r="K92" s="6">
        <f>IFERROR(__xludf.DUMMYFUNCTION("""COMPUTED_VALUE"""),1.0)</f>
        <v>1</v>
      </c>
      <c r="L92" s="6">
        <f>IFERROR(__xludf.DUMMYFUNCTION("""COMPUTED_VALUE"""),1.0)</f>
        <v>1</v>
      </c>
      <c r="M92" s="6">
        <f>IFERROR(__xludf.DUMMYFUNCTION("""COMPUTED_VALUE"""),1.0)</f>
        <v>1</v>
      </c>
      <c r="N92" s="6">
        <f>IFERROR(__xludf.DUMMYFUNCTION("""COMPUTED_VALUE"""),0.0)</f>
        <v>0</v>
      </c>
      <c r="O92" s="6">
        <f>IFERROR(__xludf.DUMMYFUNCTION("""COMPUTED_VALUE"""),1.0)</f>
        <v>1</v>
      </c>
      <c r="P92" s="6">
        <f>IFERROR(__xludf.DUMMYFUNCTION("""COMPUTED_VALUE"""),1.0)</f>
        <v>1</v>
      </c>
      <c r="Q92" s="6">
        <f>IFERROR(__xludf.DUMMYFUNCTION("""COMPUTED_VALUE"""),1.0)</f>
        <v>1</v>
      </c>
      <c r="R92" s="6">
        <f>IFERROR(__xludf.DUMMYFUNCTION("""COMPUTED_VALUE"""),1.0)</f>
        <v>1</v>
      </c>
      <c r="S92" s="6">
        <f>IFERROR(__xludf.DUMMYFUNCTION("""COMPUTED_VALUE"""),0.0)</f>
        <v>0</v>
      </c>
      <c r="T92" s="6">
        <f>IFERROR(__xludf.DUMMYFUNCTION("""COMPUTED_VALUE"""),0.0)</f>
        <v>0</v>
      </c>
      <c r="U92" s="6">
        <f>IFERROR(__xludf.DUMMYFUNCTION("""COMPUTED_VALUE"""),0.0)</f>
        <v>0</v>
      </c>
      <c r="V92" s="4">
        <f t="shared" ref="V92:X92" si="91">SUM(D92, G92, J92, M92, P92, S92)</f>
        <v>5</v>
      </c>
      <c r="W92" s="4">
        <f t="shared" si="91"/>
        <v>2</v>
      </c>
      <c r="X92" s="4">
        <f t="shared" si="91"/>
        <v>4</v>
      </c>
    </row>
    <row r="93">
      <c r="A93" s="4" t="str">
        <f>IFERROR(__xludf.DUMMYFUNCTION("""COMPUTED_VALUE"""),"Школа 949")</f>
        <v>Школа 949</v>
      </c>
      <c r="B93" s="4" t="str">
        <f t="array" ref="B93">IFERROR(INDEX('Адреса школ'!F:F, MATCH(A93, 'Адреса школ'!E:E, 0)), "")</f>
        <v>55.608811, 37.753847</v>
      </c>
      <c r="C93" s="5" t="str">
        <f t="array" ref="C93">IFERROR(INDEX('Топ-400'!A:A, MATCH(A93, 'Топ-400'!E:E, 0)), "Вне рейтинга")</f>
        <v>218</v>
      </c>
      <c r="D93" s="6">
        <f>IFERROR(__xludf.DUMMYFUNCTION("""COMPUTED_VALUE"""),0.0)</f>
        <v>0</v>
      </c>
      <c r="E93" s="6">
        <f>IFERROR(__xludf.DUMMYFUNCTION("""COMPUTED_VALUE"""),0.0)</f>
        <v>0</v>
      </c>
      <c r="F93" s="6">
        <f>IFERROR(__xludf.DUMMYFUNCTION("""COMPUTED_VALUE"""),0.0)</f>
        <v>0</v>
      </c>
      <c r="G93" s="6">
        <f>IFERROR(__xludf.DUMMYFUNCTION("""COMPUTED_VALUE"""),0.0)</f>
        <v>0</v>
      </c>
      <c r="H93" s="6">
        <f>IFERROR(__xludf.DUMMYFUNCTION("""COMPUTED_VALUE"""),0.0)</f>
        <v>0</v>
      </c>
      <c r="I93" s="6">
        <f>IFERROR(__xludf.DUMMYFUNCTION("""COMPUTED_VALUE"""),0.0)</f>
        <v>0</v>
      </c>
      <c r="J93" s="6">
        <f>IFERROR(__xludf.DUMMYFUNCTION("""COMPUTED_VALUE"""),1.0)</f>
        <v>1</v>
      </c>
      <c r="K93" s="6">
        <f>IFERROR(__xludf.DUMMYFUNCTION("""COMPUTED_VALUE"""),1.0)</f>
        <v>1</v>
      </c>
      <c r="L93" s="6">
        <f>IFERROR(__xludf.DUMMYFUNCTION("""COMPUTED_VALUE"""),1.0)</f>
        <v>1</v>
      </c>
      <c r="M93" s="6">
        <f>IFERROR(__xludf.DUMMYFUNCTION("""COMPUTED_VALUE"""),1.0)</f>
        <v>1</v>
      </c>
      <c r="N93" s="6">
        <f>IFERROR(__xludf.DUMMYFUNCTION("""COMPUTED_VALUE"""),0.0)</f>
        <v>0</v>
      </c>
      <c r="O93" s="6">
        <f>IFERROR(__xludf.DUMMYFUNCTION("""COMPUTED_VALUE"""),1.0)</f>
        <v>1</v>
      </c>
      <c r="P93" s="6">
        <f>IFERROR(__xludf.DUMMYFUNCTION("""COMPUTED_VALUE"""),1.0)</f>
        <v>1</v>
      </c>
      <c r="Q93" s="6">
        <f>IFERROR(__xludf.DUMMYFUNCTION("""COMPUTED_VALUE"""),1.0)</f>
        <v>1</v>
      </c>
      <c r="R93" s="6">
        <f>IFERROR(__xludf.DUMMYFUNCTION("""COMPUTED_VALUE"""),0.0)</f>
        <v>0</v>
      </c>
      <c r="S93" s="6">
        <f>IFERROR(__xludf.DUMMYFUNCTION("""COMPUTED_VALUE"""),0.0)</f>
        <v>0</v>
      </c>
      <c r="T93" s="6">
        <f>IFERROR(__xludf.DUMMYFUNCTION("""COMPUTED_VALUE"""),0.0)</f>
        <v>0</v>
      </c>
      <c r="U93" s="6">
        <f>IFERROR(__xludf.DUMMYFUNCTION("""COMPUTED_VALUE"""),0.0)</f>
        <v>0</v>
      </c>
      <c r="V93" s="4">
        <f t="shared" ref="V93:X93" si="92">SUM(D93, G93, J93, M93, P93, S93)</f>
        <v>3</v>
      </c>
      <c r="W93" s="4">
        <f t="shared" si="92"/>
        <v>2</v>
      </c>
      <c r="X93" s="4">
        <f t="shared" si="92"/>
        <v>2</v>
      </c>
    </row>
    <row r="94">
      <c r="A94" s="4" t="str">
        <f>IFERROR(__xludf.DUMMYFUNCTION("""COMPUTED_VALUE"""),"Школа 950")</f>
        <v>Школа 950</v>
      </c>
      <c r="B94" s="4" t="str">
        <f t="array" ref="B94">IFERROR(INDEX('Адреса школ'!F:F, MATCH(A94, 'Адреса школ'!E:E, 0)), "")</f>
        <v>55.86056, 37.608904</v>
      </c>
      <c r="C94" s="5" t="str">
        <f t="array" ref="C94">IFERROR(INDEX('Топ-400'!A:A, MATCH(A94, 'Топ-400'!E:E, 0)), "Вне рейтинга")</f>
        <v>262</v>
      </c>
      <c r="D94" s="6">
        <f>IFERROR(__xludf.DUMMYFUNCTION("""COMPUTED_VALUE"""),1.0)</f>
        <v>1</v>
      </c>
      <c r="E94" s="6">
        <f>IFERROR(__xludf.DUMMYFUNCTION("""COMPUTED_VALUE"""),0.0)</f>
        <v>0</v>
      </c>
      <c r="F94" s="6">
        <f>IFERROR(__xludf.DUMMYFUNCTION("""COMPUTED_VALUE"""),0.0)</f>
        <v>0</v>
      </c>
      <c r="G94" s="6">
        <f>IFERROR(__xludf.DUMMYFUNCTION("""COMPUTED_VALUE"""),1.0)</f>
        <v>1</v>
      </c>
      <c r="H94" s="6">
        <f>IFERROR(__xludf.DUMMYFUNCTION("""COMPUTED_VALUE"""),0.0)</f>
        <v>0</v>
      </c>
      <c r="I94" s="6">
        <f>IFERROR(__xludf.DUMMYFUNCTION("""COMPUTED_VALUE"""),0.0)</f>
        <v>0</v>
      </c>
      <c r="J94" s="6">
        <f>IFERROR(__xludf.DUMMYFUNCTION("""COMPUTED_VALUE"""),0.0)</f>
        <v>0</v>
      </c>
      <c r="K94" s="6">
        <f>IFERROR(__xludf.DUMMYFUNCTION("""COMPUTED_VALUE"""),0.0)</f>
        <v>0</v>
      </c>
      <c r="L94" s="6">
        <f>IFERROR(__xludf.DUMMYFUNCTION("""COMPUTED_VALUE"""),0.0)</f>
        <v>0</v>
      </c>
      <c r="M94" s="6">
        <f>IFERROR(__xludf.DUMMYFUNCTION("""COMPUTED_VALUE"""),1.0)</f>
        <v>1</v>
      </c>
      <c r="N94" s="6">
        <f>IFERROR(__xludf.DUMMYFUNCTION("""COMPUTED_VALUE"""),0.0)</f>
        <v>0</v>
      </c>
      <c r="O94" s="6">
        <f>IFERROR(__xludf.DUMMYFUNCTION("""COMPUTED_VALUE"""),1.0)</f>
        <v>1</v>
      </c>
      <c r="P94" s="6">
        <f>IFERROR(__xludf.DUMMYFUNCTION("""COMPUTED_VALUE"""),1.0)</f>
        <v>1</v>
      </c>
      <c r="Q94" s="6">
        <f>IFERROR(__xludf.DUMMYFUNCTION("""COMPUTED_VALUE"""),0.0)</f>
        <v>0</v>
      </c>
      <c r="R94" s="6">
        <f>IFERROR(__xludf.DUMMYFUNCTION("""COMPUTED_VALUE"""),0.0)</f>
        <v>0</v>
      </c>
      <c r="S94" s="6">
        <f>IFERROR(__xludf.DUMMYFUNCTION("""COMPUTED_VALUE"""),0.0)</f>
        <v>0</v>
      </c>
      <c r="T94" s="6">
        <f>IFERROR(__xludf.DUMMYFUNCTION("""COMPUTED_VALUE"""),0.0)</f>
        <v>0</v>
      </c>
      <c r="U94" s="6">
        <f>IFERROR(__xludf.DUMMYFUNCTION("""COMPUTED_VALUE"""),0.0)</f>
        <v>0</v>
      </c>
      <c r="V94" s="4">
        <f t="shared" ref="V94:X94" si="93">SUM(D94, G94, J94, M94, P94, S94)</f>
        <v>4</v>
      </c>
      <c r="W94" s="4">
        <f t="shared" si="93"/>
        <v>0</v>
      </c>
      <c r="X94" s="4">
        <f t="shared" si="93"/>
        <v>1</v>
      </c>
    </row>
    <row r="95">
      <c r="A95" s="4" t="str">
        <f>IFERROR(__xludf.DUMMYFUNCTION("""COMPUTED_VALUE"""),"Школа 953")</f>
        <v>Школа 953</v>
      </c>
      <c r="B95" s="4" t="str">
        <f t="array" ref="B95">IFERROR(INDEX('Адреса школ'!F:F, MATCH(A95, 'Адреса школ'!E:E, 0)), "")</f>
        <v>55.896257, 37.589832</v>
      </c>
      <c r="C95" s="5" t="str">
        <f t="array" ref="C95">IFERROR(INDEX('Топ-400'!A:A, MATCH(A95, 'Топ-400'!E:E, 0)), "Вне рейтинга")</f>
        <v>257</v>
      </c>
      <c r="D95" s="6">
        <f>IFERROR(__xludf.DUMMYFUNCTION("""COMPUTED_VALUE"""),1.0)</f>
        <v>1</v>
      </c>
      <c r="E95" s="6">
        <f>IFERROR(__xludf.DUMMYFUNCTION("""COMPUTED_VALUE"""),1.0)</f>
        <v>1</v>
      </c>
      <c r="F95" s="6">
        <f>IFERROR(__xludf.DUMMYFUNCTION("""COMPUTED_VALUE"""),1.0)</f>
        <v>1</v>
      </c>
      <c r="G95" s="6">
        <f>IFERROR(__xludf.DUMMYFUNCTION("""COMPUTED_VALUE"""),0.0)</f>
        <v>0</v>
      </c>
      <c r="H95" s="6">
        <f>IFERROR(__xludf.DUMMYFUNCTION("""COMPUTED_VALUE"""),0.0)</f>
        <v>0</v>
      </c>
      <c r="I95" s="6">
        <f>IFERROR(__xludf.DUMMYFUNCTION("""COMPUTED_VALUE"""),0.0)</f>
        <v>0</v>
      </c>
      <c r="J95" s="6">
        <f>IFERROR(__xludf.DUMMYFUNCTION("""COMPUTED_VALUE"""),0.0)</f>
        <v>0</v>
      </c>
      <c r="K95" s="6">
        <f>IFERROR(__xludf.DUMMYFUNCTION("""COMPUTED_VALUE"""),0.0)</f>
        <v>0</v>
      </c>
      <c r="L95" s="6">
        <f>IFERROR(__xludf.DUMMYFUNCTION("""COMPUTED_VALUE"""),0.0)</f>
        <v>0</v>
      </c>
      <c r="M95" s="6">
        <f>IFERROR(__xludf.DUMMYFUNCTION("""COMPUTED_VALUE"""),0.0)</f>
        <v>0</v>
      </c>
      <c r="N95" s="6">
        <f>IFERROR(__xludf.DUMMYFUNCTION("""COMPUTED_VALUE"""),1.0)</f>
        <v>1</v>
      </c>
      <c r="O95" s="6">
        <f>IFERROR(__xludf.DUMMYFUNCTION("""COMPUTED_VALUE"""),1.0)</f>
        <v>1</v>
      </c>
      <c r="P95" s="6">
        <f>IFERROR(__xludf.DUMMYFUNCTION("""COMPUTED_VALUE"""),0.0)</f>
        <v>0</v>
      </c>
      <c r="Q95" s="6">
        <f>IFERROR(__xludf.DUMMYFUNCTION("""COMPUTED_VALUE"""),0.0)</f>
        <v>0</v>
      </c>
      <c r="R95" s="6">
        <f>IFERROR(__xludf.DUMMYFUNCTION("""COMPUTED_VALUE"""),0.0)</f>
        <v>0</v>
      </c>
      <c r="S95" s="6">
        <f>IFERROR(__xludf.DUMMYFUNCTION("""COMPUTED_VALUE"""),0.0)</f>
        <v>0</v>
      </c>
      <c r="T95" s="6">
        <f>IFERROR(__xludf.DUMMYFUNCTION("""COMPUTED_VALUE"""),0.0)</f>
        <v>0</v>
      </c>
      <c r="U95" s="6">
        <f>IFERROR(__xludf.DUMMYFUNCTION("""COMPUTED_VALUE"""),0.0)</f>
        <v>0</v>
      </c>
      <c r="V95" s="4">
        <f t="shared" ref="V95:X95" si="94">SUM(D95, G95, J95, M95, P95, S95)</f>
        <v>1</v>
      </c>
      <c r="W95" s="4">
        <f t="shared" si="94"/>
        <v>2</v>
      </c>
      <c r="X95" s="4">
        <f t="shared" si="94"/>
        <v>2</v>
      </c>
    </row>
    <row r="96">
      <c r="A96" s="4" t="str">
        <f>IFERROR(__xludf.DUMMYFUNCTION("""COMPUTED_VALUE"""),"Школа 956")</f>
        <v>Школа 956</v>
      </c>
      <c r="B96" s="4" t="str">
        <f t="array" ref="B96">IFERROR(INDEX('Адреса школ'!F:F, MATCH(A96, 'Адреса школ'!E:E, 0)), "")</f>
        <v>55.867465, 37.642653</v>
      </c>
      <c r="C96" s="5" t="str">
        <f t="array" ref="C96">IFERROR(INDEX('Топ-400'!A:A, MATCH(A96, 'Топ-400'!E:E, 0)), "Вне рейтинга")</f>
        <v>351</v>
      </c>
      <c r="D96" s="6">
        <f>IFERROR(__xludf.DUMMYFUNCTION("""COMPUTED_VALUE"""),0.0)</f>
        <v>0</v>
      </c>
      <c r="E96" s="6">
        <f>IFERROR(__xludf.DUMMYFUNCTION("""COMPUTED_VALUE"""),0.0)</f>
        <v>0</v>
      </c>
      <c r="F96" s="6">
        <f>IFERROR(__xludf.DUMMYFUNCTION("""COMPUTED_VALUE"""),0.0)</f>
        <v>0</v>
      </c>
      <c r="G96" s="6">
        <f>IFERROR(__xludf.DUMMYFUNCTION("""COMPUTED_VALUE"""),1.0)</f>
        <v>1</v>
      </c>
      <c r="H96" s="6">
        <f>IFERROR(__xludf.DUMMYFUNCTION("""COMPUTED_VALUE"""),1.0)</f>
        <v>1</v>
      </c>
      <c r="I96" s="6">
        <f>IFERROR(__xludf.DUMMYFUNCTION("""COMPUTED_VALUE"""),1.0)</f>
        <v>1</v>
      </c>
      <c r="J96" s="6">
        <f>IFERROR(__xludf.DUMMYFUNCTION("""COMPUTED_VALUE"""),0.0)</f>
        <v>0</v>
      </c>
      <c r="K96" s="6">
        <f>IFERROR(__xludf.DUMMYFUNCTION("""COMPUTED_VALUE"""),0.0)</f>
        <v>0</v>
      </c>
      <c r="L96" s="6">
        <f>IFERROR(__xludf.DUMMYFUNCTION("""COMPUTED_VALUE"""),0.0)</f>
        <v>0</v>
      </c>
      <c r="M96" s="6">
        <f>IFERROR(__xludf.DUMMYFUNCTION("""COMPUTED_VALUE"""),0.0)</f>
        <v>0</v>
      </c>
      <c r="N96" s="6">
        <f>IFERROR(__xludf.DUMMYFUNCTION("""COMPUTED_VALUE"""),0.0)</f>
        <v>0</v>
      </c>
      <c r="O96" s="6">
        <f>IFERROR(__xludf.DUMMYFUNCTION("""COMPUTED_VALUE"""),0.0)</f>
        <v>0</v>
      </c>
      <c r="P96" s="6">
        <f>IFERROR(__xludf.DUMMYFUNCTION("""COMPUTED_VALUE"""),1.0)</f>
        <v>1</v>
      </c>
      <c r="Q96" s="6">
        <f>IFERROR(__xludf.DUMMYFUNCTION("""COMPUTED_VALUE"""),1.0)</f>
        <v>1</v>
      </c>
      <c r="R96" s="6">
        <f>IFERROR(__xludf.DUMMYFUNCTION("""COMPUTED_VALUE"""),1.0)</f>
        <v>1</v>
      </c>
      <c r="S96" s="6">
        <f>IFERROR(__xludf.DUMMYFUNCTION("""COMPUTED_VALUE"""),0.0)</f>
        <v>0</v>
      </c>
      <c r="T96" s="6">
        <f>IFERROR(__xludf.DUMMYFUNCTION("""COMPUTED_VALUE"""),0.0)</f>
        <v>0</v>
      </c>
      <c r="U96" s="6">
        <f>IFERROR(__xludf.DUMMYFUNCTION("""COMPUTED_VALUE"""),0.0)</f>
        <v>0</v>
      </c>
      <c r="V96" s="4">
        <f t="shared" ref="V96:X96" si="95">SUM(D96, G96, J96, M96, P96, S96)</f>
        <v>2</v>
      </c>
      <c r="W96" s="4">
        <f t="shared" si="95"/>
        <v>2</v>
      </c>
      <c r="X96" s="4">
        <f t="shared" si="95"/>
        <v>2</v>
      </c>
    </row>
    <row r="97">
      <c r="A97" s="4" t="str">
        <f>IFERROR(__xludf.DUMMYFUNCTION("""COMPUTED_VALUE"""),"Школа 962")</f>
        <v>Школа 962</v>
      </c>
      <c r="B97" s="4" t="str">
        <f t="array" ref="B97">IFERROR(INDEX('Адреса школ'!F:F, MATCH(A97, 'Адреса школ'!E:E, 0)), "")</f>
        <v>55.859943, 37.592914</v>
      </c>
      <c r="C97" s="5" t="str">
        <f t="array" ref="C97">IFERROR(INDEX('Топ-400'!A:A, MATCH(A97, 'Топ-400'!E:E, 0)), "Вне рейтинга")</f>
        <v>192</v>
      </c>
      <c r="D97" s="6">
        <f>IFERROR(__xludf.DUMMYFUNCTION("""COMPUTED_VALUE"""),1.0)</f>
        <v>1</v>
      </c>
      <c r="E97" s="6">
        <f>IFERROR(__xludf.DUMMYFUNCTION("""COMPUTED_VALUE"""),0.0)</f>
        <v>0</v>
      </c>
      <c r="F97" s="6">
        <f>IFERROR(__xludf.DUMMYFUNCTION("""COMPUTED_VALUE"""),0.0)</f>
        <v>0</v>
      </c>
      <c r="G97" s="6">
        <f>IFERROR(__xludf.DUMMYFUNCTION("""COMPUTED_VALUE"""),1.0)</f>
        <v>1</v>
      </c>
      <c r="H97" s="6">
        <f>IFERROR(__xludf.DUMMYFUNCTION("""COMPUTED_VALUE"""),1.0)</f>
        <v>1</v>
      </c>
      <c r="I97" s="6">
        <f>IFERROR(__xludf.DUMMYFUNCTION("""COMPUTED_VALUE"""),1.0)</f>
        <v>1</v>
      </c>
      <c r="J97" s="6">
        <f>IFERROR(__xludf.DUMMYFUNCTION("""COMPUTED_VALUE"""),1.0)</f>
        <v>1</v>
      </c>
      <c r="K97" s="6">
        <f>IFERROR(__xludf.DUMMYFUNCTION("""COMPUTED_VALUE"""),1.0)</f>
        <v>1</v>
      </c>
      <c r="L97" s="6">
        <f>IFERROR(__xludf.DUMMYFUNCTION("""COMPUTED_VALUE"""),1.0)</f>
        <v>1</v>
      </c>
      <c r="M97" s="6">
        <f>IFERROR(__xludf.DUMMYFUNCTION("""COMPUTED_VALUE"""),1.0)</f>
        <v>1</v>
      </c>
      <c r="N97" s="6">
        <f>IFERROR(__xludf.DUMMYFUNCTION("""COMPUTED_VALUE"""),1.0)</f>
        <v>1</v>
      </c>
      <c r="O97" s="6">
        <f>IFERROR(__xludf.DUMMYFUNCTION("""COMPUTED_VALUE"""),1.0)</f>
        <v>1</v>
      </c>
      <c r="P97" s="6">
        <f>IFERROR(__xludf.DUMMYFUNCTION("""COMPUTED_VALUE"""),1.0)</f>
        <v>1</v>
      </c>
      <c r="Q97" s="6">
        <f>IFERROR(__xludf.DUMMYFUNCTION("""COMPUTED_VALUE"""),0.0)</f>
        <v>0</v>
      </c>
      <c r="R97" s="6">
        <f>IFERROR(__xludf.DUMMYFUNCTION("""COMPUTED_VALUE"""),0.0)</f>
        <v>0</v>
      </c>
      <c r="S97" s="6">
        <f>IFERROR(__xludf.DUMMYFUNCTION("""COMPUTED_VALUE"""),0.0)</f>
        <v>0</v>
      </c>
      <c r="T97" s="6">
        <f>IFERROR(__xludf.DUMMYFUNCTION("""COMPUTED_VALUE"""),0.0)</f>
        <v>0</v>
      </c>
      <c r="U97" s="6">
        <f>IFERROR(__xludf.DUMMYFUNCTION("""COMPUTED_VALUE"""),0.0)</f>
        <v>0</v>
      </c>
      <c r="V97" s="4">
        <f t="shared" ref="V97:X97" si="96">SUM(D97, G97, J97, M97, P97, S97)</f>
        <v>5</v>
      </c>
      <c r="W97" s="4">
        <f t="shared" si="96"/>
        <v>3</v>
      </c>
      <c r="X97" s="4">
        <f t="shared" si="96"/>
        <v>3</v>
      </c>
    </row>
    <row r="98">
      <c r="A98" s="4" t="str">
        <f>IFERROR(__xludf.DUMMYFUNCTION("""COMPUTED_VALUE"""),"Школа 998")</f>
        <v>Школа 998</v>
      </c>
      <c r="B98" s="4" t="str">
        <f t="array" ref="B98">IFERROR(INDEX('Адреса школ'!F:F, MATCH(A98, 'Адреса школ'!E:E, 0)), "")</f>
        <v>55.639933, 37.766172</v>
      </c>
      <c r="C98" s="5" t="str">
        <f t="array" ref="C98">IFERROR(INDEX('Топ-400'!A:A, MATCH(A98, 'Топ-400'!E:E, 0)), "Вне рейтинга")</f>
        <v>393</v>
      </c>
      <c r="D98" s="6">
        <f>IFERROR(__xludf.DUMMYFUNCTION("""COMPUTED_VALUE"""),0.0)</f>
        <v>0</v>
      </c>
      <c r="E98" s="6">
        <f>IFERROR(__xludf.DUMMYFUNCTION("""COMPUTED_VALUE"""),0.0)</f>
        <v>0</v>
      </c>
      <c r="F98" s="6">
        <f>IFERROR(__xludf.DUMMYFUNCTION("""COMPUTED_VALUE"""),0.0)</f>
        <v>0</v>
      </c>
      <c r="G98" s="6">
        <f>IFERROR(__xludf.DUMMYFUNCTION("""COMPUTED_VALUE"""),0.0)</f>
        <v>0</v>
      </c>
      <c r="H98" s="6">
        <f>IFERROR(__xludf.DUMMYFUNCTION("""COMPUTED_VALUE"""),0.0)</f>
        <v>0</v>
      </c>
      <c r="I98" s="6">
        <f>IFERROR(__xludf.DUMMYFUNCTION("""COMPUTED_VALUE"""),0.0)</f>
        <v>0</v>
      </c>
      <c r="J98" s="6">
        <f>IFERROR(__xludf.DUMMYFUNCTION("""COMPUTED_VALUE"""),0.0)</f>
        <v>0</v>
      </c>
      <c r="K98" s="6">
        <f>IFERROR(__xludf.DUMMYFUNCTION("""COMPUTED_VALUE"""),0.0)</f>
        <v>0</v>
      </c>
      <c r="L98" s="6">
        <f>IFERROR(__xludf.DUMMYFUNCTION("""COMPUTED_VALUE"""),1.0)</f>
        <v>1</v>
      </c>
      <c r="M98" s="6">
        <f>IFERROR(__xludf.DUMMYFUNCTION("""COMPUTED_VALUE"""),1.0)</f>
        <v>1</v>
      </c>
      <c r="N98" s="6">
        <f>IFERROR(__xludf.DUMMYFUNCTION("""COMPUTED_VALUE"""),0.0)</f>
        <v>0</v>
      </c>
      <c r="O98" s="6">
        <f>IFERROR(__xludf.DUMMYFUNCTION("""COMPUTED_VALUE"""),0.0)</f>
        <v>0</v>
      </c>
      <c r="P98" s="6">
        <f>IFERROR(__xludf.DUMMYFUNCTION("""COMPUTED_VALUE"""),1.0)</f>
        <v>1</v>
      </c>
      <c r="Q98" s="6">
        <f>IFERROR(__xludf.DUMMYFUNCTION("""COMPUTED_VALUE"""),1.0)</f>
        <v>1</v>
      </c>
      <c r="R98" s="6">
        <f>IFERROR(__xludf.DUMMYFUNCTION("""COMPUTED_VALUE"""),0.0)</f>
        <v>0</v>
      </c>
      <c r="S98" s="6">
        <f>IFERROR(__xludf.DUMMYFUNCTION("""COMPUTED_VALUE"""),0.0)</f>
        <v>0</v>
      </c>
      <c r="T98" s="6">
        <f>IFERROR(__xludf.DUMMYFUNCTION("""COMPUTED_VALUE"""),0.0)</f>
        <v>0</v>
      </c>
      <c r="U98" s="6">
        <f>IFERROR(__xludf.DUMMYFUNCTION("""COMPUTED_VALUE"""),0.0)</f>
        <v>0</v>
      </c>
      <c r="V98" s="4">
        <f t="shared" ref="V98:X98" si="97">SUM(D98, G98, J98, M98, P98, S98)</f>
        <v>2</v>
      </c>
      <c r="W98" s="4">
        <f t="shared" si="97"/>
        <v>1</v>
      </c>
      <c r="X98" s="4">
        <f t="shared" si="97"/>
        <v>1</v>
      </c>
    </row>
    <row r="99">
      <c r="A99" s="4" t="str">
        <f>IFERROR(__xludf.DUMMYFUNCTION("""COMPUTED_VALUE"""),"Школа 1000")</f>
        <v>Школа 1000</v>
      </c>
      <c r="B99" s="4" t="str">
        <f t="array" ref="B99">IFERROR(INDEX('Адреса школ'!F:F, MATCH(A99, 'Адреса школ'!E:E, 0)), "")</f>
        <v>55.657738, 37.390604</v>
      </c>
      <c r="C99" s="5" t="str">
        <f t="array" ref="C99">IFERROR(INDEX('Топ-400'!A:A, MATCH(A99, 'Топ-400'!E:E, 0)), "Вне рейтинга")</f>
        <v>85</v>
      </c>
      <c r="D99" s="6">
        <f>IFERROR(__xludf.DUMMYFUNCTION("""COMPUTED_VALUE"""),0.0)</f>
        <v>0</v>
      </c>
      <c r="E99" s="6">
        <f>IFERROR(__xludf.DUMMYFUNCTION("""COMPUTED_VALUE"""),0.0)</f>
        <v>0</v>
      </c>
      <c r="F99" s="6">
        <f>IFERROR(__xludf.DUMMYFUNCTION("""COMPUTED_VALUE"""),0.0)</f>
        <v>0</v>
      </c>
      <c r="G99" s="6">
        <f>IFERROR(__xludf.DUMMYFUNCTION("""COMPUTED_VALUE"""),0.0)</f>
        <v>0</v>
      </c>
      <c r="H99" s="6">
        <f>IFERROR(__xludf.DUMMYFUNCTION("""COMPUTED_VALUE"""),0.0)</f>
        <v>0</v>
      </c>
      <c r="I99" s="6">
        <f>IFERROR(__xludf.DUMMYFUNCTION("""COMPUTED_VALUE"""),0.0)</f>
        <v>0</v>
      </c>
      <c r="J99" s="6">
        <f>IFERROR(__xludf.DUMMYFUNCTION("""COMPUTED_VALUE"""),1.0)</f>
        <v>1</v>
      </c>
      <c r="K99" s="6">
        <f>IFERROR(__xludf.DUMMYFUNCTION("""COMPUTED_VALUE"""),1.0)</f>
        <v>1</v>
      </c>
      <c r="L99" s="6">
        <f>IFERROR(__xludf.DUMMYFUNCTION("""COMPUTED_VALUE"""),1.0)</f>
        <v>1</v>
      </c>
      <c r="M99" s="6">
        <f>IFERROR(__xludf.DUMMYFUNCTION("""COMPUTED_VALUE"""),1.0)</f>
        <v>1</v>
      </c>
      <c r="N99" s="6">
        <f>IFERROR(__xludf.DUMMYFUNCTION("""COMPUTED_VALUE"""),1.0)</f>
        <v>1</v>
      </c>
      <c r="O99" s="6">
        <f>IFERROR(__xludf.DUMMYFUNCTION("""COMPUTED_VALUE"""),1.0)</f>
        <v>1</v>
      </c>
      <c r="P99" s="6">
        <f>IFERROR(__xludf.DUMMYFUNCTION("""COMPUTED_VALUE"""),0.0)</f>
        <v>0</v>
      </c>
      <c r="Q99" s="6">
        <f>IFERROR(__xludf.DUMMYFUNCTION("""COMPUTED_VALUE"""),0.0)</f>
        <v>0</v>
      </c>
      <c r="R99" s="6">
        <f>IFERROR(__xludf.DUMMYFUNCTION("""COMPUTED_VALUE"""),0.0)</f>
        <v>0</v>
      </c>
      <c r="S99" s="6">
        <f>IFERROR(__xludf.DUMMYFUNCTION("""COMPUTED_VALUE"""),0.0)</f>
        <v>0</v>
      </c>
      <c r="T99" s="6">
        <f>IFERROR(__xludf.DUMMYFUNCTION("""COMPUTED_VALUE"""),0.0)</f>
        <v>0</v>
      </c>
      <c r="U99" s="6">
        <f>IFERROR(__xludf.DUMMYFUNCTION("""COMPUTED_VALUE"""),0.0)</f>
        <v>0</v>
      </c>
      <c r="V99" s="4">
        <f t="shared" ref="V99:X99" si="98">SUM(D99, G99, J99, M99, P99, S99)</f>
        <v>2</v>
      </c>
      <c r="W99" s="4">
        <f t="shared" si="98"/>
        <v>2</v>
      </c>
      <c r="X99" s="4">
        <f t="shared" si="98"/>
        <v>2</v>
      </c>
    </row>
    <row r="100">
      <c r="A100" s="4" t="str">
        <f>IFERROR(__xludf.DUMMYFUNCTION("""COMPUTED_VALUE"""),"Школа 1002")</f>
        <v>Школа 1002</v>
      </c>
      <c r="B100" s="4" t="str">
        <f t="array" ref="B100">IFERROR(INDEX('Адреса школ'!F:F, MATCH(A100, 'Адреса школ'!E:E, 0)), "")</f>
        <v>55.652888, 37.4023</v>
      </c>
      <c r="C100" s="5" t="str">
        <f t="array" ref="C100">IFERROR(INDEX('Топ-400'!A:A, MATCH(A100, 'Топ-400'!E:E, 0)), "Вне рейтинга")</f>
        <v>183</v>
      </c>
      <c r="D100" s="6">
        <f>IFERROR(__xludf.DUMMYFUNCTION("""COMPUTED_VALUE"""),1.0)</f>
        <v>1</v>
      </c>
      <c r="E100" s="6">
        <f>IFERROR(__xludf.DUMMYFUNCTION("""COMPUTED_VALUE"""),1.0)</f>
        <v>1</v>
      </c>
      <c r="F100" s="6">
        <f>IFERROR(__xludf.DUMMYFUNCTION("""COMPUTED_VALUE"""),1.0)</f>
        <v>1</v>
      </c>
      <c r="G100" s="6">
        <f>IFERROR(__xludf.DUMMYFUNCTION("""COMPUTED_VALUE"""),1.0)</f>
        <v>1</v>
      </c>
      <c r="H100" s="6">
        <f>IFERROR(__xludf.DUMMYFUNCTION("""COMPUTED_VALUE"""),1.0)</f>
        <v>1</v>
      </c>
      <c r="I100" s="6">
        <f>IFERROR(__xludf.DUMMYFUNCTION("""COMPUTED_VALUE"""),1.0)</f>
        <v>1</v>
      </c>
      <c r="J100" s="6">
        <f>IFERROR(__xludf.DUMMYFUNCTION("""COMPUTED_VALUE"""),0.0)</f>
        <v>0</v>
      </c>
      <c r="K100" s="6">
        <f>IFERROR(__xludf.DUMMYFUNCTION("""COMPUTED_VALUE"""),0.0)</f>
        <v>0</v>
      </c>
      <c r="L100" s="6">
        <f>IFERROR(__xludf.DUMMYFUNCTION("""COMPUTED_VALUE"""),0.0)</f>
        <v>0</v>
      </c>
      <c r="M100" s="6">
        <f>IFERROR(__xludf.DUMMYFUNCTION("""COMPUTED_VALUE"""),0.0)</f>
        <v>0</v>
      </c>
      <c r="N100" s="6">
        <f>IFERROR(__xludf.DUMMYFUNCTION("""COMPUTED_VALUE"""),0.0)</f>
        <v>0</v>
      </c>
      <c r="O100" s="6">
        <f>IFERROR(__xludf.DUMMYFUNCTION("""COMPUTED_VALUE"""),0.0)</f>
        <v>0</v>
      </c>
      <c r="P100" s="6">
        <f>IFERROR(__xludf.DUMMYFUNCTION("""COMPUTED_VALUE"""),0.0)</f>
        <v>0</v>
      </c>
      <c r="Q100" s="6">
        <f>IFERROR(__xludf.DUMMYFUNCTION("""COMPUTED_VALUE"""),0.0)</f>
        <v>0</v>
      </c>
      <c r="R100" s="6">
        <f>IFERROR(__xludf.DUMMYFUNCTION("""COMPUTED_VALUE"""),0.0)</f>
        <v>0</v>
      </c>
      <c r="S100" s="6">
        <f>IFERROR(__xludf.DUMMYFUNCTION("""COMPUTED_VALUE"""),0.0)</f>
        <v>0</v>
      </c>
      <c r="T100" s="6">
        <f>IFERROR(__xludf.DUMMYFUNCTION("""COMPUTED_VALUE"""),0.0)</f>
        <v>0</v>
      </c>
      <c r="U100" s="6">
        <f>IFERROR(__xludf.DUMMYFUNCTION("""COMPUTED_VALUE"""),0.0)</f>
        <v>0</v>
      </c>
      <c r="V100" s="4">
        <f t="shared" ref="V100:X100" si="99">SUM(D100, G100, J100, M100, P100, S100)</f>
        <v>2</v>
      </c>
      <c r="W100" s="4">
        <f t="shared" si="99"/>
        <v>2</v>
      </c>
      <c r="X100" s="4">
        <f t="shared" si="99"/>
        <v>2</v>
      </c>
    </row>
    <row r="101">
      <c r="A101" s="4" t="str">
        <f>IFERROR(__xludf.DUMMYFUNCTION("""COMPUTED_VALUE"""),"Школа 1018")</f>
        <v>Школа 1018</v>
      </c>
      <c r="B101" s="4" t="str">
        <f t="array" ref="B101">IFERROR(INDEX('Адреса школ'!F:F, MATCH(A101, 'Адреса школ'!E:E, 0)), "")</f>
        <v>55.641412, 37.350827</v>
      </c>
      <c r="C101" s="5" t="str">
        <f t="array" ref="C101">IFERROR(INDEX('Топ-400'!A:A, MATCH(A101, 'Топ-400'!E:E, 0)), "Вне рейтинга")</f>
        <v>82</v>
      </c>
      <c r="D101" s="6">
        <f>IFERROR(__xludf.DUMMYFUNCTION("""COMPUTED_VALUE"""),1.0)</f>
        <v>1</v>
      </c>
      <c r="E101" s="6">
        <f>IFERROR(__xludf.DUMMYFUNCTION("""COMPUTED_VALUE"""),0.0)</f>
        <v>0</v>
      </c>
      <c r="F101" s="6">
        <f>IFERROR(__xludf.DUMMYFUNCTION("""COMPUTED_VALUE"""),0.0)</f>
        <v>0</v>
      </c>
      <c r="G101" s="6">
        <f>IFERROR(__xludf.DUMMYFUNCTION("""COMPUTED_VALUE"""),0.0)</f>
        <v>0</v>
      </c>
      <c r="H101" s="6">
        <f>IFERROR(__xludf.DUMMYFUNCTION("""COMPUTED_VALUE"""),0.0)</f>
        <v>0</v>
      </c>
      <c r="I101" s="6">
        <f>IFERROR(__xludf.DUMMYFUNCTION("""COMPUTED_VALUE"""),0.0)</f>
        <v>0</v>
      </c>
      <c r="J101" s="6">
        <f>IFERROR(__xludf.DUMMYFUNCTION("""COMPUTED_VALUE"""),0.0)</f>
        <v>0</v>
      </c>
      <c r="K101" s="6">
        <f>IFERROR(__xludf.DUMMYFUNCTION("""COMPUTED_VALUE"""),0.0)</f>
        <v>0</v>
      </c>
      <c r="L101" s="6">
        <f>IFERROR(__xludf.DUMMYFUNCTION("""COMPUTED_VALUE"""),0.0)</f>
        <v>0</v>
      </c>
      <c r="M101" s="6">
        <f>IFERROR(__xludf.DUMMYFUNCTION("""COMPUTED_VALUE"""),1.0)</f>
        <v>1</v>
      </c>
      <c r="N101" s="6">
        <f>IFERROR(__xludf.DUMMYFUNCTION("""COMPUTED_VALUE"""),1.0)</f>
        <v>1</v>
      </c>
      <c r="O101" s="6">
        <f>IFERROR(__xludf.DUMMYFUNCTION("""COMPUTED_VALUE"""),1.0)</f>
        <v>1</v>
      </c>
      <c r="P101" s="6">
        <f>IFERROR(__xludf.DUMMYFUNCTION("""COMPUTED_VALUE"""),0.0)</f>
        <v>0</v>
      </c>
      <c r="Q101" s="6">
        <f>IFERROR(__xludf.DUMMYFUNCTION("""COMPUTED_VALUE"""),0.0)</f>
        <v>0</v>
      </c>
      <c r="R101" s="6">
        <f>IFERROR(__xludf.DUMMYFUNCTION("""COMPUTED_VALUE"""),0.0)</f>
        <v>0</v>
      </c>
      <c r="S101" s="6">
        <f>IFERROR(__xludf.DUMMYFUNCTION("""COMPUTED_VALUE"""),0.0)</f>
        <v>0</v>
      </c>
      <c r="T101" s="6">
        <f>IFERROR(__xludf.DUMMYFUNCTION("""COMPUTED_VALUE"""),0.0)</f>
        <v>0</v>
      </c>
      <c r="U101" s="6">
        <f>IFERROR(__xludf.DUMMYFUNCTION("""COMPUTED_VALUE"""),0.0)</f>
        <v>0</v>
      </c>
      <c r="V101" s="4">
        <f t="shared" ref="V101:X101" si="100">SUM(D101, G101, J101, M101, P101, S101)</f>
        <v>2</v>
      </c>
      <c r="W101" s="4">
        <f t="shared" si="100"/>
        <v>1</v>
      </c>
      <c r="X101" s="4">
        <f t="shared" si="100"/>
        <v>1</v>
      </c>
    </row>
    <row r="102">
      <c r="A102" s="4" t="str">
        <f>IFERROR(__xludf.DUMMYFUNCTION("""COMPUTED_VALUE"""),"Школа 1034")</f>
        <v>Школа 1034</v>
      </c>
      <c r="B102" s="4" t="str">
        <f t="array" ref="B102">IFERROR(INDEX('Адреса школ'!F:F, MATCH(A102, 'Адреса школ'!E:E, 0)), "")</f>
        <v>55.631346, 37.759282</v>
      </c>
      <c r="C102" s="5" t="str">
        <f t="array" ref="C102">IFERROR(INDEX('Топ-400'!A:A, MATCH(A102, 'Топ-400'!E:E, 0)), "Вне рейтинга")</f>
        <v>213</v>
      </c>
      <c r="D102" s="6">
        <f>IFERROR(__xludf.DUMMYFUNCTION("""COMPUTED_VALUE"""),1.0)</f>
        <v>1</v>
      </c>
      <c r="E102" s="6">
        <f>IFERROR(__xludf.DUMMYFUNCTION("""COMPUTED_VALUE"""),1.0)</f>
        <v>1</v>
      </c>
      <c r="F102" s="6">
        <f>IFERROR(__xludf.DUMMYFUNCTION("""COMPUTED_VALUE"""),1.0)</f>
        <v>1</v>
      </c>
      <c r="G102" s="6">
        <f>IFERROR(__xludf.DUMMYFUNCTION("""COMPUTED_VALUE"""),1.0)</f>
        <v>1</v>
      </c>
      <c r="H102" s="6">
        <f>IFERROR(__xludf.DUMMYFUNCTION("""COMPUTED_VALUE"""),1.0)</f>
        <v>1</v>
      </c>
      <c r="I102" s="6">
        <f>IFERROR(__xludf.DUMMYFUNCTION("""COMPUTED_VALUE"""),1.0)</f>
        <v>1</v>
      </c>
      <c r="J102" s="6">
        <f>IFERROR(__xludf.DUMMYFUNCTION("""COMPUTED_VALUE"""),0.0)</f>
        <v>0</v>
      </c>
      <c r="K102" s="6">
        <f>IFERROR(__xludf.DUMMYFUNCTION("""COMPUTED_VALUE"""),0.0)</f>
        <v>0</v>
      </c>
      <c r="L102" s="6">
        <f>IFERROR(__xludf.DUMMYFUNCTION("""COMPUTED_VALUE"""),0.0)</f>
        <v>0</v>
      </c>
      <c r="M102" s="6">
        <f>IFERROR(__xludf.DUMMYFUNCTION("""COMPUTED_VALUE"""),0.0)</f>
        <v>0</v>
      </c>
      <c r="N102" s="6">
        <f>IFERROR(__xludf.DUMMYFUNCTION("""COMPUTED_VALUE"""),1.0)</f>
        <v>1</v>
      </c>
      <c r="O102" s="6">
        <f>IFERROR(__xludf.DUMMYFUNCTION("""COMPUTED_VALUE"""),1.0)</f>
        <v>1</v>
      </c>
      <c r="P102" s="6">
        <f>IFERROR(__xludf.DUMMYFUNCTION("""COMPUTED_VALUE"""),0.0)</f>
        <v>0</v>
      </c>
      <c r="Q102" s="6">
        <f>IFERROR(__xludf.DUMMYFUNCTION("""COMPUTED_VALUE"""),0.0)</f>
        <v>0</v>
      </c>
      <c r="R102" s="6">
        <f>IFERROR(__xludf.DUMMYFUNCTION("""COMPUTED_VALUE"""),0.0)</f>
        <v>0</v>
      </c>
      <c r="S102" s="6">
        <f>IFERROR(__xludf.DUMMYFUNCTION("""COMPUTED_VALUE"""),0.0)</f>
        <v>0</v>
      </c>
      <c r="T102" s="6">
        <f>IFERROR(__xludf.DUMMYFUNCTION("""COMPUTED_VALUE"""),0.0)</f>
        <v>0</v>
      </c>
      <c r="U102" s="6">
        <f>IFERROR(__xludf.DUMMYFUNCTION("""COMPUTED_VALUE"""),0.0)</f>
        <v>0</v>
      </c>
      <c r="V102" s="4">
        <f t="shared" ref="V102:X102" si="101">SUM(D102, G102, J102, M102, P102, S102)</f>
        <v>2</v>
      </c>
      <c r="W102" s="4">
        <f t="shared" si="101"/>
        <v>3</v>
      </c>
      <c r="X102" s="4">
        <f t="shared" si="101"/>
        <v>3</v>
      </c>
    </row>
    <row r="103">
      <c r="A103" s="4" t="str">
        <f>IFERROR(__xludf.DUMMYFUNCTION("""COMPUTED_VALUE"""),"Школа 1080")</f>
        <v>Школа 1080</v>
      </c>
      <c r="B103" s="4" t="str">
        <f t="array" ref="B103">IFERROR(INDEX('Адреса школ'!F:F, MATCH(A103, 'Адреса школ'!E:E, 0)), "")</f>
        <v>55.801708, 37.72051</v>
      </c>
      <c r="C103" s="5" t="str">
        <f t="array" ref="C103">IFERROR(INDEX('Топ-400'!A:A, MATCH(A103, 'Топ-400'!E:E, 0)), "Вне рейтинга")</f>
        <v>175</v>
      </c>
      <c r="D103" s="6">
        <f>IFERROR(__xludf.DUMMYFUNCTION("""COMPUTED_VALUE"""),0.0)</f>
        <v>0</v>
      </c>
      <c r="E103" s="6">
        <f>IFERROR(__xludf.DUMMYFUNCTION("""COMPUTED_VALUE"""),0.0)</f>
        <v>0</v>
      </c>
      <c r="F103" s="6">
        <f>IFERROR(__xludf.DUMMYFUNCTION("""COMPUTED_VALUE"""),0.0)</f>
        <v>0</v>
      </c>
      <c r="G103" s="6">
        <f>IFERROR(__xludf.DUMMYFUNCTION("""COMPUTED_VALUE"""),0.0)</f>
        <v>0</v>
      </c>
      <c r="H103" s="6">
        <f>IFERROR(__xludf.DUMMYFUNCTION("""COMPUTED_VALUE"""),0.0)</f>
        <v>0</v>
      </c>
      <c r="I103" s="6">
        <f>IFERROR(__xludf.DUMMYFUNCTION("""COMPUTED_VALUE"""),0.0)</f>
        <v>0</v>
      </c>
      <c r="J103" s="6">
        <f>IFERROR(__xludf.DUMMYFUNCTION("""COMPUTED_VALUE"""),1.0)</f>
        <v>1</v>
      </c>
      <c r="K103" s="6">
        <f>IFERROR(__xludf.DUMMYFUNCTION("""COMPUTED_VALUE"""),0.0)</f>
        <v>0</v>
      </c>
      <c r="L103" s="6">
        <f>IFERROR(__xludf.DUMMYFUNCTION("""COMPUTED_VALUE"""),0.0)</f>
        <v>0</v>
      </c>
      <c r="M103" s="6">
        <f>IFERROR(__xludf.DUMMYFUNCTION("""COMPUTED_VALUE"""),0.0)</f>
        <v>0</v>
      </c>
      <c r="N103" s="6">
        <f>IFERROR(__xludf.DUMMYFUNCTION("""COMPUTED_VALUE"""),0.0)</f>
        <v>0</v>
      </c>
      <c r="O103" s="6">
        <f>IFERROR(__xludf.DUMMYFUNCTION("""COMPUTED_VALUE"""),0.0)</f>
        <v>0</v>
      </c>
      <c r="P103" s="6">
        <f>IFERROR(__xludf.DUMMYFUNCTION("""COMPUTED_VALUE"""),0.0)</f>
        <v>0</v>
      </c>
      <c r="Q103" s="6">
        <f>IFERROR(__xludf.DUMMYFUNCTION("""COMPUTED_VALUE"""),0.0)</f>
        <v>0</v>
      </c>
      <c r="R103" s="6">
        <f>IFERROR(__xludf.DUMMYFUNCTION("""COMPUTED_VALUE"""),0.0)</f>
        <v>0</v>
      </c>
      <c r="S103" s="6">
        <f>IFERROR(__xludf.DUMMYFUNCTION("""COMPUTED_VALUE"""),0.0)</f>
        <v>0</v>
      </c>
      <c r="T103" s="6">
        <f>IFERROR(__xludf.DUMMYFUNCTION("""COMPUTED_VALUE"""),0.0)</f>
        <v>0</v>
      </c>
      <c r="U103" s="6">
        <f>IFERROR(__xludf.DUMMYFUNCTION("""COMPUTED_VALUE"""),0.0)</f>
        <v>0</v>
      </c>
      <c r="V103" s="4">
        <f t="shared" ref="V103:X103" si="102">SUM(D103, G103, J103, M103, P103, S103)</f>
        <v>1</v>
      </c>
      <c r="W103" s="4">
        <f t="shared" si="102"/>
        <v>0</v>
      </c>
      <c r="X103" s="4">
        <f t="shared" si="102"/>
        <v>0</v>
      </c>
    </row>
    <row r="104">
      <c r="A104" s="4" t="str">
        <f>IFERROR(__xludf.DUMMYFUNCTION("""COMPUTED_VALUE"""),"Школа 1095")</f>
        <v>Школа 1095</v>
      </c>
      <c r="B104" s="4" t="str">
        <f t="array" ref="B104">IFERROR(INDEX('Адреса школ'!F:F, MATCH(A104, 'Адреса школ'!E:E, 0)), "")</f>
        <v>55.872592, 37.670824</v>
      </c>
      <c r="C104" s="5" t="str">
        <f t="array" ref="C104">IFERROR(INDEX('Топ-400'!A:A, MATCH(A104, 'Топ-400'!E:E, 0)), "Вне рейтинга")</f>
        <v>341</v>
      </c>
      <c r="D104" s="6">
        <f>IFERROR(__xludf.DUMMYFUNCTION("""COMPUTED_VALUE"""),1.0)</f>
        <v>1</v>
      </c>
      <c r="E104" s="6">
        <f>IFERROR(__xludf.DUMMYFUNCTION("""COMPUTED_VALUE"""),0.0)</f>
        <v>0</v>
      </c>
      <c r="F104" s="6">
        <f>IFERROR(__xludf.DUMMYFUNCTION("""COMPUTED_VALUE"""),0.0)</f>
        <v>0</v>
      </c>
      <c r="G104" s="6">
        <f>IFERROR(__xludf.DUMMYFUNCTION("""COMPUTED_VALUE"""),0.0)</f>
        <v>0</v>
      </c>
      <c r="H104" s="6">
        <f>IFERROR(__xludf.DUMMYFUNCTION("""COMPUTED_VALUE"""),0.0)</f>
        <v>0</v>
      </c>
      <c r="I104" s="6">
        <f>IFERROR(__xludf.DUMMYFUNCTION("""COMPUTED_VALUE"""),0.0)</f>
        <v>0</v>
      </c>
      <c r="J104" s="6">
        <f>IFERROR(__xludf.DUMMYFUNCTION("""COMPUTED_VALUE"""),0.0)</f>
        <v>0</v>
      </c>
      <c r="K104" s="6">
        <f>IFERROR(__xludf.DUMMYFUNCTION("""COMPUTED_VALUE"""),0.0)</f>
        <v>0</v>
      </c>
      <c r="L104" s="6">
        <f>IFERROR(__xludf.DUMMYFUNCTION("""COMPUTED_VALUE"""),0.0)</f>
        <v>0</v>
      </c>
      <c r="M104" s="6">
        <f>IFERROR(__xludf.DUMMYFUNCTION("""COMPUTED_VALUE"""),1.0)</f>
        <v>1</v>
      </c>
      <c r="N104" s="6">
        <f>IFERROR(__xludf.DUMMYFUNCTION("""COMPUTED_VALUE"""),1.0)</f>
        <v>1</v>
      </c>
      <c r="O104" s="6">
        <f>IFERROR(__xludf.DUMMYFUNCTION("""COMPUTED_VALUE"""),1.0)</f>
        <v>1</v>
      </c>
      <c r="P104" s="6">
        <f>IFERROR(__xludf.DUMMYFUNCTION("""COMPUTED_VALUE"""),0.0)</f>
        <v>0</v>
      </c>
      <c r="Q104" s="6">
        <f>IFERROR(__xludf.DUMMYFUNCTION("""COMPUTED_VALUE"""),0.0)</f>
        <v>0</v>
      </c>
      <c r="R104" s="6">
        <f>IFERROR(__xludf.DUMMYFUNCTION("""COMPUTED_VALUE"""),0.0)</f>
        <v>0</v>
      </c>
      <c r="S104" s="6">
        <f>IFERROR(__xludf.DUMMYFUNCTION("""COMPUTED_VALUE"""),0.0)</f>
        <v>0</v>
      </c>
      <c r="T104" s="6">
        <f>IFERROR(__xludf.DUMMYFUNCTION("""COMPUTED_VALUE"""),0.0)</f>
        <v>0</v>
      </c>
      <c r="U104" s="6">
        <f>IFERROR(__xludf.DUMMYFUNCTION("""COMPUTED_VALUE"""),0.0)</f>
        <v>0</v>
      </c>
      <c r="V104" s="4">
        <f t="shared" ref="V104:X104" si="103">SUM(D104, G104, J104, M104, P104, S104)</f>
        <v>2</v>
      </c>
      <c r="W104" s="4">
        <f t="shared" si="103"/>
        <v>1</v>
      </c>
      <c r="X104" s="4">
        <f t="shared" si="103"/>
        <v>1</v>
      </c>
    </row>
    <row r="105">
      <c r="A105" s="4" t="str">
        <f>IFERROR(__xludf.DUMMYFUNCTION("""COMPUTED_VALUE"""),"Школа 1101")</f>
        <v>Школа 1101</v>
      </c>
      <c r="B105" s="4" t="str">
        <f t="array" ref="B105">IFERROR(INDEX('Адреса школ'!F:F, MATCH(A105, 'Адреса школ'!E:E, 0)), "")</f>
        <v>55.633297, 37.477606</v>
      </c>
      <c r="C105" s="5" t="str">
        <f t="array" ref="C105">IFERROR(INDEX('Топ-400'!A:A, MATCH(A105, 'Топ-400'!E:E, 0)), "Вне рейтинга")</f>
        <v>209</v>
      </c>
      <c r="D105" s="6">
        <f>IFERROR(__xludf.DUMMYFUNCTION("""COMPUTED_VALUE"""),1.0)</f>
        <v>1</v>
      </c>
      <c r="E105" s="6">
        <f>IFERROR(__xludf.DUMMYFUNCTION("""COMPUTED_VALUE"""),0.0)</f>
        <v>0</v>
      </c>
      <c r="F105" s="6">
        <f>IFERROR(__xludf.DUMMYFUNCTION("""COMPUTED_VALUE"""),0.0)</f>
        <v>0</v>
      </c>
      <c r="G105" s="6">
        <f>IFERROR(__xludf.DUMMYFUNCTION("""COMPUTED_VALUE"""),1.0)</f>
        <v>1</v>
      </c>
      <c r="H105" s="6">
        <f>IFERROR(__xludf.DUMMYFUNCTION("""COMPUTED_VALUE"""),0.0)</f>
        <v>0</v>
      </c>
      <c r="I105" s="6">
        <f>IFERROR(__xludf.DUMMYFUNCTION("""COMPUTED_VALUE"""),1.0)</f>
        <v>1</v>
      </c>
      <c r="J105" s="6">
        <f>IFERROR(__xludf.DUMMYFUNCTION("""COMPUTED_VALUE"""),1.0)</f>
        <v>1</v>
      </c>
      <c r="K105" s="6">
        <f>IFERROR(__xludf.DUMMYFUNCTION("""COMPUTED_VALUE"""),0.0)</f>
        <v>0</v>
      </c>
      <c r="L105" s="6">
        <f>IFERROR(__xludf.DUMMYFUNCTION("""COMPUTED_VALUE"""),1.0)</f>
        <v>1</v>
      </c>
      <c r="M105" s="6">
        <f>IFERROR(__xludf.DUMMYFUNCTION("""COMPUTED_VALUE"""),1.0)</f>
        <v>1</v>
      </c>
      <c r="N105" s="6">
        <f>IFERROR(__xludf.DUMMYFUNCTION("""COMPUTED_VALUE"""),0.0)</f>
        <v>0</v>
      </c>
      <c r="O105" s="6">
        <f>IFERROR(__xludf.DUMMYFUNCTION("""COMPUTED_VALUE"""),1.0)</f>
        <v>1</v>
      </c>
      <c r="P105" s="6">
        <f>IFERROR(__xludf.DUMMYFUNCTION("""COMPUTED_VALUE"""),1.0)</f>
        <v>1</v>
      </c>
      <c r="Q105" s="6">
        <f>IFERROR(__xludf.DUMMYFUNCTION("""COMPUTED_VALUE"""),1.0)</f>
        <v>1</v>
      </c>
      <c r="R105" s="6">
        <f>IFERROR(__xludf.DUMMYFUNCTION("""COMPUTED_VALUE"""),0.0)</f>
        <v>0</v>
      </c>
      <c r="S105" s="6">
        <f>IFERROR(__xludf.DUMMYFUNCTION("""COMPUTED_VALUE"""),0.0)</f>
        <v>0</v>
      </c>
      <c r="T105" s="6">
        <f>IFERROR(__xludf.DUMMYFUNCTION("""COMPUTED_VALUE"""),0.0)</f>
        <v>0</v>
      </c>
      <c r="U105" s="6">
        <f>IFERROR(__xludf.DUMMYFUNCTION("""COMPUTED_VALUE"""),0.0)</f>
        <v>0</v>
      </c>
      <c r="V105" s="4">
        <f t="shared" ref="V105:X105" si="104">SUM(D105, G105, J105, M105, P105, S105)</f>
        <v>5</v>
      </c>
      <c r="W105" s="4">
        <f t="shared" si="104"/>
        <v>1</v>
      </c>
      <c r="X105" s="4">
        <f t="shared" si="104"/>
        <v>3</v>
      </c>
    </row>
    <row r="106">
      <c r="A106" s="4" t="str">
        <f>IFERROR(__xludf.DUMMYFUNCTION("""COMPUTED_VALUE"""),"Школа 1103")</f>
        <v>Школа 1103</v>
      </c>
      <c r="B106" s="4" t="str">
        <f t="array" ref="B106">IFERROR(INDEX('Адреса школ'!F:F, MATCH(A106, 'Адреса школ'!E:E, 0)), "")</f>
        <v>55.606044, 37.552696</v>
      </c>
      <c r="C106" s="5" t="str">
        <f t="array" ref="C106">IFERROR(INDEX('Топ-400'!A:A, MATCH(A106, 'Топ-400'!E:E, 0)), "Вне рейтинга")</f>
        <v>Вне рейтинга</v>
      </c>
      <c r="D106" s="6">
        <f>IFERROR(__xludf.DUMMYFUNCTION("""COMPUTED_VALUE"""),1.0)</f>
        <v>1</v>
      </c>
      <c r="E106" s="6">
        <f>IFERROR(__xludf.DUMMYFUNCTION("""COMPUTED_VALUE"""),0.0)</f>
        <v>0</v>
      </c>
      <c r="F106" s="6">
        <f>IFERROR(__xludf.DUMMYFUNCTION("""COMPUTED_VALUE"""),0.0)</f>
        <v>0</v>
      </c>
      <c r="G106" s="6">
        <f>IFERROR(__xludf.DUMMYFUNCTION("""COMPUTED_VALUE"""),0.0)</f>
        <v>0</v>
      </c>
      <c r="H106" s="6">
        <f>IFERROR(__xludf.DUMMYFUNCTION("""COMPUTED_VALUE"""),0.0)</f>
        <v>0</v>
      </c>
      <c r="I106" s="6">
        <f>IFERROR(__xludf.DUMMYFUNCTION("""COMPUTED_VALUE"""),0.0)</f>
        <v>0</v>
      </c>
      <c r="J106" s="6">
        <f>IFERROR(__xludf.DUMMYFUNCTION("""COMPUTED_VALUE"""),1.0)</f>
        <v>1</v>
      </c>
      <c r="K106" s="6">
        <f>IFERROR(__xludf.DUMMYFUNCTION("""COMPUTED_VALUE"""),0.0)</f>
        <v>0</v>
      </c>
      <c r="L106" s="6">
        <f>IFERROR(__xludf.DUMMYFUNCTION("""COMPUTED_VALUE"""),1.0)</f>
        <v>1</v>
      </c>
      <c r="M106" s="6">
        <f>IFERROR(__xludf.DUMMYFUNCTION("""COMPUTED_VALUE"""),0.0)</f>
        <v>0</v>
      </c>
      <c r="N106" s="6">
        <f>IFERROR(__xludf.DUMMYFUNCTION("""COMPUTED_VALUE"""),0.0)</f>
        <v>0</v>
      </c>
      <c r="O106" s="6">
        <f>IFERROR(__xludf.DUMMYFUNCTION("""COMPUTED_VALUE"""),0.0)</f>
        <v>0</v>
      </c>
      <c r="P106" s="6">
        <f>IFERROR(__xludf.DUMMYFUNCTION("""COMPUTED_VALUE"""),0.0)</f>
        <v>0</v>
      </c>
      <c r="Q106" s="6">
        <f>IFERROR(__xludf.DUMMYFUNCTION("""COMPUTED_VALUE"""),0.0)</f>
        <v>0</v>
      </c>
      <c r="R106" s="6">
        <f>IFERROR(__xludf.DUMMYFUNCTION("""COMPUTED_VALUE"""),0.0)</f>
        <v>0</v>
      </c>
      <c r="S106" s="6">
        <f>IFERROR(__xludf.DUMMYFUNCTION("""COMPUTED_VALUE"""),0.0)</f>
        <v>0</v>
      </c>
      <c r="T106" s="6">
        <f>IFERROR(__xludf.DUMMYFUNCTION("""COMPUTED_VALUE"""),0.0)</f>
        <v>0</v>
      </c>
      <c r="U106" s="6">
        <f>IFERROR(__xludf.DUMMYFUNCTION("""COMPUTED_VALUE"""),0.0)</f>
        <v>0</v>
      </c>
      <c r="V106" s="4">
        <f t="shared" ref="V106:X106" si="105">SUM(D106, G106, J106, M106, P106, S106)</f>
        <v>2</v>
      </c>
      <c r="W106" s="4">
        <f t="shared" si="105"/>
        <v>0</v>
      </c>
      <c r="X106" s="4">
        <f t="shared" si="105"/>
        <v>1</v>
      </c>
    </row>
    <row r="107">
      <c r="A107" s="4" t="str">
        <f>IFERROR(__xludf.DUMMYFUNCTION("""COMPUTED_VALUE"""),"Школа 1150")</f>
        <v>Школа 1150</v>
      </c>
      <c r="B107" s="4" t="str">
        <f t="array" ref="B107">IFERROR(INDEX('Адреса школ'!F:F, MATCH(A107, 'Адреса школ'!E:E, 0)), "")</f>
        <v>55.975536, 37.153332</v>
      </c>
      <c r="C107" s="5" t="str">
        <f t="array" ref="C107">IFERROR(INDEX('Топ-400'!A:A, MATCH(A107, 'Топ-400'!E:E, 0)), "Вне рейтинга")</f>
        <v>90</v>
      </c>
      <c r="D107" s="6">
        <f>IFERROR(__xludf.DUMMYFUNCTION("""COMPUTED_VALUE"""),1.0)</f>
        <v>1</v>
      </c>
      <c r="E107" s="6">
        <f>IFERROR(__xludf.DUMMYFUNCTION("""COMPUTED_VALUE"""),1.0)</f>
        <v>1</v>
      </c>
      <c r="F107" s="6">
        <f>IFERROR(__xludf.DUMMYFUNCTION("""COMPUTED_VALUE"""),1.0)</f>
        <v>1</v>
      </c>
      <c r="G107" s="6">
        <f>IFERROR(__xludf.DUMMYFUNCTION("""COMPUTED_VALUE"""),0.0)</f>
        <v>0</v>
      </c>
      <c r="H107" s="6">
        <f>IFERROR(__xludf.DUMMYFUNCTION("""COMPUTED_VALUE"""),0.0)</f>
        <v>0</v>
      </c>
      <c r="I107" s="6">
        <f>IFERROR(__xludf.DUMMYFUNCTION("""COMPUTED_VALUE"""),0.0)</f>
        <v>0</v>
      </c>
      <c r="J107" s="6">
        <f>IFERROR(__xludf.DUMMYFUNCTION("""COMPUTED_VALUE"""),0.0)</f>
        <v>0</v>
      </c>
      <c r="K107" s="6">
        <f>IFERROR(__xludf.DUMMYFUNCTION("""COMPUTED_VALUE"""),0.0)</f>
        <v>0</v>
      </c>
      <c r="L107" s="6">
        <f>IFERROR(__xludf.DUMMYFUNCTION("""COMPUTED_VALUE"""),0.0)</f>
        <v>0</v>
      </c>
      <c r="M107" s="6">
        <f>IFERROR(__xludf.DUMMYFUNCTION("""COMPUTED_VALUE"""),0.0)</f>
        <v>0</v>
      </c>
      <c r="N107" s="6">
        <f>IFERROR(__xludf.DUMMYFUNCTION("""COMPUTED_VALUE"""),0.0)</f>
        <v>0</v>
      </c>
      <c r="O107" s="6">
        <f>IFERROR(__xludf.DUMMYFUNCTION("""COMPUTED_VALUE"""),0.0)</f>
        <v>0</v>
      </c>
      <c r="P107" s="6">
        <f>IFERROR(__xludf.DUMMYFUNCTION("""COMPUTED_VALUE"""),0.0)</f>
        <v>0</v>
      </c>
      <c r="Q107" s="6">
        <f>IFERROR(__xludf.DUMMYFUNCTION("""COMPUTED_VALUE"""),0.0)</f>
        <v>0</v>
      </c>
      <c r="R107" s="6">
        <f>IFERROR(__xludf.DUMMYFUNCTION("""COMPUTED_VALUE"""),0.0)</f>
        <v>0</v>
      </c>
      <c r="S107" s="6">
        <f>IFERROR(__xludf.DUMMYFUNCTION("""COMPUTED_VALUE"""),0.0)</f>
        <v>0</v>
      </c>
      <c r="T107" s="6">
        <f>IFERROR(__xludf.DUMMYFUNCTION("""COMPUTED_VALUE"""),0.0)</f>
        <v>0</v>
      </c>
      <c r="U107" s="6">
        <f>IFERROR(__xludf.DUMMYFUNCTION("""COMPUTED_VALUE"""),0.0)</f>
        <v>0</v>
      </c>
      <c r="V107" s="4">
        <f t="shared" ref="V107:X107" si="106">SUM(D107, G107, J107, M107, P107, S107)</f>
        <v>1</v>
      </c>
      <c r="W107" s="4">
        <f t="shared" si="106"/>
        <v>1</v>
      </c>
      <c r="X107" s="4">
        <f t="shared" si="106"/>
        <v>1</v>
      </c>
    </row>
    <row r="108">
      <c r="A108" s="4" t="str">
        <f>IFERROR(__xludf.DUMMYFUNCTION("""COMPUTED_VALUE"""),"Школа 1151")</f>
        <v>Школа 1151</v>
      </c>
      <c r="B108" s="4" t="str">
        <f t="array" ref="B108">IFERROR(INDEX('Адреса школ'!F:F, MATCH(A108, 'Адреса школ'!E:E, 0)), "")</f>
        <v>55.987447, 37.15565</v>
      </c>
      <c r="C108" s="5" t="str">
        <f t="array" ref="C108">IFERROR(INDEX('Топ-400'!A:A, MATCH(A108, 'Топ-400'!E:E, 0)), "Вне рейтинга")</f>
        <v>91</v>
      </c>
      <c r="D108" s="6">
        <f>IFERROR(__xludf.DUMMYFUNCTION("""COMPUTED_VALUE"""),1.0)</f>
        <v>1</v>
      </c>
      <c r="E108" s="6">
        <f>IFERROR(__xludf.DUMMYFUNCTION("""COMPUTED_VALUE"""),0.0)</f>
        <v>0</v>
      </c>
      <c r="F108" s="6">
        <f>IFERROR(__xludf.DUMMYFUNCTION("""COMPUTED_VALUE"""),1.0)</f>
        <v>1</v>
      </c>
      <c r="G108" s="6">
        <f>IFERROR(__xludf.DUMMYFUNCTION("""COMPUTED_VALUE"""),0.0)</f>
        <v>0</v>
      </c>
      <c r="H108" s="6">
        <f>IFERROR(__xludf.DUMMYFUNCTION("""COMPUTED_VALUE"""),0.0)</f>
        <v>0</v>
      </c>
      <c r="I108" s="6">
        <f>IFERROR(__xludf.DUMMYFUNCTION("""COMPUTED_VALUE"""),0.0)</f>
        <v>0</v>
      </c>
      <c r="J108" s="6">
        <f>IFERROR(__xludf.DUMMYFUNCTION("""COMPUTED_VALUE"""),0.0)</f>
        <v>0</v>
      </c>
      <c r="K108" s="6">
        <f>IFERROR(__xludf.DUMMYFUNCTION("""COMPUTED_VALUE"""),0.0)</f>
        <v>0</v>
      </c>
      <c r="L108" s="6">
        <f>IFERROR(__xludf.DUMMYFUNCTION("""COMPUTED_VALUE"""),0.0)</f>
        <v>0</v>
      </c>
      <c r="M108" s="6">
        <f>IFERROR(__xludf.DUMMYFUNCTION("""COMPUTED_VALUE"""),0.0)</f>
        <v>0</v>
      </c>
      <c r="N108" s="6">
        <f>IFERROR(__xludf.DUMMYFUNCTION("""COMPUTED_VALUE"""),0.0)</f>
        <v>0</v>
      </c>
      <c r="O108" s="6">
        <f>IFERROR(__xludf.DUMMYFUNCTION("""COMPUTED_VALUE"""),0.0)</f>
        <v>0</v>
      </c>
      <c r="P108" s="6">
        <f>IFERROR(__xludf.DUMMYFUNCTION("""COMPUTED_VALUE"""),0.0)</f>
        <v>0</v>
      </c>
      <c r="Q108" s="6">
        <f>IFERROR(__xludf.DUMMYFUNCTION("""COMPUTED_VALUE"""),0.0)</f>
        <v>0</v>
      </c>
      <c r="R108" s="6">
        <f>IFERROR(__xludf.DUMMYFUNCTION("""COMPUTED_VALUE"""),1.0)</f>
        <v>1</v>
      </c>
      <c r="S108" s="6">
        <f>IFERROR(__xludf.DUMMYFUNCTION("""COMPUTED_VALUE"""),0.0)</f>
        <v>0</v>
      </c>
      <c r="T108" s="6">
        <f>IFERROR(__xludf.DUMMYFUNCTION("""COMPUTED_VALUE"""),0.0)</f>
        <v>0</v>
      </c>
      <c r="U108" s="6">
        <f>IFERROR(__xludf.DUMMYFUNCTION("""COMPUTED_VALUE"""),0.0)</f>
        <v>0</v>
      </c>
      <c r="V108" s="4">
        <f t="shared" ref="V108:X108" si="107">SUM(D108, G108, J108, M108, P108, S108)</f>
        <v>1</v>
      </c>
      <c r="W108" s="4">
        <f t="shared" si="107"/>
        <v>0</v>
      </c>
      <c r="X108" s="4">
        <f t="shared" si="107"/>
        <v>2</v>
      </c>
    </row>
    <row r="109">
      <c r="A109" s="4" t="str">
        <f>IFERROR(__xludf.DUMMYFUNCTION("""COMPUTED_VALUE"""),"Школа 1155")</f>
        <v>Школа 1155</v>
      </c>
      <c r="B109" s="4" t="str">
        <f t="array" ref="B109">IFERROR(INDEX('Адреса школ'!F:F, MATCH(A109, 'Адреса школ'!E:E, 0)), "")</f>
        <v>55.797245, 37.400791</v>
      </c>
      <c r="C109" s="5" t="str">
        <f t="array" ref="C109">IFERROR(INDEX('Топ-400'!A:A, MATCH(A109, 'Топ-400'!E:E, 0)), "Вне рейтинга")</f>
        <v>269</v>
      </c>
      <c r="D109" s="6">
        <f>IFERROR(__xludf.DUMMYFUNCTION("""COMPUTED_VALUE"""),0.0)</f>
        <v>0</v>
      </c>
      <c r="E109" s="6">
        <f>IFERROR(__xludf.DUMMYFUNCTION("""COMPUTED_VALUE"""),0.0)</f>
        <v>0</v>
      </c>
      <c r="F109" s="6">
        <f>IFERROR(__xludf.DUMMYFUNCTION("""COMPUTED_VALUE"""),0.0)</f>
        <v>0</v>
      </c>
      <c r="G109" s="6">
        <f>IFERROR(__xludf.DUMMYFUNCTION("""COMPUTED_VALUE"""),0.0)</f>
        <v>0</v>
      </c>
      <c r="H109" s="6">
        <f>IFERROR(__xludf.DUMMYFUNCTION("""COMPUTED_VALUE"""),0.0)</f>
        <v>0</v>
      </c>
      <c r="I109" s="6">
        <f>IFERROR(__xludf.DUMMYFUNCTION("""COMPUTED_VALUE"""),0.0)</f>
        <v>0</v>
      </c>
      <c r="J109" s="6">
        <f>IFERROR(__xludf.DUMMYFUNCTION("""COMPUTED_VALUE"""),0.0)</f>
        <v>0</v>
      </c>
      <c r="K109" s="6">
        <f>IFERROR(__xludf.DUMMYFUNCTION("""COMPUTED_VALUE"""),1.0)</f>
        <v>1</v>
      </c>
      <c r="L109" s="6">
        <f>IFERROR(__xludf.DUMMYFUNCTION("""COMPUTED_VALUE"""),1.0)</f>
        <v>1</v>
      </c>
      <c r="M109" s="6">
        <f>IFERROR(__xludf.DUMMYFUNCTION("""COMPUTED_VALUE"""),0.0)</f>
        <v>0</v>
      </c>
      <c r="N109" s="6">
        <f>IFERROR(__xludf.DUMMYFUNCTION("""COMPUTED_VALUE"""),0.0)</f>
        <v>0</v>
      </c>
      <c r="O109" s="6">
        <f>IFERROR(__xludf.DUMMYFUNCTION("""COMPUTED_VALUE"""),0.0)</f>
        <v>0</v>
      </c>
      <c r="P109" s="6">
        <f>IFERROR(__xludf.DUMMYFUNCTION("""COMPUTED_VALUE"""),0.0)</f>
        <v>0</v>
      </c>
      <c r="Q109" s="6">
        <f>IFERROR(__xludf.DUMMYFUNCTION("""COMPUTED_VALUE"""),0.0)</f>
        <v>0</v>
      </c>
      <c r="R109" s="6">
        <f>IFERROR(__xludf.DUMMYFUNCTION("""COMPUTED_VALUE"""),0.0)</f>
        <v>0</v>
      </c>
      <c r="S109" s="6">
        <f>IFERROR(__xludf.DUMMYFUNCTION("""COMPUTED_VALUE"""),0.0)</f>
        <v>0</v>
      </c>
      <c r="T109" s="6">
        <f>IFERROR(__xludf.DUMMYFUNCTION("""COMPUTED_VALUE"""),0.0)</f>
        <v>0</v>
      </c>
      <c r="U109" s="6">
        <f>IFERROR(__xludf.DUMMYFUNCTION("""COMPUTED_VALUE"""),0.0)</f>
        <v>0</v>
      </c>
      <c r="V109" s="4">
        <f t="shared" ref="V109:X109" si="108">SUM(D109, G109, J109, M109, P109, S109)</f>
        <v>0</v>
      </c>
      <c r="W109" s="4">
        <f t="shared" si="108"/>
        <v>1</v>
      </c>
      <c r="X109" s="4">
        <f t="shared" si="108"/>
        <v>1</v>
      </c>
    </row>
    <row r="110">
      <c r="A110" s="4" t="str">
        <f>IFERROR(__xludf.DUMMYFUNCTION("""COMPUTED_VALUE"""),"Школа 1158")</f>
        <v>Школа 1158</v>
      </c>
      <c r="B110" s="4" t="str">
        <f t="array" ref="B110">IFERROR(INDEX('Адреса школ'!F:F, MATCH(A110, 'Адреса школ'!E:E, 0)), "")</f>
        <v>55.634857, 37.596579</v>
      </c>
      <c r="C110" s="5" t="str">
        <f t="array" ref="C110">IFERROR(INDEX('Топ-400'!A:A, MATCH(A110, 'Топ-400'!E:E, 0)), "Вне рейтинга")</f>
        <v>70</v>
      </c>
      <c r="D110" s="6">
        <f>IFERROR(__xludf.DUMMYFUNCTION("""COMPUTED_VALUE"""),1.0)</f>
        <v>1</v>
      </c>
      <c r="E110" s="6">
        <f>IFERROR(__xludf.DUMMYFUNCTION("""COMPUTED_VALUE"""),1.0)</f>
        <v>1</v>
      </c>
      <c r="F110" s="6">
        <f>IFERROR(__xludf.DUMMYFUNCTION("""COMPUTED_VALUE"""),1.0)</f>
        <v>1</v>
      </c>
      <c r="G110" s="6">
        <f>IFERROR(__xludf.DUMMYFUNCTION("""COMPUTED_VALUE"""),1.0)</f>
        <v>1</v>
      </c>
      <c r="H110" s="6">
        <f>IFERROR(__xludf.DUMMYFUNCTION("""COMPUTED_VALUE"""),1.0)</f>
        <v>1</v>
      </c>
      <c r="I110" s="6">
        <f>IFERROR(__xludf.DUMMYFUNCTION("""COMPUTED_VALUE"""),1.0)</f>
        <v>1</v>
      </c>
      <c r="J110" s="6">
        <f>IFERROR(__xludf.DUMMYFUNCTION("""COMPUTED_VALUE"""),1.0)</f>
        <v>1</v>
      </c>
      <c r="K110" s="6">
        <f>IFERROR(__xludf.DUMMYFUNCTION("""COMPUTED_VALUE"""),1.0)</f>
        <v>1</v>
      </c>
      <c r="L110" s="6">
        <f>IFERROR(__xludf.DUMMYFUNCTION("""COMPUTED_VALUE"""),1.0)</f>
        <v>1</v>
      </c>
      <c r="M110" s="6">
        <f>IFERROR(__xludf.DUMMYFUNCTION("""COMPUTED_VALUE"""),1.0)</f>
        <v>1</v>
      </c>
      <c r="N110" s="6">
        <f>IFERROR(__xludf.DUMMYFUNCTION("""COMPUTED_VALUE"""),1.0)</f>
        <v>1</v>
      </c>
      <c r="O110" s="6">
        <f>IFERROR(__xludf.DUMMYFUNCTION("""COMPUTED_VALUE"""),1.0)</f>
        <v>1</v>
      </c>
      <c r="P110" s="6">
        <f>IFERROR(__xludf.DUMMYFUNCTION("""COMPUTED_VALUE"""),1.0)</f>
        <v>1</v>
      </c>
      <c r="Q110" s="6">
        <f>IFERROR(__xludf.DUMMYFUNCTION("""COMPUTED_VALUE"""),1.0)</f>
        <v>1</v>
      </c>
      <c r="R110" s="6">
        <f>IFERROR(__xludf.DUMMYFUNCTION("""COMPUTED_VALUE"""),1.0)</f>
        <v>1</v>
      </c>
      <c r="S110" s="6">
        <f>IFERROR(__xludf.DUMMYFUNCTION("""COMPUTED_VALUE"""),0.0)</f>
        <v>0</v>
      </c>
      <c r="T110" s="6">
        <f>IFERROR(__xludf.DUMMYFUNCTION("""COMPUTED_VALUE"""),0.0)</f>
        <v>0</v>
      </c>
      <c r="U110" s="6">
        <f>IFERROR(__xludf.DUMMYFUNCTION("""COMPUTED_VALUE"""),0.0)</f>
        <v>0</v>
      </c>
      <c r="V110" s="4">
        <f t="shared" ref="V110:X110" si="109">SUM(D110, G110, J110, M110, P110, S110)</f>
        <v>5</v>
      </c>
      <c r="W110" s="4">
        <f t="shared" si="109"/>
        <v>5</v>
      </c>
      <c r="X110" s="4">
        <f t="shared" si="109"/>
        <v>5</v>
      </c>
    </row>
    <row r="111">
      <c r="A111" s="4" t="str">
        <f>IFERROR(__xludf.DUMMYFUNCTION("""COMPUTED_VALUE"""),"Школа 1164")</f>
        <v>Школа 1164</v>
      </c>
      <c r="B111" s="4" t="str">
        <f t="array" ref="B111">IFERROR(INDEX('Адреса школ'!F:F, MATCH(A111, 'Адреса школ'!E:E, 0)), "")</f>
        <v>55.797959, 37.57386</v>
      </c>
      <c r="C111" s="5" t="str">
        <f t="array" ref="C111">IFERROR(INDEX('Топ-400'!A:A, MATCH(A111, 'Топ-400'!E:E, 0)), "Вне рейтинга")</f>
        <v>336</v>
      </c>
      <c r="D111" s="6">
        <f>IFERROR(__xludf.DUMMYFUNCTION("""COMPUTED_VALUE"""),0.0)</f>
        <v>0</v>
      </c>
      <c r="E111" s="6">
        <f>IFERROR(__xludf.DUMMYFUNCTION("""COMPUTED_VALUE"""),0.0)</f>
        <v>0</v>
      </c>
      <c r="F111" s="6">
        <f>IFERROR(__xludf.DUMMYFUNCTION("""COMPUTED_VALUE"""),0.0)</f>
        <v>0</v>
      </c>
      <c r="G111" s="6">
        <f>IFERROR(__xludf.DUMMYFUNCTION("""COMPUTED_VALUE"""),0.0)</f>
        <v>0</v>
      </c>
      <c r="H111" s="6">
        <f>IFERROR(__xludf.DUMMYFUNCTION("""COMPUTED_VALUE"""),0.0)</f>
        <v>0</v>
      </c>
      <c r="I111" s="6">
        <f>IFERROR(__xludf.DUMMYFUNCTION("""COMPUTED_VALUE"""),0.0)</f>
        <v>0</v>
      </c>
      <c r="J111" s="6">
        <f>IFERROR(__xludf.DUMMYFUNCTION("""COMPUTED_VALUE"""),0.0)</f>
        <v>0</v>
      </c>
      <c r="K111" s="6">
        <f>IFERROR(__xludf.DUMMYFUNCTION("""COMPUTED_VALUE"""),0.0)</f>
        <v>0</v>
      </c>
      <c r="L111" s="6">
        <f>IFERROR(__xludf.DUMMYFUNCTION("""COMPUTED_VALUE"""),0.0)</f>
        <v>0</v>
      </c>
      <c r="M111" s="6">
        <f>IFERROR(__xludf.DUMMYFUNCTION("""COMPUTED_VALUE"""),1.0)</f>
        <v>1</v>
      </c>
      <c r="N111" s="6">
        <f>IFERROR(__xludf.DUMMYFUNCTION("""COMPUTED_VALUE"""),0.0)</f>
        <v>0</v>
      </c>
      <c r="O111" s="6">
        <f>IFERROR(__xludf.DUMMYFUNCTION("""COMPUTED_VALUE"""),0.0)</f>
        <v>0</v>
      </c>
      <c r="P111" s="6">
        <f>IFERROR(__xludf.DUMMYFUNCTION("""COMPUTED_VALUE"""),0.0)</f>
        <v>0</v>
      </c>
      <c r="Q111" s="6">
        <f>IFERROR(__xludf.DUMMYFUNCTION("""COMPUTED_VALUE"""),0.0)</f>
        <v>0</v>
      </c>
      <c r="R111" s="6">
        <f>IFERROR(__xludf.DUMMYFUNCTION("""COMPUTED_VALUE"""),0.0)</f>
        <v>0</v>
      </c>
      <c r="S111" s="6">
        <f>IFERROR(__xludf.DUMMYFUNCTION("""COMPUTED_VALUE"""),0.0)</f>
        <v>0</v>
      </c>
      <c r="T111" s="6">
        <f>IFERROR(__xludf.DUMMYFUNCTION("""COMPUTED_VALUE"""),0.0)</f>
        <v>0</v>
      </c>
      <c r="U111" s="6">
        <f>IFERROR(__xludf.DUMMYFUNCTION("""COMPUTED_VALUE"""),0.0)</f>
        <v>0</v>
      </c>
      <c r="V111" s="4">
        <f t="shared" ref="V111:X111" si="110">SUM(D111, G111, J111, M111, P111, S111)</f>
        <v>1</v>
      </c>
      <c r="W111" s="4">
        <f t="shared" si="110"/>
        <v>0</v>
      </c>
      <c r="X111" s="4">
        <f t="shared" si="110"/>
        <v>0</v>
      </c>
    </row>
    <row r="112">
      <c r="A112" s="4" t="str">
        <f>IFERROR(__xludf.DUMMYFUNCTION("""COMPUTED_VALUE"""),"Школа 1173")</f>
        <v>Школа 1173</v>
      </c>
      <c r="B112" s="4" t="str">
        <f t="array" ref="B112">IFERROR(INDEX('Адреса школ'!F:F, MATCH(A112, 'Адреса школ'!E:E, 0)), "")</f>
        <v>55.616869, 37.594306</v>
      </c>
      <c r="C112" s="5" t="str">
        <f t="array" ref="C112">IFERROR(INDEX('Топ-400'!A:A, MATCH(A112, 'Топ-400'!E:E, 0)), "Вне рейтинга")</f>
        <v>170</v>
      </c>
      <c r="D112" s="6">
        <f>IFERROR(__xludf.DUMMYFUNCTION("""COMPUTED_VALUE"""),1.0)</f>
        <v>1</v>
      </c>
      <c r="E112" s="6">
        <f>IFERROR(__xludf.DUMMYFUNCTION("""COMPUTED_VALUE"""),0.0)</f>
        <v>0</v>
      </c>
      <c r="F112" s="6">
        <f>IFERROR(__xludf.DUMMYFUNCTION("""COMPUTED_VALUE"""),1.0)</f>
        <v>1</v>
      </c>
      <c r="G112" s="6">
        <f>IFERROR(__xludf.DUMMYFUNCTION("""COMPUTED_VALUE"""),0.0)</f>
        <v>0</v>
      </c>
      <c r="H112" s="6">
        <f>IFERROR(__xludf.DUMMYFUNCTION("""COMPUTED_VALUE"""),0.0)</f>
        <v>0</v>
      </c>
      <c r="I112" s="6">
        <f>IFERROR(__xludf.DUMMYFUNCTION("""COMPUTED_VALUE"""),0.0)</f>
        <v>0</v>
      </c>
      <c r="J112" s="6">
        <f>IFERROR(__xludf.DUMMYFUNCTION("""COMPUTED_VALUE"""),0.0)</f>
        <v>0</v>
      </c>
      <c r="K112" s="6">
        <f>IFERROR(__xludf.DUMMYFUNCTION("""COMPUTED_VALUE"""),0.0)</f>
        <v>0</v>
      </c>
      <c r="L112" s="6">
        <f>IFERROR(__xludf.DUMMYFUNCTION("""COMPUTED_VALUE"""),0.0)</f>
        <v>0</v>
      </c>
      <c r="M112" s="6">
        <f>IFERROR(__xludf.DUMMYFUNCTION("""COMPUTED_VALUE"""),1.0)</f>
        <v>1</v>
      </c>
      <c r="N112" s="6">
        <f>IFERROR(__xludf.DUMMYFUNCTION("""COMPUTED_VALUE"""),1.0)</f>
        <v>1</v>
      </c>
      <c r="O112" s="6">
        <f>IFERROR(__xludf.DUMMYFUNCTION("""COMPUTED_VALUE"""),1.0)</f>
        <v>1</v>
      </c>
      <c r="P112" s="6">
        <f>IFERROR(__xludf.DUMMYFUNCTION("""COMPUTED_VALUE"""),0.0)</f>
        <v>0</v>
      </c>
      <c r="Q112" s="6">
        <f>IFERROR(__xludf.DUMMYFUNCTION("""COMPUTED_VALUE"""),0.0)</f>
        <v>0</v>
      </c>
      <c r="R112" s="6">
        <f>IFERROR(__xludf.DUMMYFUNCTION("""COMPUTED_VALUE"""),0.0)</f>
        <v>0</v>
      </c>
      <c r="S112" s="6">
        <f>IFERROR(__xludf.DUMMYFUNCTION("""COMPUTED_VALUE"""),0.0)</f>
        <v>0</v>
      </c>
      <c r="T112" s="6">
        <f>IFERROR(__xludf.DUMMYFUNCTION("""COMPUTED_VALUE"""),0.0)</f>
        <v>0</v>
      </c>
      <c r="U112" s="6">
        <f>IFERROR(__xludf.DUMMYFUNCTION("""COMPUTED_VALUE"""),0.0)</f>
        <v>0</v>
      </c>
      <c r="V112" s="4">
        <f t="shared" ref="V112:X112" si="111">SUM(D112, G112, J112, M112, P112, S112)</f>
        <v>2</v>
      </c>
      <c r="W112" s="4">
        <f t="shared" si="111"/>
        <v>1</v>
      </c>
      <c r="X112" s="4">
        <f t="shared" si="111"/>
        <v>2</v>
      </c>
    </row>
    <row r="113">
      <c r="A113" s="4" t="str">
        <f>IFERROR(__xludf.DUMMYFUNCTION("""COMPUTED_VALUE"""),"Школа 1179")</f>
        <v>Школа 1179</v>
      </c>
      <c r="B113" s="4" t="str">
        <f t="array" ref="B113">IFERROR(INDEX('Адреса школ'!F:F, MATCH(A113, 'Адреса школ'!E:E, 0)), "")</f>
        <v>55.638186, 37.609155</v>
      </c>
      <c r="C113" s="5" t="str">
        <f t="array" ref="C113">IFERROR(INDEX('Топ-400'!A:A, MATCH(A113, 'Топ-400'!E:E, 0)), "Вне рейтинга")</f>
        <v>Вне рейтинга</v>
      </c>
      <c r="D113" s="6">
        <f>IFERROR(__xludf.DUMMYFUNCTION("""COMPUTED_VALUE"""),0.0)</f>
        <v>0</v>
      </c>
      <c r="E113" s="6">
        <f>IFERROR(__xludf.DUMMYFUNCTION("""COMPUTED_VALUE"""),0.0)</f>
        <v>0</v>
      </c>
      <c r="F113" s="6">
        <f>IFERROR(__xludf.DUMMYFUNCTION("""COMPUTED_VALUE"""),0.0)</f>
        <v>0</v>
      </c>
      <c r="G113" s="6">
        <f>IFERROR(__xludf.DUMMYFUNCTION("""COMPUTED_VALUE"""),0.0)</f>
        <v>0</v>
      </c>
      <c r="H113" s="6">
        <f>IFERROR(__xludf.DUMMYFUNCTION("""COMPUTED_VALUE"""),0.0)</f>
        <v>0</v>
      </c>
      <c r="I113" s="6">
        <f>IFERROR(__xludf.DUMMYFUNCTION("""COMPUTED_VALUE"""),0.0)</f>
        <v>0</v>
      </c>
      <c r="J113" s="6">
        <f>IFERROR(__xludf.DUMMYFUNCTION("""COMPUTED_VALUE"""),0.0)</f>
        <v>0</v>
      </c>
      <c r="K113" s="6">
        <f>IFERROR(__xludf.DUMMYFUNCTION("""COMPUTED_VALUE"""),0.0)</f>
        <v>0</v>
      </c>
      <c r="L113" s="6">
        <f>IFERROR(__xludf.DUMMYFUNCTION("""COMPUTED_VALUE"""),0.0)</f>
        <v>0</v>
      </c>
      <c r="M113" s="6">
        <f>IFERROR(__xludf.DUMMYFUNCTION("""COMPUTED_VALUE"""),1.0)</f>
        <v>1</v>
      </c>
      <c r="N113" s="6">
        <f>IFERROR(__xludf.DUMMYFUNCTION("""COMPUTED_VALUE"""),0.0)</f>
        <v>0</v>
      </c>
      <c r="O113" s="6">
        <f>IFERROR(__xludf.DUMMYFUNCTION("""COMPUTED_VALUE"""),1.0)</f>
        <v>1</v>
      </c>
      <c r="P113" s="6">
        <f>IFERROR(__xludf.DUMMYFUNCTION("""COMPUTED_VALUE"""),0.0)</f>
        <v>0</v>
      </c>
      <c r="Q113" s="6">
        <f>IFERROR(__xludf.DUMMYFUNCTION("""COMPUTED_VALUE"""),0.0)</f>
        <v>0</v>
      </c>
      <c r="R113" s="6">
        <f>IFERROR(__xludf.DUMMYFUNCTION("""COMPUTED_VALUE"""),0.0)</f>
        <v>0</v>
      </c>
      <c r="S113" s="6">
        <f>IFERROR(__xludf.DUMMYFUNCTION("""COMPUTED_VALUE"""),0.0)</f>
        <v>0</v>
      </c>
      <c r="T113" s="6">
        <f>IFERROR(__xludf.DUMMYFUNCTION("""COMPUTED_VALUE"""),0.0)</f>
        <v>0</v>
      </c>
      <c r="U113" s="6">
        <f>IFERROR(__xludf.DUMMYFUNCTION("""COMPUTED_VALUE"""),0.0)</f>
        <v>0</v>
      </c>
      <c r="V113" s="4">
        <f t="shared" ref="V113:X113" si="112">SUM(D113, G113, J113, M113, P113, S113)</f>
        <v>1</v>
      </c>
      <c r="W113" s="4">
        <f t="shared" si="112"/>
        <v>0</v>
      </c>
      <c r="X113" s="4">
        <f t="shared" si="112"/>
        <v>1</v>
      </c>
    </row>
    <row r="114">
      <c r="A114" s="4" t="str">
        <f>IFERROR(__xludf.DUMMYFUNCTION("""COMPUTED_VALUE"""),"Школа 1190")</f>
        <v>Школа 1190</v>
      </c>
      <c r="B114" s="4" t="str">
        <f t="array" ref="B114">IFERROR(INDEX('Адреса школ'!F:F, MATCH(A114, 'Адреса школ'!E:E, 0)), "")</f>
        <v>55.848887, 37.366008</v>
      </c>
      <c r="C114" s="5" t="str">
        <f t="array" ref="C114">IFERROR(INDEX('Топ-400'!A:A, MATCH(A114, 'Топ-400'!E:E, 0)), "Вне рейтинга")</f>
        <v>Вне рейтинга</v>
      </c>
      <c r="D114" s="6">
        <f>IFERROR(__xludf.DUMMYFUNCTION("""COMPUTED_VALUE"""),0.0)</f>
        <v>0</v>
      </c>
      <c r="E114" s="6">
        <f>IFERROR(__xludf.DUMMYFUNCTION("""COMPUTED_VALUE"""),0.0)</f>
        <v>0</v>
      </c>
      <c r="F114" s="6">
        <f>IFERROR(__xludf.DUMMYFUNCTION("""COMPUTED_VALUE"""),0.0)</f>
        <v>0</v>
      </c>
      <c r="G114" s="6">
        <f>IFERROR(__xludf.DUMMYFUNCTION("""COMPUTED_VALUE"""),0.0)</f>
        <v>0</v>
      </c>
      <c r="H114" s="6">
        <f>IFERROR(__xludf.DUMMYFUNCTION("""COMPUTED_VALUE"""),0.0)</f>
        <v>0</v>
      </c>
      <c r="I114" s="6">
        <f>IFERROR(__xludf.DUMMYFUNCTION("""COMPUTED_VALUE"""),0.0)</f>
        <v>0</v>
      </c>
      <c r="J114" s="6">
        <f>IFERROR(__xludf.DUMMYFUNCTION("""COMPUTED_VALUE"""),0.0)</f>
        <v>0</v>
      </c>
      <c r="K114" s="6">
        <f>IFERROR(__xludf.DUMMYFUNCTION("""COMPUTED_VALUE"""),0.0)</f>
        <v>0</v>
      </c>
      <c r="L114" s="6">
        <f>IFERROR(__xludf.DUMMYFUNCTION("""COMPUTED_VALUE"""),0.0)</f>
        <v>0</v>
      </c>
      <c r="M114" s="6">
        <f>IFERROR(__xludf.DUMMYFUNCTION("""COMPUTED_VALUE"""),0.0)</f>
        <v>0</v>
      </c>
      <c r="N114" s="6">
        <f>IFERROR(__xludf.DUMMYFUNCTION("""COMPUTED_VALUE"""),0.0)</f>
        <v>0</v>
      </c>
      <c r="O114" s="6">
        <f>IFERROR(__xludf.DUMMYFUNCTION("""COMPUTED_VALUE"""),1.0)</f>
        <v>1</v>
      </c>
      <c r="P114" s="6">
        <f>IFERROR(__xludf.DUMMYFUNCTION("""COMPUTED_VALUE"""),0.0)</f>
        <v>0</v>
      </c>
      <c r="Q114" s="6">
        <f>IFERROR(__xludf.DUMMYFUNCTION("""COMPUTED_VALUE"""),0.0)</f>
        <v>0</v>
      </c>
      <c r="R114" s="6">
        <f>IFERROR(__xludf.DUMMYFUNCTION("""COMPUTED_VALUE"""),0.0)</f>
        <v>0</v>
      </c>
      <c r="S114" s="6">
        <f>IFERROR(__xludf.DUMMYFUNCTION("""COMPUTED_VALUE"""),0.0)</f>
        <v>0</v>
      </c>
      <c r="T114" s="6">
        <f>IFERROR(__xludf.DUMMYFUNCTION("""COMPUTED_VALUE"""),0.0)</f>
        <v>0</v>
      </c>
      <c r="U114" s="6">
        <f>IFERROR(__xludf.DUMMYFUNCTION("""COMPUTED_VALUE"""),0.0)</f>
        <v>0</v>
      </c>
      <c r="V114" s="4">
        <f t="shared" ref="V114:X114" si="113">SUM(D114, G114, J114, M114, P114, S114)</f>
        <v>0</v>
      </c>
      <c r="W114" s="4">
        <f t="shared" si="113"/>
        <v>0</v>
      </c>
      <c r="X114" s="4">
        <f t="shared" si="113"/>
        <v>1</v>
      </c>
    </row>
    <row r="115">
      <c r="A115" s="4" t="str">
        <f>IFERROR(__xludf.DUMMYFUNCTION("""COMPUTED_VALUE"""),"Школа 1191")</f>
        <v>Школа 1191</v>
      </c>
      <c r="B115" s="4" t="str">
        <f t="array" ref="B115">IFERROR(INDEX('Адреса школ'!F:F, MATCH(A115, 'Адреса школ'!E:E, 0)), "")</f>
        <v>55.850787, 37.357744</v>
      </c>
      <c r="C115" s="5" t="str">
        <f t="array" ref="C115">IFERROR(INDEX('Топ-400'!A:A, MATCH(A115, 'Топ-400'!E:E, 0)), "Вне рейтинга")</f>
        <v>Вне рейтинга</v>
      </c>
      <c r="D115" s="6">
        <f>IFERROR(__xludf.DUMMYFUNCTION("""COMPUTED_VALUE"""),1.0)</f>
        <v>1</v>
      </c>
      <c r="E115" s="6">
        <f>IFERROR(__xludf.DUMMYFUNCTION("""COMPUTED_VALUE"""),1.0)</f>
        <v>1</v>
      </c>
      <c r="F115" s="6">
        <f>IFERROR(__xludf.DUMMYFUNCTION("""COMPUTED_VALUE"""),1.0)</f>
        <v>1</v>
      </c>
      <c r="G115" s="6">
        <f>IFERROR(__xludf.DUMMYFUNCTION("""COMPUTED_VALUE"""),0.0)</f>
        <v>0</v>
      </c>
      <c r="H115" s="6">
        <f>IFERROR(__xludf.DUMMYFUNCTION("""COMPUTED_VALUE"""),0.0)</f>
        <v>0</v>
      </c>
      <c r="I115" s="6">
        <f>IFERROR(__xludf.DUMMYFUNCTION("""COMPUTED_VALUE"""),0.0)</f>
        <v>0</v>
      </c>
      <c r="J115" s="6">
        <f>IFERROR(__xludf.DUMMYFUNCTION("""COMPUTED_VALUE"""),0.0)</f>
        <v>0</v>
      </c>
      <c r="K115" s="6">
        <f>IFERROR(__xludf.DUMMYFUNCTION("""COMPUTED_VALUE"""),0.0)</f>
        <v>0</v>
      </c>
      <c r="L115" s="6">
        <f>IFERROR(__xludf.DUMMYFUNCTION("""COMPUTED_VALUE"""),0.0)</f>
        <v>0</v>
      </c>
      <c r="M115" s="6">
        <f>IFERROR(__xludf.DUMMYFUNCTION("""COMPUTED_VALUE"""),0.0)</f>
        <v>0</v>
      </c>
      <c r="N115" s="6">
        <f>IFERROR(__xludf.DUMMYFUNCTION("""COMPUTED_VALUE"""),0.0)</f>
        <v>0</v>
      </c>
      <c r="O115" s="6">
        <f>IFERROR(__xludf.DUMMYFUNCTION("""COMPUTED_VALUE"""),0.0)</f>
        <v>0</v>
      </c>
      <c r="P115" s="6">
        <f>IFERROR(__xludf.DUMMYFUNCTION("""COMPUTED_VALUE"""),0.0)</f>
        <v>0</v>
      </c>
      <c r="Q115" s="6">
        <f>IFERROR(__xludf.DUMMYFUNCTION("""COMPUTED_VALUE"""),0.0)</f>
        <v>0</v>
      </c>
      <c r="R115" s="6">
        <f>IFERROR(__xludf.DUMMYFUNCTION("""COMPUTED_VALUE"""),1.0)</f>
        <v>1</v>
      </c>
      <c r="S115" s="6">
        <f>IFERROR(__xludf.DUMMYFUNCTION("""COMPUTED_VALUE"""),0.0)</f>
        <v>0</v>
      </c>
      <c r="T115" s="6">
        <f>IFERROR(__xludf.DUMMYFUNCTION("""COMPUTED_VALUE"""),0.0)</f>
        <v>0</v>
      </c>
      <c r="U115" s="6">
        <f>IFERROR(__xludf.DUMMYFUNCTION("""COMPUTED_VALUE"""),0.0)</f>
        <v>0</v>
      </c>
      <c r="V115" s="4">
        <f t="shared" ref="V115:X115" si="114">SUM(D115, G115, J115, M115, P115, S115)</f>
        <v>1</v>
      </c>
      <c r="W115" s="4">
        <f t="shared" si="114"/>
        <v>1</v>
      </c>
      <c r="X115" s="4">
        <f t="shared" si="114"/>
        <v>2</v>
      </c>
    </row>
    <row r="116">
      <c r="A116" s="4" t="str">
        <f>IFERROR(__xludf.DUMMYFUNCTION("""COMPUTED_VALUE"""),"Школа 1194")</f>
        <v>Школа 1194</v>
      </c>
      <c r="B116" s="4" t="str">
        <f t="array" ref="B116">IFERROR(INDEX('Адреса школ'!F:F, MATCH(A116, 'Адреса школ'!E:E, 0)), "")</f>
        <v>55.979903, 37.1537</v>
      </c>
      <c r="C116" s="5" t="str">
        <f t="array" ref="C116">IFERROR(INDEX('Топ-400'!A:A, MATCH(A116, 'Топ-400'!E:E, 0)), "Вне рейтинга")</f>
        <v>33</v>
      </c>
      <c r="D116" s="6">
        <f>IFERROR(__xludf.DUMMYFUNCTION("""COMPUTED_VALUE"""),1.0)</f>
        <v>1</v>
      </c>
      <c r="E116" s="6">
        <f>IFERROR(__xludf.DUMMYFUNCTION("""COMPUTED_VALUE"""),1.0)</f>
        <v>1</v>
      </c>
      <c r="F116" s="6">
        <f>IFERROR(__xludf.DUMMYFUNCTION("""COMPUTED_VALUE"""),1.0)</f>
        <v>1</v>
      </c>
      <c r="G116" s="6">
        <f>IFERROR(__xludf.DUMMYFUNCTION("""COMPUTED_VALUE"""),1.0)</f>
        <v>1</v>
      </c>
      <c r="H116" s="6">
        <f>IFERROR(__xludf.DUMMYFUNCTION("""COMPUTED_VALUE"""),1.0)</f>
        <v>1</v>
      </c>
      <c r="I116" s="6">
        <f>IFERROR(__xludf.DUMMYFUNCTION("""COMPUTED_VALUE"""),1.0)</f>
        <v>1</v>
      </c>
      <c r="J116" s="6">
        <f>IFERROR(__xludf.DUMMYFUNCTION("""COMPUTED_VALUE"""),1.0)</f>
        <v>1</v>
      </c>
      <c r="K116" s="6">
        <f>IFERROR(__xludf.DUMMYFUNCTION("""COMPUTED_VALUE"""),1.0)</f>
        <v>1</v>
      </c>
      <c r="L116" s="6">
        <f>IFERROR(__xludf.DUMMYFUNCTION("""COMPUTED_VALUE"""),1.0)</f>
        <v>1</v>
      </c>
      <c r="M116" s="6">
        <f>IFERROR(__xludf.DUMMYFUNCTION("""COMPUTED_VALUE"""),1.0)</f>
        <v>1</v>
      </c>
      <c r="N116" s="6">
        <f>IFERROR(__xludf.DUMMYFUNCTION("""COMPUTED_VALUE"""),1.0)</f>
        <v>1</v>
      </c>
      <c r="O116" s="6">
        <f>IFERROR(__xludf.DUMMYFUNCTION("""COMPUTED_VALUE"""),1.0)</f>
        <v>1</v>
      </c>
      <c r="P116" s="6">
        <f>IFERROR(__xludf.DUMMYFUNCTION("""COMPUTED_VALUE"""),1.0)</f>
        <v>1</v>
      </c>
      <c r="Q116" s="6">
        <f>IFERROR(__xludf.DUMMYFUNCTION("""COMPUTED_VALUE"""),1.0)</f>
        <v>1</v>
      </c>
      <c r="R116" s="6">
        <f>IFERROR(__xludf.DUMMYFUNCTION("""COMPUTED_VALUE"""),1.0)</f>
        <v>1</v>
      </c>
      <c r="S116" s="6">
        <f>IFERROR(__xludf.DUMMYFUNCTION("""COMPUTED_VALUE"""),0.0)</f>
        <v>0</v>
      </c>
      <c r="T116" s="6">
        <f>IFERROR(__xludf.DUMMYFUNCTION("""COMPUTED_VALUE"""),0.0)</f>
        <v>0</v>
      </c>
      <c r="U116" s="6">
        <f>IFERROR(__xludf.DUMMYFUNCTION("""COMPUTED_VALUE"""),0.0)</f>
        <v>0</v>
      </c>
      <c r="V116" s="4">
        <f t="shared" ref="V116:X116" si="115">SUM(D116, G116, J116, M116, P116, S116)</f>
        <v>5</v>
      </c>
      <c r="W116" s="4">
        <f t="shared" si="115"/>
        <v>5</v>
      </c>
      <c r="X116" s="4">
        <f t="shared" si="115"/>
        <v>5</v>
      </c>
    </row>
    <row r="117">
      <c r="A117" s="4" t="str">
        <f>IFERROR(__xludf.DUMMYFUNCTION("""COMPUTED_VALUE"""),"Школа 1195")</f>
        <v>Школа 1195</v>
      </c>
      <c r="B117" s="4" t="str">
        <f t="array" ref="B117">IFERROR(INDEX('Адреса школ'!F:F, MATCH(A117, 'Адреса школ'!E:E, 0)), "")</f>
        <v>55.716179, 37.41599</v>
      </c>
      <c r="C117" s="5" t="str">
        <f t="array" ref="C117">IFERROR(INDEX('Топ-400'!A:A, MATCH(A117, 'Топ-400'!E:E, 0)), "Вне рейтинга")</f>
        <v>232</v>
      </c>
      <c r="D117" s="6">
        <f>IFERROR(__xludf.DUMMYFUNCTION("""COMPUTED_VALUE"""),1.0)</f>
        <v>1</v>
      </c>
      <c r="E117" s="6">
        <f>IFERROR(__xludf.DUMMYFUNCTION("""COMPUTED_VALUE"""),1.0)</f>
        <v>1</v>
      </c>
      <c r="F117" s="6">
        <f>IFERROR(__xludf.DUMMYFUNCTION("""COMPUTED_VALUE"""),1.0)</f>
        <v>1</v>
      </c>
      <c r="G117" s="6">
        <f>IFERROR(__xludf.DUMMYFUNCTION("""COMPUTED_VALUE"""),1.0)</f>
        <v>1</v>
      </c>
      <c r="H117" s="6">
        <f>IFERROR(__xludf.DUMMYFUNCTION("""COMPUTED_VALUE"""),1.0)</f>
        <v>1</v>
      </c>
      <c r="I117" s="6">
        <f>IFERROR(__xludf.DUMMYFUNCTION("""COMPUTED_VALUE"""),1.0)</f>
        <v>1</v>
      </c>
      <c r="J117" s="6">
        <f>IFERROR(__xludf.DUMMYFUNCTION("""COMPUTED_VALUE"""),1.0)</f>
        <v>1</v>
      </c>
      <c r="K117" s="6">
        <f>IFERROR(__xludf.DUMMYFUNCTION("""COMPUTED_VALUE"""),1.0)</f>
        <v>1</v>
      </c>
      <c r="L117" s="6">
        <f>IFERROR(__xludf.DUMMYFUNCTION("""COMPUTED_VALUE"""),1.0)</f>
        <v>1</v>
      </c>
      <c r="M117" s="6">
        <f>IFERROR(__xludf.DUMMYFUNCTION("""COMPUTED_VALUE"""),1.0)</f>
        <v>1</v>
      </c>
      <c r="N117" s="6">
        <f>IFERROR(__xludf.DUMMYFUNCTION("""COMPUTED_VALUE"""),1.0)</f>
        <v>1</v>
      </c>
      <c r="O117" s="6">
        <f>IFERROR(__xludf.DUMMYFUNCTION("""COMPUTED_VALUE"""),1.0)</f>
        <v>1</v>
      </c>
      <c r="P117" s="6">
        <f>IFERROR(__xludf.DUMMYFUNCTION("""COMPUTED_VALUE"""),1.0)</f>
        <v>1</v>
      </c>
      <c r="Q117" s="6">
        <f>IFERROR(__xludf.DUMMYFUNCTION("""COMPUTED_VALUE"""),1.0)</f>
        <v>1</v>
      </c>
      <c r="R117" s="6">
        <f>IFERROR(__xludf.DUMMYFUNCTION("""COMPUTED_VALUE"""),1.0)</f>
        <v>1</v>
      </c>
      <c r="S117" s="6">
        <f>IFERROR(__xludf.DUMMYFUNCTION("""COMPUTED_VALUE"""),0.0)</f>
        <v>0</v>
      </c>
      <c r="T117" s="6">
        <f>IFERROR(__xludf.DUMMYFUNCTION("""COMPUTED_VALUE"""),0.0)</f>
        <v>0</v>
      </c>
      <c r="U117" s="6">
        <f>IFERROR(__xludf.DUMMYFUNCTION("""COMPUTED_VALUE"""),0.0)</f>
        <v>0</v>
      </c>
      <c r="V117" s="4">
        <f t="shared" ref="V117:X117" si="116">SUM(D117, G117, J117, M117, P117, S117)</f>
        <v>5</v>
      </c>
      <c r="W117" s="4">
        <f t="shared" si="116"/>
        <v>5</v>
      </c>
      <c r="X117" s="4">
        <f t="shared" si="116"/>
        <v>5</v>
      </c>
    </row>
    <row r="118">
      <c r="A118" s="4" t="str">
        <f>IFERROR(__xludf.DUMMYFUNCTION("""COMPUTED_VALUE"""),"Школа 1205")</f>
        <v>Школа 1205</v>
      </c>
      <c r="B118" s="4" t="str">
        <f t="array" ref="B118">IFERROR(INDEX('Адреса школ'!F:F, MATCH(A118, 'Адреса школ'!E:E, 0)), "")</f>
        <v>55.676849, 37.554376</v>
      </c>
      <c r="C118" s="5" t="str">
        <f t="array" ref="C118">IFERROR(INDEX('Топ-400'!A:A, MATCH(A118, 'Топ-400'!E:E, 0)), "Вне рейтинга")</f>
        <v>210</v>
      </c>
      <c r="D118" s="6">
        <f>IFERROR(__xludf.DUMMYFUNCTION("""COMPUTED_VALUE"""),1.0)</f>
        <v>1</v>
      </c>
      <c r="E118" s="6">
        <f>IFERROR(__xludf.DUMMYFUNCTION("""COMPUTED_VALUE"""),1.0)</f>
        <v>1</v>
      </c>
      <c r="F118" s="6">
        <f>IFERROR(__xludf.DUMMYFUNCTION("""COMPUTED_VALUE"""),1.0)</f>
        <v>1</v>
      </c>
      <c r="G118" s="6">
        <f>IFERROR(__xludf.DUMMYFUNCTION("""COMPUTED_VALUE"""),0.0)</f>
        <v>0</v>
      </c>
      <c r="H118" s="6">
        <f>IFERROR(__xludf.DUMMYFUNCTION("""COMPUTED_VALUE"""),0.0)</f>
        <v>0</v>
      </c>
      <c r="I118" s="6">
        <f>IFERROR(__xludf.DUMMYFUNCTION("""COMPUTED_VALUE"""),0.0)</f>
        <v>0</v>
      </c>
      <c r="J118" s="6">
        <f>IFERROR(__xludf.DUMMYFUNCTION("""COMPUTED_VALUE"""),0.0)</f>
        <v>0</v>
      </c>
      <c r="K118" s="6">
        <f>IFERROR(__xludf.DUMMYFUNCTION("""COMPUTED_VALUE"""),0.0)</f>
        <v>0</v>
      </c>
      <c r="L118" s="6">
        <f>IFERROR(__xludf.DUMMYFUNCTION("""COMPUTED_VALUE"""),0.0)</f>
        <v>0</v>
      </c>
      <c r="M118" s="6">
        <f>IFERROR(__xludf.DUMMYFUNCTION("""COMPUTED_VALUE"""),1.0)</f>
        <v>1</v>
      </c>
      <c r="N118" s="6">
        <f>IFERROR(__xludf.DUMMYFUNCTION("""COMPUTED_VALUE"""),1.0)</f>
        <v>1</v>
      </c>
      <c r="O118" s="6">
        <f>IFERROR(__xludf.DUMMYFUNCTION("""COMPUTED_VALUE"""),1.0)</f>
        <v>1</v>
      </c>
      <c r="P118" s="6">
        <f>IFERROR(__xludf.DUMMYFUNCTION("""COMPUTED_VALUE"""),0.0)</f>
        <v>0</v>
      </c>
      <c r="Q118" s="6">
        <f>IFERROR(__xludf.DUMMYFUNCTION("""COMPUTED_VALUE"""),0.0)</f>
        <v>0</v>
      </c>
      <c r="R118" s="6">
        <f>IFERROR(__xludf.DUMMYFUNCTION("""COMPUTED_VALUE"""),0.0)</f>
        <v>0</v>
      </c>
      <c r="S118" s="6">
        <f>IFERROR(__xludf.DUMMYFUNCTION("""COMPUTED_VALUE"""),0.0)</f>
        <v>0</v>
      </c>
      <c r="T118" s="6">
        <f>IFERROR(__xludf.DUMMYFUNCTION("""COMPUTED_VALUE"""),0.0)</f>
        <v>0</v>
      </c>
      <c r="U118" s="6">
        <f>IFERROR(__xludf.DUMMYFUNCTION("""COMPUTED_VALUE"""),0.0)</f>
        <v>0</v>
      </c>
      <c r="V118" s="4">
        <f t="shared" ref="V118:X118" si="117">SUM(D118, G118, J118, M118, P118, S118)</f>
        <v>2</v>
      </c>
      <c r="W118" s="4">
        <f t="shared" si="117"/>
        <v>2</v>
      </c>
      <c r="X118" s="4">
        <f t="shared" si="117"/>
        <v>2</v>
      </c>
    </row>
    <row r="119">
      <c r="A119" s="4" t="str">
        <f>IFERROR(__xludf.DUMMYFUNCTION("""COMPUTED_VALUE"""),"Школа 1206")</f>
        <v>Школа 1206</v>
      </c>
      <c r="B119" s="4" t="str">
        <f t="array" ref="B119">IFERROR(INDEX('Адреса школ'!F:F, MATCH(A119, 'Адреса школ'!E:E, 0)), "")</f>
        <v>55.614953, 37.5334</v>
      </c>
      <c r="C119" s="5" t="str">
        <f t="array" ref="C119">IFERROR(INDEX('Топ-400'!A:A, MATCH(A119, 'Топ-400'!E:E, 0)), "Вне рейтинга")</f>
        <v>291</v>
      </c>
      <c r="D119" s="6">
        <f>IFERROR(__xludf.DUMMYFUNCTION("""COMPUTED_VALUE"""),0.0)</f>
        <v>0</v>
      </c>
      <c r="E119" s="6">
        <f>IFERROR(__xludf.DUMMYFUNCTION("""COMPUTED_VALUE"""),0.0)</f>
        <v>0</v>
      </c>
      <c r="F119" s="6">
        <f>IFERROR(__xludf.DUMMYFUNCTION("""COMPUTED_VALUE"""),0.0)</f>
        <v>0</v>
      </c>
      <c r="G119" s="6">
        <f>IFERROR(__xludf.DUMMYFUNCTION("""COMPUTED_VALUE"""),0.0)</f>
        <v>0</v>
      </c>
      <c r="H119" s="6">
        <f>IFERROR(__xludf.DUMMYFUNCTION("""COMPUTED_VALUE"""),0.0)</f>
        <v>0</v>
      </c>
      <c r="I119" s="6">
        <f>IFERROR(__xludf.DUMMYFUNCTION("""COMPUTED_VALUE"""),0.0)</f>
        <v>0</v>
      </c>
      <c r="J119" s="6">
        <f>IFERROR(__xludf.DUMMYFUNCTION("""COMPUTED_VALUE"""),0.0)</f>
        <v>0</v>
      </c>
      <c r="K119" s="6">
        <f>IFERROR(__xludf.DUMMYFUNCTION("""COMPUTED_VALUE"""),0.0)</f>
        <v>0</v>
      </c>
      <c r="L119" s="6">
        <f>IFERROR(__xludf.DUMMYFUNCTION("""COMPUTED_VALUE"""),0.0)</f>
        <v>0</v>
      </c>
      <c r="M119" s="6">
        <f>IFERROR(__xludf.DUMMYFUNCTION("""COMPUTED_VALUE"""),1.0)</f>
        <v>1</v>
      </c>
      <c r="N119" s="6">
        <f>IFERROR(__xludf.DUMMYFUNCTION("""COMPUTED_VALUE"""),1.0)</f>
        <v>1</v>
      </c>
      <c r="O119" s="6">
        <f>IFERROR(__xludf.DUMMYFUNCTION("""COMPUTED_VALUE"""),1.0)</f>
        <v>1</v>
      </c>
      <c r="P119" s="6">
        <f>IFERROR(__xludf.DUMMYFUNCTION("""COMPUTED_VALUE"""),0.0)</f>
        <v>0</v>
      </c>
      <c r="Q119" s="6">
        <f>IFERROR(__xludf.DUMMYFUNCTION("""COMPUTED_VALUE"""),0.0)</f>
        <v>0</v>
      </c>
      <c r="R119" s="6">
        <f>IFERROR(__xludf.DUMMYFUNCTION("""COMPUTED_VALUE"""),0.0)</f>
        <v>0</v>
      </c>
      <c r="S119" s="6">
        <f>IFERROR(__xludf.DUMMYFUNCTION("""COMPUTED_VALUE"""),1.0)</f>
        <v>1</v>
      </c>
      <c r="T119" s="6">
        <f>IFERROR(__xludf.DUMMYFUNCTION("""COMPUTED_VALUE"""),1.0)</f>
        <v>1</v>
      </c>
      <c r="U119" s="6">
        <f>IFERROR(__xludf.DUMMYFUNCTION("""COMPUTED_VALUE"""),0.0)</f>
        <v>0</v>
      </c>
      <c r="V119" s="4">
        <f t="shared" ref="V119:X119" si="118">SUM(D119, G119, J119, M119, P119, S119)</f>
        <v>2</v>
      </c>
      <c r="W119" s="4">
        <f t="shared" si="118"/>
        <v>2</v>
      </c>
      <c r="X119" s="4">
        <f t="shared" si="118"/>
        <v>1</v>
      </c>
    </row>
    <row r="120">
      <c r="A120" s="4" t="str">
        <f>IFERROR(__xludf.DUMMYFUNCTION("""COMPUTED_VALUE"""),"Школа 1207")</f>
        <v>Школа 1207</v>
      </c>
      <c r="B120" s="4" t="str">
        <f t="array" ref="B120">IFERROR(INDEX('Адреса школ'!F:F, MATCH(A120, 'Адреса школ'!E:E, 0)), "")</f>
        <v>55.605515, 37.709299</v>
      </c>
      <c r="C120" s="5" t="str">
        <f t="array" ref="C120">IFERROR(INDEX('Топ-400'!A:A, MATCH(A120, 'Топ-400'!E:E, 0)), "Вне рейтинга")</f>
        <v>397</v>
      </c>
      <c r="D120" s="6">
        <f>IFERROR(__xludf.DUMMYFUNCTION("""COMPUTED_VALUE"""),1.0)</f>
        <v>1</v>
      </c>
      <c r="E120" s="6">
        <f>IFERROR(__xludf.DUMMYFUNCTION("""COMPUTED_VALUE"""),1.0)</f>
        <v>1</v>
      </c>
      <c r="F120" s="6">
        <f>IFERROR(__xludf.DUMMYFUNCTION("""COMPUTED_VALUE"""),1.0)</f>
        <v>1</v>
      </c>
      <c r="G120" s="6">
        <f>IFERROR(__xludf.DUMMYFUNCTION("""COMPUTED_VALUE"""),1.0)</f>
        <v>1</v>
      </c>
      <c r="H120" s="6">
        <f>IFERROR(__xludf.DUMMYFUNCTION("""COMPUTED_VALUE"""),0.0)</f>
        <v>0</v>
      </c>
      <c r="I120" s="6">
        <f>IFERROR(__xludf.DUMMYFUNCTION("""COMPUTED_VALUE"""),0.0)</f>
        <v>0</v>
      </c>
      <c r="J120" s="6">
        <f>IFERROR(__xludf.DUMMYFUNCTION("""COMPUTED_VALUE"""),1.0)</f>
        <v>1</v>
      </c>
      <c r="K120" s="6">
        <f>IFERROR(__xludf.DUMMYFUNCTION("""COMPUTED_VALUE"""),0.0)</f>
        <v>0</v>
      </c>
      <c r="L120" s="6">
        <f>IFERROR(__xludf.DUMMYFUNCTION("""COMPUTED_VALUE"""),0.0)</f>
        <v>0</v>
      </c>
      <c r="M120" s="6">
        <f>IFERROR(__xludf.DUMMYFUNCTION("""COMPUTED_VALUE"""),0.0)</f>
        <v>0</v>
      </c>
      <c r="N120" s="6">
        <f>IFERROR(__xludf.DUMMYFUNCTION("""COMPUTED_VALUE"""),0.0)</f>
        <v>0</v>
      </c>
      <c r="O120" s="6">
        <f>IFERROR(__xludf.DUMMYFUNCTION("""COMPUTED_VALUE"""),0.0)</f>
        <v>0</v>
      </c>
      <c r="P120" s="6">
        <f>IFERROR(__xludf.DUMMYFUNCTION("""COMPUTED_VALUE"""),1.0)</f>
        <v>1</v>
      </c>
      <c r="Q120" s="6">
        <f>IFERROR(__xludf.DUMMYFUNCTION("""COMPUTED_VALUE"""),1.0)</f>
        <v>1</v>
      </c>
      <c r="R120" s="6">
        <f>IFERROR(__xludf.DUMMYFUNCTION("""COMPUTED_VALUE"""),1.0)</f>
        <v>1</v>
      </c>
      <c r="S120" s="6">
        <f>IFERROR(__xludf.DUMMYFUNCTION("""COMPUTED_VALUE"""),0.0)</f>
        <v>0</v>
      </c>
      <c r="T120" s="6">
        <f>IFERROR(__xludf.DUMMYFUNCTION("""COMPUTED_VALUE"""),0.0)</f>
        <v>0</v>
      </c>
      <c r="U120" s="6">
        <f>IFERROR(__xludf.DUMMYFUNCTION("""COMPUTED_VALUE"""),0.0)</f>
        <v>0</v>
      </c>
      <c r="V120" s="4">
        <f t="shared" ref="V120:X120" si="119">SUM(D120, G120, J120, M120, P120, S120)</f>
        <v>4</v>
      </c>
      <c r="W120" s="4">
        <f t="shared" si="119"/>
        <v>2</v>
      </c>
      <c r="X120" s="4">
        <f t="shared" si="119"/>
        <v>2</v>
      </c>
    </row>
    <row r="121">
      <c r="A121" s="4" t="str">
        <f>IFERROR(__xludf.DUMMYFUNCTION("""COMPUTED_VALUE"""),"Школа 1208")</f>
        <v>Школа 1208</v>
      </c>
      <c r="B121" s="4" t="str">
        <f t="array" ref="B121">IFERROR(INDEX('Адреса школ'!F:F, MATCH(A121, 'Адреса школ'!E:E, 0)), "")</f>
        <v>55.707765, 37.771211</v>
      </c>
      <c r="C121" s="5" t="str">
        <f t="array" ref="C121">IFERROR(INDEX('Топ-400'!A:A, MATCH(A121, 'Топ-400'!E:E, 0)), "Вне рейтинга")</f>
        <v>138</v>
      </c>
      <c r="D121" s="6">
        <f>IFERROR(__xludf.DUMMYFUNCTION("""COMPUTED_VALUE"""),0.0)</f>
        <v>0</v>
      </c>
      <c r="E121" s="6">
        <f>IFERROR(__xludf.DUMMYFUNCTION("""COMPUTED_VALUE"""),0.0)</f>
        <v>0</v>
      </c>
      <c r="F121" s="6">
        <f>IFERROR(__xludf.DUMMYFUNCTION("""COMPUTED_VALUE"""),1.0)</f>
        <v>1</v>
      </c>
      <c r="G121" s="6">
        <f>IFERROR(__xludf.DUMMYFUNCTION("""COMPUTED_VALUE"""),1.0)</f>
        <v>1</v>
      </c>
      <c r="H121" s="6">
        <f>IFERROR(__xludf.DUMMYFUNCTION("""COMPUTED_VALUE"""),0.0)</f>
        <v>0</v>
      </c>
      <c r="I121" s="6">
        <f>IFERROR(__xludf.DUMMYFUNCTION("""COMPUTED_VALUE"""),1.0)</f>
        <v>1</v>
      </c>
      <c r="J121" s="6">
        <f>IFERROR(__xludf.DUMMYFUNCTION("""COMPUTED_VALUE"""),1.0)</f>
        <v>1</v>
      </c>
      <c r="K121" s="6">
        <f>IFERROR(__xludf.DUMMYFUNCTION("""COMPUTED_VALUE"""),0.0)</f>
        <v>0</v>
      </c>
      <c r="L121" s="6">
        <f>IFERROR(__xludf.DUMMYFUNCTION("""COMPUTED_VALUE"""),1.0)</f>
        <v>1</v>
      </c>
      <c r="M121" s="6">
        <f>IFERROR(__xludf.DUMMYFUNCTION("""COMPUTED_VALUE"""),1.0)</f>
        <v>1</v>
      </c>
      <c r="N121" s="6">
        <f>IFERROR(__xludf.DUMMYFUNCTION("""COMPUTED_VALUE"""),1.0)</f>
        <v>1</v>
      </c>
      <c r="O121" s="6">
        <f>IFERROR(__xludf.DUMMYFUNCTION("""COMPUTED_VALUE"""),1.0)</f>
        <v>1</v>
      </c>
      <c r="P121" s="6">
        <f>IFERROR(__xludf.DUMMYFUNCTION("""COMPUTED_VALUE"""),1.0)</f>
        <v>1</v>
      </c>
      <c r="Q121" s="6">
        <f>IFERROR(__xludf.DUMMYFUNCTION("""COMPUTED_VALUE"""),1.0)</f>
        <v>1</v>
      </c>
      <c r="R121" s="6">
        <f>IFERROR(__xludf.DUMMYFUNCTION("""COMPUTED_VALUE"""),1.0)</f>
        <v>1</v>
      </c>
      <c r="S121" s="6">
        <f>IFERROR(__xludf.DUMMYFUNCTION("""COMPUTED_VALUE"""),0.0)</f>
        <v>0</v>
      </c>
      <c r="T121" s="6">
        <f>IFERROR(__xludf.DUMMYFUNCTION("""COMPUTED_VALUE"""),0.0)</f>
        <v>0</v>
      </c>
      <c r="U121" s="6">
        <f>IFERROR(__xludf.DUMMYFUNCTION("""COMPUTED_VALUE"""),0.0)</f>
        <v>0</v>
      </c>
      <c r="V121" s="4">
        <f t="shared" ref="V121:X121" si="120">SUM(D121, G121, J121, M121, P121, S121)</f>
        <v>4</v>
      </c>
      <c r="W121" s="4">
        <f t="shared" si="120"/>
        <v>2</v>
      </c>
      <c r="X121" s="4">
        <f t="shared" si="120"/>
        <v>5</v>
      </c>
    </row>
    <row r="122">
      <c r="A122" s="4" t="str">
        <f>IFERROR(__xludf.DUMMYFUNCTION("""COMPUTED_VALUE"""),"Школа 1210")</f>
        <v>Школа 1210</v>
      </c>
      <c r="B122" s="4" t="str">
        <f t="array" ref="B122">IFERROR(INDEX('Адреса школ'!F:F, MATCH(A122, 'Адреса школ'!E:E, 0)), "")</f>
        <v>55.80022, 37.457223</v>
      </c>
      <c r="C122" s="5" t="str">
        <f t="array" ref="C122">IFERROR(INDEX('Топ-400'!A:A, MATCH(A122, 'Топ-400'!E:E, 0)), "Вне рейтинга")</f>
        <v>358</v>
      </c>
      <c r="D122" s="6">
        <f>IFERROR(__xludf.DUMMYFUNCTION("""COMPUTED_VALUE"""),1.0)</f>
        <v>1</v>
      </c>
      <c r="E122" s="6">
        <f>IFERROR(__xludf.DUMMYFUNCTION("""COMPUTED_VALUE"""),1.0)</f>
        <v>1</v>
      </c>
      <c r="F122" s="6">
        <f>IFERROR(__xludf.DUMMYFUNCTION("""COMPUTED_VALUE"""),1.0)</f>
        <v>1</v>
      </c>
      <c r="G122" s="6">
        <f>IFERROR(__xludf.DUMMYFUNCTION("""COMPUTED_VALUE"""),1.0)</f>
        <v>1</v>
      </c>
      <c r="H122" s="6">
        <f>IFERROR(__xludf.DUMMYFUNCTION("""COMPUTED_VALUE"""),0.0)</f>
        <v>0</v>
      </c>
      <c r="I122" s="6">
        <f>IFERROR(__xludf.DUMMYFUNCTION("""COMPUTED_VALUE"""),0.0)</f>
        <v>0</v>
      </c>
      <c r="J122" s="6">
        <f>IFERROR(__xludf.DUMMYFUNCTION("""COMPUTED_VALUE"""),0.0)</f>
        <v>0</v>
      </c>
      <c r="K122" s="6">
        <f>IFERROR(__xludf.DUMMYFUNCTION("""COMPUTED_VALUE"""),0.0)</f>
        <v>0</v>
      </c>
      <c r="L122" s="6">
        <f>IFERROR(__xludf.DUMMYFUNCTION("""COMPUTED_VALUE"""),0.0)</f>
        <v>0</v>
      </c>
      <c r="M122" s="6">
        <f>IFERROR(__xludf.DUMMYFUNCTION("""COMPUTED_VALUE"""),1.0)</f>
        <v>1</v>
      </c>
      <c r="N122" s="6">
        <f>IFERROR(__xludf.DUMMYFUNCTION("""COMPUTED_VALUE"""),1.0)</f>
        <v>1</v>
      </c>
      <c r="O122" s="6">
        <f>IFERROR(__xludf.DUMMYFUNCTION("""COMPUTED_VALUE"""),1.0)</f>
        <v>1</v>
      </c>
      <c r="P122" s="6">
        <f>IFERROR(__xludf.DUMMYFUNCTION("""COMPUTED_VALUE"""),1.0)</f>
        <v>1</v>
      </c>
      <c r="Q122" s="6">
        <f>IFERROR(__xludf.DUMMYFUNCTION("""COMPUTED_VALUE"""),1.0)</f>
        <v>1</v>
      </c>
      <c r="R122" s="6">
        <f>IFERROR(__xludf.DUMMYFUNCTION("""COMPUTED_VALUE"""),1.0)</f>
        <v>1</v>
      </c>
      <c r="S122" s="6">
        <f>IFERROR(__xludf.DUMMYFUNCTION("""COMPUTED_VALUE"""),0.0)</f>
        <v>0</v>
      </c>
      <c r="T122" s="6">
        <f>IFERROR(__xludf.DUMMYFUNCTION("""COMPUTED_VALUE"""),0.0)</f>
        <v>0</v>
      </c>
      <c r="U122" s="6">
        <f>IFERROR(__xludf.DUMMYFUNCTION("""COMPUTED_VALUE"""),0.0)</f>
        <v>0</v>
      </c>
      <c r="V122" s="4">
        <f t="shared" ref="V122:X122" si="121">SUM(D122, G122, J122, M122, P122, S122)</f>
        <v>4</v>
      </c>
      <c r="W122" s="4">
        <f t="shared" si="121"/>
        <v>3</v>
      </c>
      <c r="X122" s="4">
        <f t="shared" si="121"/>
        <v>3</v>
      </c>
    </row>
    <row r="123">
      <c r="A123" s="4" t="str">
        <f>IFERROR(__xludf.DUMMYFUNCTION("""COMPUTED_VALUE"""),"Школа 1212")</f>
        <v>Школа 1212</v>
      </c>
      <c r="B123" s="4" t="str">
        <f t="array" ref="B123">IFERROR(INDEX('Адреса школ'!F:F, MATCH(A123, 'Адреса школ'!E:E, 0)), "")</f>
        <v>55.799138, 37.487173</v>
      </c>
      <c r="C123" s="5" t="str">
        <f t="array" ref="C123">IFERROR(INDEX('Топ-400'!A:A, MATCH(A123, 'Топ-400'!E:E, 0)), "Вне рейтинга")</f>
        <v>273</v>
      </c>
      <c r="D123" s="6">
        <f>IFERROR(__xludf.DUMMYFUNCTION("""COMPUTED_VALUE"""),1.0)</f>
        <v>1</v>
      </c>
      <c r="E123" s="6">
        <f>IFERROR(__xludf.DUMMYFUNCTION("""COMPUTED_VALUE"""),0.0)</f>
        <v>0</v>
      </c>
      <c r="F123" s="6">
        <f>IFERROR(__xludf.DUMMYFUNCTION("""COMPUTED_VALUE"""),1.0)</f>
        <v>1</v>
      </c>
      <c r="G123" s="6">
        <f>IFERROR(__xludf.DUMMYFUNCTION("""COMPUTED_VALUE"""),0.0)</f>
        <v>0</v>
      </c>
      <c r="H123" s="6">
        <f>IFERROR(__xludf.DUMMYFUNCTION("""COMPUTED_VALUE"""),0.0)</f>
        <v>0</v>
      </c>
      <c r="I123" s="6">
        <f>IFERROR(__xludf.DUMMYFUNCTION("""COMPUTED_VALUE"""),0.0)</f>
        <v>0</v>
      </c>
      <c r="J123" s="6">
        <f>IFERROR(__xludf.DUMMYFUNCTION("""COMPUTED_VALUE"""),1.0)</f>
        <v>1</v>
      </c>
      <c r="K123" s="6">
        <f>IFERROR(__xludf.DUMMYFUNCTION("""COMPUTED_VALUE"""),0.0)</f>
        <v>0</v>
      </c>
      <c r="L123" s="6">
        <f>IFERROR(__xludf.DUMMYFUNCTION("""COMPUTED_VALUE"""),1.0)</f>
        <v>1</v>
      </c>
      <c r="M123" s="6">
        <f>IFERROR(__xludf.DUMMYFUNCTION("""COMPUTED_VALUE"""),1.0)</f>
        <v>1</v>
      </c>
      <c r="N123" s="6">
        <f>IFERROR(__xludf.DUMMYFUNCTION("""COMPUTED_VALUE"""),0.0)</f>
        <v>0</v>
      </c>
      <c r="O123" s="6">
        <f>IFERROR(__xludf.DUMMYFUNCTION("""COMPUTED_VALUE"""),0.0)</f>
        <v>0</v>
      </c>
      <c r="P123" s="6">
        <f>IFERROR(__xludf.DUMMYFUNCTION("""COMPUTED_VALUE"""),1.0)</f>
        <v>1</v>
      </c>
      <c r="Q123" s="6">
        <f>IFERROR(__xludf.DUMMYFUNCTION("""COMPUTED_VALUE"""),1.0)</f>
        <v>1</v>
      </c>
      <c r="R123" s="6">
        <f>IFERROR(__xludf.DUMMYFUNCTION("""COMPUTED_VALUE"""),1.0)</f>
        <v>1</v>
      </c>
      <c r="S123" s="6">
        <f>IFERROR(__xludf.DUMMYFUNCTION("""COMPUTED_VALUE"""),0.0)</f>
        <v>0</v>
      </c>
      <c r="T123" s="6">
        <f>IFERROR(__xludf.DUMMYFUNCTION("""COMPUTED_VALUE"""),0.0)</f>
        <v>0</v>
      </c>
      <c r="U123" s="6">
        <f>IFERROR(__xludf.DUMMYFUNCTION("""COMPUTED_VALUE"""),0.0)</f>
        <v>0</v>
      </c>
      <c r="V123" s="4">
        <f t="shared" ref="V123:X123" si="122">SUM(D123, G123, J123, M123, P123, S123)</f>
        <v>4</v>
      </c>
      <c r="W123" s="4">
        <f t="shared" si="122"/>
        <v>1</v>
      </c>
      <c r="X123" s="4">
        <f t="shared" si="122"/>
        <v>3</v>
      </c>
    </row>
    <row r="124">
      <c r="A124" s="4" t="str">
        <f>IFERROR(__xludf.DUMMYFUNCTION("""COMPUTED_VALUE"""),"Школа 1213")</f>
        <v>Школа 1213</v>
      </c>
      <c r="B124" s="4" t="str">
        <f t="array" ref="B124">IFERROR(INDEX('Адреса школ'!F:F, MATCH(A124, 'Адреса школ'!E:E, 0)), "")</f>
        <v>55.844071, 37.565479</v>
      </c>
      <c r="C124" s="5" t="str">
        <f t="array" ref="C124">IFERROR(INDEX('Топ-400'!A:A, MATCH(A124, 'Топ-400'!E:E, 0)), "Вне рейтинга")</f>
        <v>Вне рейтинга</v>
      </c>
      <c r="D124" s="6">
        <f>IFERROR(__xludf.DUMMYFUNCTION("""COMPUTED_VALUE"""),0.0)</f>
        <v>0</v>
      </c>
      <c r="E124" s="6">
        <f>IFERROR(__xludf.DUMMYFUNCTION("""COMPUTED_VALUE"""),0.0)</f>
        <v>0</v>
      </c>
      <c r="F124" s="6">
        <f>IFERROR(__xludf.DUMMYFUNCTION("""COMPUTED_VALUE"""),0.0)</f>
        <v>0</v>
      </c>
      <c r="G124" s="6">
        <f>IFERROR(__xludf.DUMMYFUNCTION("""COMPUTED_VALUE"""),0.0)</f>
        <v>0</v>
      </c>
      <c r="H124" s="6">
        <f>IFERROR(__xludf.DUMMYFUNCTION("""COMPUTED_VALUE"""),0.0)</f>
        <v>0</v>
      </c>
      <c r="I124" s="6">
        <f>IFERROR(__xludf.DUMMYFUNCTION("""COMPUTED_VALUE"""),0.0)</f>
        <v>0</v>
      </c>
      <c r="J124" s="6">
        <f>IFERROR(__xludf.DUMMYFUNCTION("""COMPUTED_VALUE"""),1.0)</f>
        <v>1</v>
      </c>
      <c r="K124" s="6">
        <f>IFERROR(__xludf.DUMMYFUNCTION("""COMPUTED_VALUE"""),0.0)</f>
        <v>0</v>
      </c>
      <c r="L124" s="6">
        <f>IFERROR(__xludf.DUMMYFUNCTION("""COMPUTED_VALUE"""),0.0)</f>
        <v>0</v>
      </c>
      <c r="M124" s="6">
        <f>IFERROR(__xludf.DUMMYFUNCTION("""COMPUTED_VALUE"""),0.0)</f>
        <v>0</v>
      </c>
      <c r="N124" s="6">
        <f>IFERROR(__xludf.DUMMYFUNCTION("""COMPUTED_VALUE"""),0.0)</f>
        <v>0</v>
      </c>
      <c r="O124" s="6">
        <f>IFERROR(__xludf.DUMMYFUNCTION("""COMPUTED_VALUE"""),0.0)</f>
        <v>0</v>
      </c>
      <c r="P124" s="6">
        <f>IFERROR(__xludf.DUMMYFUNCTION("""COMPUTED_VALUE"""),0.0)</f>
        <v>0</v>
      </c>
      <c r="Q124" s="6">
        <f>IFERROR(__xludf.DUMMYFUNCTION("""COMPUTED_VALUE"""),0.0)</f>
        <v>0</v>
      </c>
      <c r="R124" s="6">
        <f>IFERROR(__xludf.DUMMYFUNCTION("""COMPUTED_VALUE"""),0.0)</f>
        <v>0</v>
      </c>
      <c r="S124" s="6">
        <f>IFERROR(__xludf.DUMMYFUNCTION("""COMPUTED_VALUE"""),0.0)</f>
        <v>0</v>
      </c>
      <c r="T124" s="6">
        <f>IFERROR(__xludf.DUMMYFUNCTION("""COMPUTED_VALUE"""),0.0)</f>
        <v>0</v>
      </c>
      <c r="U124" s="6">
        <f>IFERROR(__xludf.DUMMYFUNCTION("""COMPUTED_VALUE"""),0.0)</f>
        <v>0</v>
      </c>
      <c r="V124" s="4">
        <f t="shared" ref="V124:X124" si="123">SUM(D124, G124, J124, M124, P124, S124)</f>
        <v>1</v>
      </c>
      <c r="W124" s="4">
        <f t="shared" si="123"/>
        <v>0</v>
      </c>
      <c r="X124" s="4">
        <f t="shared" si="123"/>
        <v>0</v>
      </c>
    </row>
    <row r="125">
      <c r="A125" s="4" t="str">
        <f>IFERROR(__xludf.DUMMYFUNCTION("""COMPUTED_VALUE"""),"Школа 1220")</f>
        <v>Школа 1220</v>
      </c>
      <c r="B125" s="4" t="str">
        <f t="array" ref="B125">IFERROR(INDEX('Адреса школ'!F:F, MATCH(A125, 'Адреса школ'!E:E, 0)), "")</f>
        <v>55.817633, 37.621004</v>
      </c>
      <c r="C125" s="5" t="str">
        <f t="array" ref="C125">IFERROR(INDEX('Топ-400'!A:A, MATCH(A125, 'Топ-400'!E:E, 0)), "Вне рейтинга")</f>
        <v>Вне рейтинга</v>
      </c>
      <c r="D125" s="6">
        <f>IFERROR(__xludf.DUMMYFUNCTION("""COMPUTED_VALUE"""),0.0)</f>
        <v>0</v>
      </c>
      <c r="E125" s="6">
        <f>IFERROR(__xludf.DUMMYFUNCTION("""COMPUTED_VALUE"""),0.0)</f>
        <v>0</v>
      </c>
      <c r="F125" s="6">
        <f>IFERROR(__xludf.DUMMYFUNCTION("""COMPUTED_VALUE"""),1.0)</f>
        <v>1</v>
      </c>
      <c r="G125" s="6">
        <f>IFERROR(__xludf.DUMMYFUNCTION("""COMPUTED_VALUE"""),0.0)</f>
        <v>0</v>
      </c>
      <c r="H125" s="6">
        <f>IFERROR(__xludf.DUMMYFUNCTION("""COMPUTED_VALUE"""),0.0)</f>
        <v>0</v>
      </c>
      <c r="I125" s="6">
        <f>IFERROR(__xludf.DUMMYFUNCTION("""COMPUTED_VALUE"""),0.0)</f>
        <v>0</v>
      </c>
      <c r="J125" s="6">
        <f>IFERROR(__xludf.DUMMYFUNCTION("""COMPUTED_VALUE"""),0.0)</f>
        <v>0</v>
      </c>
      <c r="K125" s="6">
        <f>IFERROR(__xludf.DUMMYFUNCTION("""COMPUTED_VALUE"""),0.0)</f>
        <v>0</v>
      </c>
      <c r="L125" s="6">
        <f>IFERROR(__xludf.DUMMYFUNCTION("""COMPUTED_VALUE"""),0.0)</f>
        <v>0</v>
      </c>
      <c r="M125" s="6">
        <f>IFERROR(__xludf.DUMMYFUNCTION("""COMPUTED_VALUE"""),1.0)</f>
        <v>1</v>
      </c>
      <c r="N125" s="6">
        <f>IFERROR(__xludf.DUMMYFUNCTION("""COMPUTED_VALUE"""),0.0)</f>
        <v>0</v>
      </c>
      <c r="O125" s="6">
        <f>IFERROR(__xludf.DUMMYFUNCTION("""COMPUTED_VALUE"""),0.0)</f>
        <v>0</v>
      </c>
      <c r="P125" s="6">
        <f>IFERROR(__xludf.DUMMYFUNCTION("""COMPUTED_VALUE"""),0.0)</f>
        <v>0</v>
      </c>
      <c r="Q125" s="6">
        <f>IFERROR(__xludf.DUMMYFUNCTION("""COMPUTED_VALUE"""),0.0)</f>
        <v>0</v>
      </c>
      <c r="R125" s="6">
        <f>IFERROR(__xludf.DUMMYFUNCTION("""COMPUTED_VALUE"""),0.0)</f>
        <v>0</v>
      </c>
      <c r="S125" s="6">
        <f>IFERROR(__xludf.DUMMYFUNCTION("""COMPUTED_VALUE"""),0.0)</f>
        <v>0</v>
      </c>
      <c r="T125" s="6">
        <f>IFERROR(__xludf.DUMMYFUNCTION("""COMPUTED_VALUE"""),0.0)</f>
        <v>0</v>
      </c>
      <c r="U125" s="6">
        <f>IFERROR(__xludf.DUMMYFUNCTION("""COMPUTED_VALUE"""),0.0)</f>
        <v>0</v>
      </c>
      <c r="V125" s="4">
        <f t="shared" ref="V125:X125" si="124">SUM(D125, G125, J125, M125, P125, S125)</f>
        <v>1</v>
      </c>
      <c r="W125" s="4">
        <f t="shared" si="124"/>
        <v>0</v>
      </c>
      <c r="X125" s="4">
        <f t="shared" si="124"/>
        <v>1</v>
      </c>
    </row>
    <row r="126">
      <c r="A126" s="4" t="str">
        <f>IFERROR(__xludf.DUMMYFUNCTION("""COMPUTED_VALUE"""),"Школа 1222")</f>
        <v>Школа 1222</v>
      </c>
      <c r="B126" s="4" t="str">
        <f t="array" ref="B126">IFERROR(INDEX('Адреса школ'!F:F, MATCH(A126, 'Адреса школ'!E:E, 0)), "")</f>
        <v>55.732803, 37.706344</v>
      </c>
      <c r="C126" s="5" t="str">
        <f t="array" ref="C126">IFERROR(INDEX('Топ-400'!A:A, MATCH(A126, 'Топ-400'!E:E, 0)), "Вне рейтинга")</f>
        <v>285</v>
      </c>
      <c r="D126" s="6">
        <f>IFERROR(__xludf.DUMMYFUNCTION("""COMPUTED_VALUE"""),0.0)</f>
        <v>0</v>
      </c>
      <c r="E126" s="6">
        <f>IFERROR(__xludf.DUMMYFUNCTION("""COMPUTED_VALUE"""),0.0)</f>
        <v>0</v>
      </c>
      <c r="F126" s="6">
        <f>IFERROR(__xludf.DUMMYFUNCTION("""COMPUTED_VALUE"""),0.0)</f>
        <v>0</v>
      </c>
      <c r="G126" s="6">
        <f>IFERROR(__xludf.DUMMYFUNCTION("""COMPUTED_VALUE"""),0.0)</f>
        <v>0</v>
      </c>
      <c r="H126" s="6">
        <f>IFERROR(__xludf.DUMMYFUNCTION("""COMPUTED_VALUE"""),0.0)</f>
        <v>0</v>
      </c>
      <c r="I126" s="6">
        <f>IFERROR(__xludf.DUMMYFUNCTION("""COMPUTED_VALUE"""),0.0)</f>
        <v>0</v>
      </c>
      <c r="J126" s="6">
        <f>IFERROR(__xludf.DUMMYFUNCTION("""COMPUTED_VALUE"""),0.0)</f>
        <v>0</v>
      </c>
      <c r="K126" s="6">
        <f>IFERROR(__xludf.DUMMYFUNCTION("""COMPUTED_VALUE"""),0.0)</f>
        <v>0</v>
      </c>
      <c r="L126" s="6">
        <f>IFERROR(__xludf.DUMMYFUNCTION("""COMPUTED_VALUE"""),0.0)</f>
        <v>0</v>
      </c>
      <c r="M126" s="6">
        <f>IFERROR(__xludf.DUMMYFUNCTION("""COMPUTED_VALUE"""),0.0)</f>
        <v>0</v>
      </c>
      <c r="N126" s="6">
        <f>IFERROR(__xludf.DUMMYFUNCTION("""COMPUTED_VALUE"""),0.0)</f>
        <v>0</v>
      </c>
      <c r="O126" s="6">
        <f>IFERROR(__xludf.DUMMYFUNCTION("""COMPUTED_VALUE"""),1.0)</f>
        <v>1</v>
      </c>
      <c r="P126" s="6">
        <f>IFERROR(__xludf.DUMMYFUNCTION("""COMPUTED_VALUE"""),1.0)</f>
        <v>1</v>
      </c>
      <c r="Q126" s="6">
        <f>IFERROR(__xludf.DUMMYFUNCTION("""COMPUTED_VALUE"""),0.0)</f>
        <v>0</v>
      </c>
      <c r="R126" s="6">
        <f>IFERROR(__xludf.DUMMYFUNCTION("""COMPUTED_VALUE"""),0.0)</f>
        <v>0</v>
      </c>
      <c r="S126" s="6">
        <f>IFERROR(__xludf.DUMMYFUNCTION("""COMPUTED_VALUE"""),0.0)</f>
        <v>0</v>
      </c>
      <c r="T126" s="6">
        <f>IFERROR(__xludf.DUMMYFUNCTION("""COMPUTED_VALUE"""),0.0)</f>
        <v>0</v>
      </c>
      <c r="U126" s="6">
        <f>IFERROR(__xludf.DUMMYFUNCTION("""COMPUTED_VALUE"""),0.0)</f>
        <v>0</v>
      </c>
      <c r="V126" s="4">
        <f t="shared" ref="V126:X126" si="125">SUM(D126, G126, J126, M126, P126, S126)</f>
        <v>1</v>
      </c>
      <c r="W126" s="4">
        <f t="shared" si="125"/>
        <v>0</v>
      </c>
      <c r="X126" s="4">
        <f t="shared" si="125"/>
        <v>1</v>
      </c>
    </row>
    <row r="127">
      <c r="A127" s="4" t="str">
        <f>IFERROR(__xludf.DUMMYFUNCTION("""COMPUTED_VALUE"""),"Школа 1223")</f>
        <v>Школа 1223</v>
      </c>
      <c r="B127" s="4" t="str">
        <f t="array" ref="B127">IFERROR(INDEX('Адреса школ'!F:F, MATCH(A127, 'Адреса школ'!E:E, 0)), "")</f>
        <v>55.83846, 37.527229</v>
      </c>
      <c r="C127" s="5" t="str">
        <f t="array" ref="C127">IFERROR(INDEX('Топ-400'!A:A, MATCH(A127, 'Топ-400'!E:E, 0)), "Вне рейтинга")</f>
        <v>249</v>
      </c>
      <c r="D127" s="6">
        <f>IFERROR(__xludf.DUMMYFUNCTION("""COMPUTED_VALUE"""),0.0)</f>
        <v>0</v>
      </c>
      <c r="E127" s="6">
        <f>IFERROR(__xludf.DUMMYFUNCTION("""COMPUTED_VALUE"""),0.0)</f>
        <v>0</v>
      </c>
      <c r="F127" s="6">
        <f>IFERROR(__xludf.DUMMYFUNCTION("""COMPUTED_VALUE"""),0.0)</f>
        <v>0</v>
      </c>
      <c r="G127" s="6">
        <f>IFERROR(__xludf.DUMMYFUNCTION("""COMPUTED_VALUE"""),0.0)</f>
        <v>0</v>
      </c>
      <c r="H127" s="6">
        <f>IFERROR(__xludf.DUMMYFUNCTION("""COMPUTED_VALUE"""),0.0)</f>
        <v>0</v>
      </c>
      <c r="I127" s="6">
        <f>IFERROR(__xludf.DUMMYFUNCTION("""COMPUTED_VALUE"""),0.0)</f>
        <v>0</v>
      </c>
      <c r="J127" s="6">
        <f>IFERROR(__xludf.DUMMYFUNCTION("""COMPUTED_VALUE"""),0.0)</f>
        <v>0</v>
      </c>
      <c r="K127" s="6">
        <f>IFERROR(__xludf.DUMMYFUNCTION("""COMPUTED_VALUE"""),0.0)</f>
        <v>0</v>
      </c>
      <c r="L127" s="6">
        <f>IFERROR(__xludf.DUMMYFUNCTION("""COMPUTED_VALUE"""),0.0)</f>
        <v>0</v>
      </c>
      <c r="M127" s="6">
        <f>IFERROR(__xludf.DUMMYFUNCTION("""COMPUTED_VALUE"""),1.0)</f>
        <v>1</v>
      </c>
      <c r="N127" s="6">
        <f>IFERROR(__xludf.DUMMYFUNCTION("""COMPUTED_VALUE"""),1.0)</f>
        <v>1</v>
      </c>
      <c r="O127" s="6">
        <f>IFERROR(__xludf.DUMMYFUNCTION("""COMPUTED_VALUE"""),1.0)</f>
        <v>1</v>
      </c>
      <c r="P127" s="6">
        <f>IFERROR(__xludf.DUMMYFUNCTION("""COMPUTED_VALUE"""),1.0)</f>
        <v>1</v>
      </c>
      <c r="Q127" s="6">
        <f>IFERROR(__xludf.DUMMYFUNCTION("""COMPUTED_VALUE"""),0.0)</f>
        <v>0</v>
      </c>
      <c r="R127" s="6">
        <f>IFERROR(__xludf.DUMMYFUNCTION("""COMPUTED_VALUE"""),0.0)</f>
        <v>0</v>
      </c>
      <c r="S127" s="6">
        <f>IFERROR(__xludf.DUMMYFUNCTION("""COMPUTED_VALUE"""),0.0)</f>
        <v>0</v>
      </c>
      <c r="T127" s="6">
        <f>IFERROR(__xludf.DUMMYFUNCTION("""COMPUTED_VALUE"""),0.0)</f>
        <v>0</v>
      </c>
      <c r="U127" s="6">
        <f>IFERROR(__xludf.DUMMYFUNCTION("""COMPUTED_VALUE"""),0.0)</f>
        <v>0</v>
      </c>
      <c r="V127" s="4">
        <f t="shared" ref="V127:X127" si="126">SUM(D127, G127, J127, M127, P127, S127)</f>
        <v>2</v>
      </c>
      <c r="W127" s="4">
        <f t="shared" si="126"/>
        <v>1</v>
      </c>
      <c r="X127" s="4">
        <f t="shared" si="126"/>
        <v>1</v>
      </c>
    </row>
    <row r="128">
      <c r="A128" s="4" t="str">
        <f>IFERROR(__xludf.DUMMYFUNCTION("""COMPUTED_VALUE"""),"Школа 1228")</f>
        <v>Школа 1228</v>
      </c>
      <c r="B128" s="4" t="str">
        <f t="array" ref="B128">IFERROR(INDEX('Адреса школ'!F:F, MATCH(A128, 'Адреса школ'!E:E, 0)), "")</f>
        <v>55.740669, 37.720331</v>
      </c>
      <c r="C128" s="5" t="str">
        <f t="array" ref="C128">IFERROR(INDEX('Топ-400'!A:A, MATCH(A128, 'Топ-400'!E:E, 0)), "Вне рейтинга")</f>
        <v>373</v>
      </c>
      <c r="D128" s="6">
        <f>IFERROR(__xludf.DUMMYFUNCTION("""COMPUTED_VALUE"""),1.0)</f>
        <v>1</v>
      </c>
      <c r="E128" s="6">
        <f>IFERROR(__xludf.DUMMYFUNCTION("""COMPUTED_VALUE"""),1.0)</f>
        <v>1</v>
      </c>
      <c r="F128" s="6">
        <f>IFERROR(__xludf.DUMMYFUNCTION("""COMPUTED_VALUE"""),1.0)</f>
        <v>1</v>
      </c>
      <c r="G128" s="6">
        <f>IFERROR(__xludf.DUMMYFUNCTION("""COMPUTED_VALUE"""),0.0)</f>
        <v>0</v>
      </c>
      <c r="H128" s="6">
        <f>IFERROR(__xludf.DUMMYFUNCTION("""COMPUTED_VALUE"""),0.0)</f>
        <v>0</v>
      </c>
      <c r="I128" s="6">
        <f>IFERROR(__xludf.DUMMYFUNCTION("""COMPUTED_VALUE"""),0.0)</f>
        <v>0</v>
      </c>
      <c r="J128" s="6">
        <f>IFERROR(__xludf.DUMMYFUNCTION("""COMPUTED_VALUE"""),0.0)</f>
        <v>0</v>
      </c>
      <c r="K128" s="6">
        <f>IFERROR(__xludf.DUMMYFUNCTION("""COMPUTED_VALUE"""),0.0)</f>
        <v>0</v>
      </c>
      <c r="L128" s="6">
        <f>IFERROR(__xludf.DUMMYFUNCTION("""COMPUTED_VALUE"""),0.0)</f>
        <v>0</v>
      </c>
      <c r="M128" s="6">
        <f>IFERROR(__xludf.DUMMYFUNCTION("""COMPUTED_VALUE"""),0.0)</f>
        <v>0</v>
      </c>
      <c r="N128" s="6">
        <f>IFERROR(__xludf.DUMMYFUNCTION("""COMPUTED_VALUE"""),0.0)</f>
        <v>0</v>
      </c>
      <c r="O128" s="6">
        <f>IFERROR(__xludf.DUMMYFUNCTION("""COMPUTED_VALUE"""),1.0)</f>
        <v>1</v>
      </c>
      <c r="P128" s="6">
        <f>IFERROR(__xludf.DUMMYFUNCTION("""COMPUTED_VALUE"""),1.0)</f>
        <v>1</v>
      </c>
      <c r="Q128" s="6">
        <f>IFERROR(__xludf.DUMMYFUNCTION("""COMPUTED_VALUE"""),1.0)</f>
        <v>1</v>
      </c>
      <c r="R128" s="6">
        <f>IFERROR(__xludf.DUMMYFUNCTION("""COMPUTED_VALUE"""),1.0)</f>
        <v>1</v>
      </c>
      <c r="S128" s="6">
        <f>IFERROR(__xludf.DUMMYFUNCTION("""COMPUTED_VALUE"""),0.0)</f>
        <v>0</v>
      </c>
      <c r="T128" s="6">
        <f>IFERROR(__xludf.DUMMYFUNCTION("""COMPUTED_VALUE"""),0.0)</f>
        <v>0</v>
      </c>
      <c r="U128" s="6">
        <f>IFERROR(__xludf.DUMMYFUNCTION("""COMPUTED_VALUE"""),0.0)</f>
        <v>0</v>
      </c>
      <c r="V128" s="4">
        <f t="shared" ref="V128:X128" si="127">SUM(D128, G128, J128, M128, P128, S128)</f>
        <v>2</v>
      </c>
      <c r="W128" s="4">
        <f t="shared" si="127"/>
        <v>2</v>
      </c>
      <c r="X128" s="4">
        <f t="shared" si="127"/>
        <v>3</v>
      </c>
    </row>
    <row r="129">
      <c r="A129" s="4" t="str">
        <f>IFERROR(__xludf.DUMMYFUNCTION("""COMPUTED_VALUE"""),"Школа 1231")</f>
        <v>Школа 1231</v>
      </c>
      <c r="B129" s="4" t="str">
        <f t="array" ref="B129">IFERROR(INDEX('Адреса школ'!F:F, MATCH(A129, 'Адреса школ'!E:E, 0)), "")</f>
        <v>55.749815, 37.588898</v>
      </c>
      <c r="C129" s="5" t="str">
        <f t="array" ref="C129">IFERROR(INDEX('Топ-400'!A:A, MATCH(A129, 'Топ-400'!E:E, 0)), "Вне рейтинга")</f>
        <v>278</v>
      </c>
      <c r="D129" s="6">
        <f>IFERROR(__xludf.DUMMYFUNCTION("""COMPUTED_VALUE"""),1.0)</f>
        <v>1</v>
      </c>
      <c r="E129" s="6">
        <f>IFERROR(__xludf.DUMMYFUNCTION("""COMPUTED_VALUE"""),0.0)</f>
        <v>0</v>
      </c>
      <c r="F129" s="6">
        <f>IFERROR(__xludf.DUMMYFUNCTION("""COMPUTED_VALUE"""),1.0)</f>
        <v>1</v>
      </c>
      <c r="G129" s="6">
        <f>IFERROR(__xludf.DUMMYFUNCTION("""COMPUTED_VALUE"""),1.0)</f>
        <v>1</v>
      </c>
      <c r="H129" s="6">
        <f>IFERROR(__xludf.DUMMYFUNCTION("""COMPUTED_VALUE"""),1.0)</f>
        <v>1</v>
      </c>
      <c r="I129" s="6">
        <f>IFERROR(__xludf.DUMMYFUNCTION("""COMPUTED_VALUE"""),1.0)</f>
        <v>1</v>
      </c>
      <c r="J129" s="6">
        <f>IFERROR(__xludf.DUMMYFUNCTION("""COMPUTED_VALUE"""),1.0)</f>
        <v>1</v>
      </c>
      <c r="K129" s="6">
        <f>IFERROR(__xludf.DUMMYFUNCTION("""COMPUTED_VALUE"""),0.0)</f>
        <v>0</v>
      </c>
      <c r="L129" s="6">
        <f>IFERROR(__xludf.DUMMYFUNCTION("""COMPUTED_VALUE"""),1.0)</f>
        <v>1</v>
      </c>
      <c r="M129" s="6">
        <f>IFERROR(__xludf.DUMMYFUNCTION("""COMPUTED_VALUE"""),1.0)</f>
        <v>1</v>
      </c>
      <c r="N129" s="6">
        <f>IFERROR(__xludf.DUMMYFUNCTION("""COMPUTED_VALUE"""),1.0)</f>
        <v>1</v>
      </c>
      <c r="O129" s="6">
        <f>IFERROR(__xludf.DUMMYFUNCTION("""COMPUTED_VALUE"""),1.0)</f>
        <v>1</v>
      </c>
      <c r="P129" s="6">
        <f>IFERROR(__xludf.DUMMYFUNCTION("""COMPUTED_VALUE"""),1.0)</f>
        <v>1</v>
      </c>
      <c r="Q129" s="6">
        <f>IFERROR(__xludf.DUMMYFUNCTION("""COMPUTED_VALUE"""),1.0)</f>
        <v>1</v>
      </c>
      <c r="R129" s="6">
        <f>IFERROR(__xludf.DUMMYFUNCTION("""COMPUTED_VALUE"""),1.0)</f>
        <v>1</v>
      </c>
      <c r="S129" s="6">
        <f>IFERROR(__xludf.DUMMYFUNCTION("""COMPUTED_VALUE"""),0.0)</f>
        <v>0</v>
      </c>
      <c r="T129" s="6">
        <f>IFERROR(__xludf.DUMMYFUNCTION("""COMPUTED_VALUE"""),0.0)</f>
        <v>0</v>
      </c>
      <c r="U129" s="6">
        <f>IFERROR(__xludf.DUMMYFUNCTION("""COMPUTED_VALUE"""),0.0)</f>
        <v>0</v>
      </c>
      <c r="V129" s="4">
        <f t="shared" ref="V129:X129" si="128">SUM(D129, G129, J129, M129, P129, S129)</f>
        <v>5</v>
      </c>
      <c r="W129" s="4">
        <f t="shared" si="128"/>
        <v>3</v>
      </c>
      <c r="X129" s="4">
        <f t="shared" si="128"/>
        <v>5</v>
      </c>
    </row>
    <row r="130">
      <c r="A130" s="4" t="str">
        <f>IFERROR(__xludf.DUMMYFUNCTION("""COMPUTED_VALUE"""),"Школа 1234")</f>
        <v>Школа 1234</v>
      </c>
      <c r="B130" s="4" t="str">
        <f t="array" ref="B130">IFERROR(INDEX('Адреса школ'!F:F, MATCH(A130, 'Адреса школ'!E:E, 0)), "")</f>
        <v>55.753499, 37.590201</v>
      </c>
      <c r="C130" s="5" t="str">
        <f t="array" ref="C130">IFERROR(INDEX('Топ-400'!A:A, MATCH(A130, 'Топ-400'!E:E, 0)), "Вне рейтинга")</f>
        <v>124</v>
      </c>
      <c r="D130" s="6">
        <f>IFERROR(__xludf.DUMMYFUNCTION("""COMPUTED_VALUE"""),1.0)</f>
        <v>1</v>
      </c>
      <c r="E130" s="6">
        <f>IFERROR(__xludf.DUMMYFUNCTION("""COMPUTED_VALUE"""),0.0)</f>
        <v>0</v>
      </c>
      <c r="F130" s="6">
        <f>IFERROR(__xludf.DUMMYFUNCTION("""COMPUTED_VALUE"""),0.0)</f>
        <v>0</v>
      </c>
      <c r="G130" s="6">
        <f>IFERROR(__xludf.DUMMYFUNCTION("""COMPUTED_VALUE"""),0.0)</f>
        <v>0</v>
      </c>
      <c r="H130" s="6">
        <f>IFERROR(__xludf.DUMMYFUNCTION("""COMPUTED_VALUE"""),0.0)</f>
        <v>0</v>
      </c>
      <c r="I130" s="6">
        <f>IFERROR(__xludf.DUMMYFUNCTION("""COMPUTED_VALUE"""),0.0)</f>
        <v>0</v>
      </c>
      <c r="J130" s="6">
        <f>IFERROR(__xludf.DUMMYFUNCTION("""COMPUTED_VALUE"""),0.0)</f>
        <v>0</v>
      </c>
      <c r="K130" s="6">
        <f>IFERROR(__xludf.DUMMYFUNCTION("""COMPUTED_VALUE"""),0.0)</f>
        <v>0</v>
      </c>
      <c r="L130" s="6">
        <f>IFERROR(__xludf.DUMMYFUNCTION("""COMPUTED_VALUE"""),0.0)</f>
        <v>0</v>
      </c>
      <c r="M130" s="6">
        <f>IFERROR(__xludf.DUMMYFUNCTION("""COMPUTED_VALUE"""),0.0)</f>
        <v>0</v>
      </c>
      <c r="N130" s="6">
        <f>IFERROR(__xludf.DUMMYFUNCTION("""COMPUTED_VALUE"""),0.0)</f>
        <v>0</v>
      </c>
      <c r="O130" s="6">
        <f>IFERROR(__xludf.DUMMYFUNCTION("""COMPUTED_VALUE"""),0.0)</f>
        <v>0</v>
      </c>
      <c r="P130" s="6">
        <f>IFERROR(__xludf.DUMMYFUNCTION("""COMPUTED_VALUE"""),0.0)</f>
        <v>0</v>
      </c>
      <c r="Q130" s="6">
        <f>IFERROR(__xludf.DUMMYFUNCTION("""COMPUTED_VALUE"""),0.0)</f>
        <v>0</v>
      </c>
      <c r="R130" s="6">
        <f>IFERROR(__xludf.DUMMYFUNCTION("""COMPUTED_VALUE"""),0.0)</f>
        <v>0</v>
      </c>
      <c r="S130" s="6">
        <f>IFERROR(__xludf.DUMMYFUNCTION("""COMPUTED_VALUE"""),0.0)</f>
        <v>0</v>
      </c>
      <c r="T130" s="6">
        <f>IFERROR(__xludf.DUMMYFUNCTION("""COMPUTED_VALUE"""),0.0)</f>
        <v>0</v>
      </c>
      <c r="U130" s="6">
        <f>IFERROR(__xludf.DUMMYFUNCTION("""COMPUTED_VALUE"""),0.0)</f>
        <v>0</v>
      </c>
      <c r="V130" s="4">
        <f t="shared" ref="V130:X130" si="129">SUM(D130, G130, J130, M130, P130, S130)</f>
        <v>1</v>
      </c>
      <c r="W130" s="4">
        <f t="shared" si="129"/>
        <v>0</v>
      </c>
      <c r="X130" s="4">
        <f t="shared" si="129"/>
        <v>0</v>
      </c>
    </row>
    <row r="131">
      <c r="A131" s="4" t="str">
        <f>IFERROR(__xludf.DUMMYFUNCTION("""COMPUTED_VALUE"""),"Школа 1236")</f>
        <v>Школа 1236</v>
      </c>
      <c r="B131" s="4" t="str">
        <f t="array" ref="B131">IFERROR(INDEX('Адреса школ'!F:F, MATCH(A131, 'Адреса школ'!E:E, 0)), "")</f>
        <v>55.817426, 37.582412</v>
      </c>
      <c r="C131" s="5" t="str">
        <f t="array" ref="C131">IFERROR(INDEX('Топ-400'!A:A, MATCH(A131, 'Топ-400'!E:E, 0)), "Вне рейтинга")</f>
        <v>345</v>
      </c>
      <c r="D131" s="6">
        <f>IFERROR(__xludf.DUMMYFUNCTION("""COMPUTED_VALUE"""),1.0)</f>
        <v>1</v>
      </c>
      <c r="E131" s="6">
        <f>IFERROR(__xludf.DUMMYFUNCTION("""COMPUTED_VALUE"""),0.0)</f>
        <v>0</v>
      </c>
      <c r="F131" s="6">
        <f>IFERROR(__xludf.DUMMYFUNCTION("""COMPUTED_VALUE"""),0.0)</f>
        <v>0</v>
      </c>
      <c r="G131" s="6">
        <f>IFERROR(__xludf.DUMMYFUNCTION("""COMPUTED_VALUE"""),0.0)</f>
        <v>0</v>
      </c>
      <c r="H131" s="6">
        <f>IFERROR(__xludf.DUMMYFUNCTION("""COMPUTED_VALUE"""),0.0)</f>
        <v>0</v>
      </c>
      <c r="I131" s="6">
        <f>IFERROR(__xludf.DUMMYFUNCTION("""COMPUTED_VALUE"""),0.0)</f>
        <v>0</v>
      </c>
      <c r="J131" s="6">
        <f>IFERROR(__xludf.DUMMYFUNCTION("""COMPUTED_VALUE"""),0.0)</f>
        <v>0</v>
      </c>
      <c r="K131" s="6">
        <f>IFERROR(__xludf.DUMMYFUNCTION("""COMPUTED_VALUE"""),0.0)</f>
        <v>0</v>
      </c>
      <c r="L131" s="6">
        <f>IFERROR(__xludf.DUMMYFUNCTION("""COMPUTED_VALUE"""),0.0)</f>
        <v>0</v>
      </c>
      <c r="M131" s="6">
        <f>IFERROR(__xludf.DUMMYFUNCTION("""COMPUTED_VALUE"""),0.0)</f>
        <v>0</v>
      </c>
      <c r="N131" s="6">
        <f>IFERROR(__xludf.DUMMYFUNCTION("""COMPUTED_VALUE"""),0.0)</f>
        <v>0</v>
      </c>
      <c r="O131" s="6">
        <f>IFERROR(__xludf.DUMMYFUNCTION("""COMPUTED_VALUE"""),0.0)</f>
        <v>0</v>
      </c>
      <c r="P131" s="6">
        <f>IFERROR(__xludf.DUMMYFUNCTION("""COMPUTED_VALUE"""),0.0)</f>
        <v>0</v>
      </c>
      <c r="Q131" s="6">
        <f>IFERROR(__xludf.DUMMYFUNCTION("""COMPUTED_VALUE"""),0.0)</f>
        <v>0</v>
      </c>
      <c r="R131" s="6">
        <f>IFERROR(__xludf.DUMMYFUNCTION("""COMPUTED_VALUE"""),0.0)</f>
        <v>0</v>
      </c>
      <c r="S131" s="6">
        <f>IFERROR(__xludf.DUMMYFUNCTION("""COMPUTED_VALUE"""),0.0)</f>
        <v>0</v>
      </c>
      <c r="T131" s="6">
        <f>IFERROR(__xludf.DUMMYFUNCTION("""COMPUTED_VALUE"""),0.0)</f>
        <v>0</v>
      </c>
      <c r="U131" s="6">
        <f>IFERROR(__xludf.DUMMYFUNCTION("""COMPUTED_VALUE"""),0.0)</f>
        <v>0</v>
      </c>
      <c r="V131" s="4">
        <f t="shared" ref="V131:X131" si="130">SUM(D131, G131, J131, M131, P131, S131)</f>
        <v>1</v>
      </c>
      <c r="W131" s="4">
        <f t="shared" si="130"/>
        <v>0</v>
      </c>
      <c r="X131" s="4">
        <f t="shared" si="130"/>
        <v>0</v>
      </c>
    </row>
    <row r="132">
      <c r="A132" s="4" t="str">
        <f>IFERROR(__xludf.DUMMYFUNCTION("""COMPUTED_VALUE"""),"Школа 1238")</f>
        <v>Школа 1238</v>
      </c>
      <c r="B132" s="4" t="str">
        <f t="array" ref="B132">IFERROR(INDEX('Адреса школ'!F:F, MATCH(A132, 'Адреса школ'!E:E, 0)), "")</f>
        <v>55.645207, 37.345625</v>
      </c>
      <c r="C132" s="5" t="str">
        <f t="array" ref="C132">IFERROR(INDEX('Топ-400'!A:A, MATCH(A132, 'Топ-400'!E:E, 0)), "Вне рейтинга")</f>
        <v>179</v>
      </c>
      <c r="D132" s="6">
        <f>IFERROR(__xludf.DUMMYFUNCTION("""COMPUTED_VALUE"""),0.0)</f>
        <v>0</v>
      </c>
      <c r="E132" s="6">
        <f>IFERROR(__xludf.DUMMYFUNCTION("""COMPUTED_VALUE"""),0.0)</f>
        <v>0</v>
      </c>
      <c r="F132" s="6">
        <f>IFERROR(__xludf.DUMMYFUNCTION("""COMPUTED_VALUE"""),1.0)</f>
        <v>1</v>
      </c>
      <c r="G132" s="6">
        <f>IFERROR(__xludf.DUMMYFUNCTION("""COMPUTED_VALUE"""),0.0)</f>
        <v>0</v>
      </c>
      <c r="H132" s="6">
        <f>IFERROR(__xludf.DUMMYFUNCTION("""COMPUTED_VALUE"""),0.0)</f>
        <v>0</v>
      </c>
      <c r="I132" s="6">
        <f>IFERROR(__xludf.DUMMYFUNCTION("""COMPUTED_VALUE"""),1.0)</f>
        <v>1</v>
      </c>
      <c r="J132" s="6">
        <f>IFERROR(__xludf.DUMMYFUNCTION("""COMPUTED_VALUE"""),1.0)</f>
        <v>1</v>
      </c>
      <c r="K132" s="6">
        <f>IFERROR(__xludf.DUMMYFUNCTION("""COMPUTED_VALUE"""),1.0)</f>
        <v>1</v>
      </c>
      <c r="L132" s="6">
        <f>IFERROR(__xludf.DUMMYFUNCTION("""COMPUTED_VALUE"""),1.0)</f>
        <v>1</v>
      </c>
      <c r="M132" s="6">
        <f>IFERROR(__xludf.DUMMYFUNCTION("""COMPUTED_VALUE"""),1.0)</f>
        <v>1</v>
      </c>
      <c r="N132" s="6">
        <f>IFERROR(__xludf.DUMMYFUNCTION("""COMPUTED_VALUE"""),1.0)</f>
        <v>1</v>
      </c>
      <c r="O132" s="6">
        <f>IFERROR(__xludf.DUMMYFUNCTION("""COMPUTED_VALUE"""),1.0)</f>
        <v>1</v>
      </c>
      <c r="P132" s="6">
        <f>IFERROR(__xludf.DUMMYFUNCTION("""COMPUTED_VALUE"""),1.0)</f>
        <v>1</v>
      </c>
      <c r="Q132" s="6">
        <f>IFERROR(__xludf.DUMMYFUNCTION("""COMPUTED_VALUE"""),1.0)</f>
        <v>1</v>
      </c>
      <c r="R132" s="6">
        <f>IFERROR(__xludf.DUMMYFUNCTION("""COMPUTED_VALUE"""),1.0)</f>
        <v>1</v>
      </c>
      <c r="S132" s="6">
        <f>IFERROR(__xludf.DUMMYFUNCTION("""COMPUTED_VALUE"""),1.0)</f>
        <v>1</v>
      </c>
      <c r="T132" s="6">
        <f>IFERROR(__xludf.DUMMYFUNCTION("""COMPUTED_VALUE"""),1.0)</f>
        <v>1</v>
      </c>
      <c r="U132" s="6">
        <f>IFERROR(__xludf.DUMMYFUNCTION("""COMPUTED_VALUE"""),1.0)</f>
        <v>1</v>
      </c>
      <c r="V132" s="4">
        <f t="shared" ref="V132:X132" si="131">SUM(D132, G132, J132, M132, P132, S132)</f>
        <v>4</v>
      </c>
      <c r="W132" s="4">
        <f t="shared" si="131"/>
        <v>4</v>
      </c>
      <c r="X132" s="4">
        <f t="shared" si="131"/>
        <v>6</v>
      </c>
    </row>
    <row r="133">
      <c r="A133" s="4" t="str">
        <f>IFERROR(__xludf.DUMMYFUNCTION("""COMPUTED_VALUE"""),"Школа 1239")</f>
        <v>Школа 1239</v>
      </c>
      <c r="B133" s="4" t="str">
        <f t="array" ref="B133">IFERROR(INDEX('Адреса школ'!F:F, MATCH(A133, 'Адреса школ'!E:E, 0)), "")</f>
        <v>55.760565, 37.588135</v>
      </c>
      <c r="C133" s="5" t="str">
        <f t="array" ref="C133">IFERROR(INDEX('Топ-400'!A:A, MATCH(A133, 'Топ-400'!E:E, 0)), "Вне рейтинга")</f>
        <v>367</v>
      </c>
      <c r="D133" s="6">
        <f>IFERROR(__xludf.DUMMYFUNCTION("""COMPUTED_VALUE"""),0.0)</f>
        <v>0</v>
      </c>
      <c r="E133" s="6">
        <f>IFERROR(__xludf.DUMMYFUNCTION("""COMPUTED_VALUE"""),0.0)</f>
        <v>0</v>
      </c>
      <c r="F133" s="6">
        <f>IFERROR(__xludf.DUMMYFUNCTION("""COMPUTED_VALUE"""),0.0)</f>
        <v>0</v>
      </c>
      <c r="G133" s="6">
        <f>IFERROR(__xludf.DUMMYFUNCTION("""COMPUTED_VALUE"""),0.0)</f>
        <v>0</v>
      </c>
      <c r="H133" s="6">
        <f>IFERROR(__xludf.DUMMYFUNCTION("""COMPUTED_VALUE"""),0.0)</f>
        <v>0</v>
      </c>
      <c r="I133" s="6">
        <f>IFERROR(__xludf.DUMMYFUNCTION("""COMPUTED_VALUE"""),0.0)</f>
        <v>0</v>
      </c>
      <c r="J133" s="6">
        <f>IFERROR(__xludf.DUMMYFUNCTION("""COMPUTED_VALUE"""),0.0)</f>
        <v>0</v>
      </c>
      <c r="K133" s="6">
        <f>IFERROR(__xludf.DUMMYFUNCTION("""COMPUTED_VALUE"""),0.0)</f>
        <v>0</v>
      </c>
      <c r="L133" s="6">
        <f>IFERROR(__xludf.DUMMYFUNCTION("""COMPUTED_VALUE"""),0.0)</f>
        <v>0</v>
      </c>
      <c r="M133" s="6">
        <f>IFERROR(__xludf.DUMMYFUNCTION("""COMPUTED_VALUE"""),0.0)</f>
        <v>0</v>
      </c>
      <c r="N133" s="6">
        <f>IFERROR(__xludf.DUMMYFUNCTION("""COMPUTED_VALUE"""),0.0)</f>
        <v>0</v>
      </c>
      <c r="O133" s="6">
        <f>IFERROR(__xludf.DUMMYFUNCTION("""COMPUTED_VALUE"""),0.0)</f>
        <v>0</v>
      </c>
      <c r="P133" s="6">
        <f>IFERROR(__xludf.DUMMYFUNCTION("""COMPUTED_VALUE"""),1.0)</f>
        <v>1</v>
      </c>
      <c r="Q133" s="6">
        <f>IFERROR(__xludf.DUMMYFUNCTION("""COMPUTED_VALUE"""),0.0)</f>
        <v>0</v>
      </c>
      <c r="R133" s="6">
        <f>IFERROR(__xludf.DUMMYFUNCTION("""COMPUTED_VALUE"""),0.0)</f>
        <v>0</v>
      </c>
      <c r="S133" s="6">
        <f>IFERROR(__xludf.DUMMYFUNCTION("""COMPUTED_VALUE"""),0.0)</f>
        <v>0</v>
      </c>
      <c r="T133" s="6">
        <f>IFERROR(__xludf.DUMMYFUNCTION("""COMPUTED_VALUE"""),0.0)</f>
        <v>0</v>
      </c>
      <c r="U133" s="6">
        <f>IFERROR(__xludf.DUMMYFUNCTION("""COMPUTED_VALUE"""),0.0)</f>
        <v>0</v>
      </c>
      <c r="V133" s="4">
        <f t="shared" ref="V133:X133" si="132">SUM(D133, G133, J133, M133, P133, S133)</f>
        <v>1</v>
      </c>
      <c r="W133" s="4">
        <f t="shared" si="132"/>
        <v>0</v>
      </c>
      <c r="X133" s="4">
        <f t="shared" si="132"/>
        <v>0</v>
      </c>
    </row>
    <row r="134">
      <c r="A134" s="4" t="str">
        <f>IFERROR(__xludf.DUMMYFUNCTION("""COMPUTED_VALUE"""),"Школа 1241")</f>
        <v>Школа 1241</v>
      </c>
      <c r="B134" s="4" t="str">
        <f t="array" ref="B134">IFERROR(INDEX('Адреса школ'!F:F, MATCH(A134, 'Адреса школ'!E:E, 0)), "")</f>
        <v>55.760074, 37.56379</v>
      </c>
      <c r="C134" s="5" t="str">
        <f t="array" ref="C134">IFERROR(INDEX('Топ-400'!A:A, MATCH(A134, 'Топ-400'!E:E, 0)), "Вне рейтинга")</f>
        <v>368</v>
      </c>
      <c r="D134" s="6">
        <f>IFERROR(__xludf.DUMMYFUNCTION("""COMPUTED_VALUE"""),0.0)</f>
        <v>0</v>
      </c>
      <c r="E134" s="6">
        <f>IFERROR(__xludf.DUMMYFUNCTION("""COMPUTED_VALUE"""),0.0)</f>
        <v>0</v>
      </c>
      <c r="F134" s="6">
        <f>IFERROR(__xludf.DUMMYFUNCTION("""COMPUTED_VALUE"""),0.0)</f>
        <v>0</v>
      </c>
      <c r="G134" s="6">
        <f>IFERROR(__xludf.DUMMYFUNCTION("""COMPUTED_VALUE"""),0.0)</f>
        <v>0</v>
      </c>
      <c r="H134" s="6">
        <f>IFERROR(__xludf.DUMMYFUNCTION("""COMPUTED_VALUE"""),0.0)</f>
        <v>0</v>
      </c>
      <c r="I134" s="6">
        <f>IFERROR(__xludf.DUMMYFUNCTION("""COMPUTED_VALUE"""),0.0)</f>
        <v>0</v>
      </c>
      <c r="J134" s="6">
        <f>IFERROR(__xludf.DUMMYFUNCTION("""COMPUTED_VALUE"""),0.0)</f>
        <v>0</v>
      </c>
      <c r="K134" s="6">
        <f>IFERROR(__xludf.DUMMYFUNCTION("""COMPUTED_VALUE"""),0.0)</f>
        <v>0</v>
      </c>
      <c r="L134" s="6">
        <f>IFERROR(__xludf.DUMMYFUNCTION("""COMPUTED_VALUE"""),0.0)</f>
        <v>0</v>
      </c>
      <c r="M134" s="6">
        <f>IFERROR(__xludf.DUMMYFUNCTION("""COMPUTED_VALUE"""),0.0)</f>
        <v>0</v>
      </c>
      <c r="N134" s="6">
        <f>IFERROR(__xludf.DUMMYFUNCTION("""COMPUTED_VALUE"""),0.0)</f>
        <v>0</v>
      </c>
      <c r="O134" s="6">
        <f>IFERROR(__xludf.DUMMYFUNCTION("""COMPUTED_VALUE"""),1.0)</f>
        <v>1</v>
      </c>
      <c r="P134" s="6">
        <f>IFERROR(__xludf.DUMMYFUNCTION("""COMPUTED_VALUE"""),1.0)</f>
        <v>1</v>
      </c>
      <c r="Q134" s="6">
        <f>IFERROR(__xludf.DUMMYFUNCTION("""COMPUTED_VALUE"""),0.0)</f>
        <v>0</v>
      </c>
      <c r="R134" s="6">
        <f>IFERROR(__xludf.DUMMYFUNCTION("""COMPUTED_VALUE"""),0.0)</f>
        <v>0</v>
      </c>
      <c r="S134" s="6">
        <f>IFERROR(__xludf.DUMMYFUNCTION("""COMPUTED_VALUE"""),0.0)</f>
        <v>0</v>
      </c>
      <c r="T134" s="6">
        <f>IFERROR(__xludf.DUMMYFUNCTION("""COMPUTED_VALUE"""),0.0)</f>
        <v>0</v>
      </c>
      <c r="U134" s="6">
        <f>IFERROR(__xludf.DUMMYFUNCTION("""COMPUTED_VALUE"""),0.0)</f>
        <v>0</v>
      </c>
      <c r="V134" s="4">
        <f t="shared" ref="V134:X134" si="133">SUM(D134, G134, J134, M134, P134, S134)</f>
        <v>1</v>
      </c>
      <c r="W134" s="4">
        <f t="shared" si="133"/>
        <v>0</v>
      </c>
      <c r="X134" s="4">
        <f t="shared" si="133"/>
        <v>1</v>
      </c>
    </row>
    <row r="135">
      <c r="A135" s="4" t="str">
        <f>IFERROR(__xludf.DUMMYFUNCTION("""COMPUTED_VALUE"""),"Школа 1245")</f>
        <v>Школа 1245</v>
      </c>
      <c r="B135" s="4" t="str">
        <f t="array" ref="B135">IFERROR(INDEX('Адреса школ'!F:F, MATCH(A135, 'Адреса школ'!E:E, 0)), "")</f>
        <v>55.599591, 37.593938</v>
      </c>
      <c r="C135" s="5" t="str">
        <f t="array" ref="C135">IFERROR(INDEX('Топ-400'!A:A, MATCH(A135, 'Топ-400'!E:E, 0)), "Вне рейтинга")</f>
        <v>299</v>
      </c>
      <c r="D135" s="6">
        <f>IFERROR(__xludf.DUMMYFUNCTION("""COMPUTED_VALUE"""),1.0)</f>
        <v>1</v>
      </c>
      <c r="E135" s="6">
        <f>IFERROR(__xludf.DUMMYFUNCTION("""COMPUTED_VALUE"""),1.0)</f>
        <v>1</v>
      </c>
      <c r="F135" s="6">
        <f>IFERROR(__xludf.DUMMYFUNCTION("""COMPUTED_VALUE"""),1.0)</f>
        <v>1</v>
      </c>
      <c r="G135" s="6">
        <f>IFERROR(__xludf.DUMMYFUNCTION("""COMPUTED_VALUE"""),0.0)</f>
        <v>0</v>
      </c>
      <c r="H135" s="6">
        <f>IFERROR(__xludf.DUMMYFUNCTION("""COMPUTED_VALUE"""),0.0)</f>
        <v>0</v>
      </c>
      <c r="I135" s="6">
        <f>IFERROR(__xludf.DUMMYFUNCTION("""COMPUTED_VALUE"""),0.0)</f>
        <v>0</v>
      </c>
      <c r="J135" s="6">
        <f>IFERROR(__xludf.DUMMYFUNCTION("""COMPUTED_VALUE"""),0.0)</f>
        <v>0</v>
      </c>
      <c r="K135" s="6">
        <f>IFERROR(__xludf.DUMMYFUNCTION("""COMPUTED_VALUE"""),0.0)</f>
        <v>0</v>
      </c>
      <c r="L135" s="6">
        <f>IFERROR(__xludf.DUMMYFUNCTION("""COMPUTED_VALUE"""),0.0)</f>
        <v>0</v>
      </c>
      <c r="M135" s="6">
        <f>IFERROR(__xludf.DUMMYFUNCTION("""COMPUTED_VALUE"""),1.0)</f>
        <v>1</v>
      </c>
      <c r="N135" s="6">
        <f>IFERROR(__xludf.DUMMYFUNCTION("""COMPUTED_VALUE"""),1.0)</f>
        <v>1</v>
      </c>
      <c r="O135" s="6">
        <f>IFERROR(__xludf.DUMMYFUNCTION("""COMPUTED_VALUE"""),1.0)</f>
        <v>1</v>
      </c>
      <c r="P135" s="6">
        <f>IFERROR(__xludf.DUMMYFUNCTION("""COMPUTED_VALUE"""),1.0)</f>
        <v>1</v>
      </c>
      <c r="Q135" s="6">
        <f>IFERROR(__xludf.DUMMYFUNCTION("""COMPUTED_VALUE"""),0.0)</f>
        <v>0</v>
      </c>
      <c r="R135" s="6">
        <f>IFERROR(__xludf.DUMMYFUNCTION("""COMPUTED_VALUE"""),0.0)</f>
        <v>0</v>
      </c>
      <c r="S135" s="6">
        <f>IFERROR(__xludf.DUMMYFUNCTION("""COMPUTED_VALUE"""),0.0)</f>
        <v>0</v>
      </c>
      <c r="T135" s="6">
        <f>IFERROR(__xludf.DUMMYFUNCTION("""COMPUTED_VALUE"""),0.0)</f>
        <v>0</v>
      </c>
      <c r="U135" s="6">
        <f>IFERROR(__xludf.DUMMYFUNCTION("""COMPUTED_VALUE"""),0.0)</f>
        <v>0</v>
      </c>
      <c r="V135" s="4">
        <f t="shared" ref="V135:X135" si="134">SUM(D135, G135, J135, M135, P135, S135)</f>
        <v>3</v>
      </c>
      <c r="W135" s="4">
        <f t="shared" si="134"/>
        <v>2</v>
      </c>
      <c r="X135" s="4">
        <f t="shared" si="134"/>
        <v>2</v>
      </c>
    </row>
    <row r="136">
      <c r="A136" s="4" t="str">
        <f>IFERROR(__xludf.DUMMYFUNCTION("""COMPUTED_VALUE"""),"Школа 1248")</f>
        <v>Школа 1248</v>
      </c>
      <c r="B136" s="4" t="str">
        <f t="array" ref="B136">IFERROR(INDEX('Адреса школ'!F:F, MATCH(A136, 'Адреса школ'!E:E, 0)), "")</f>
        <v>55.725559, 37.473698</v>
      </c>
      <c r="C136" s="5" t="str">
        <f t="array" ref="C136">IFERROR(INDEX('Топ-400'!A:A, MATCH(A136, 'Топ-400'!E:E, 0)), "Вне рейтинга")</f>
        <v>320</v>
      </c>
      <c r="D136" s="6">
        <f>IFERROR(__xludf.DUMMYFUNCTION("""COMPUTED_VALUE"""),0.0)</f>
        <v>0</v>
      </c>
      <c r="E136" s="6">
        <f>IFERROR(__xludf.DUMMYFUNCTION("""COMPUTED_VALUE"""),0.0)</f>
        <v>0</v>
      </c>
      <c r="F136" s="6">
        <f>IFERROR(__xludf.DUMMYFUNCTION("""COMPUTED_VALUE"""),0.0)</f>
        <v>0</v>
      </c>
      <c r="G136" s="6">
        <f>IFERROR(__xludf.DUMMYFUNCTION("""COMPUTED_VALUE"""),0.0)</f>
        <v>0</v>
      </c>
      <c r="H136" s="6">
        <f>IFERROR(__xludf.DUMMYFUNCTION("""COMPUTED_VALUE"""),0.0)</f>
        <v>0</v>
      </c>
      <c r="I136" s="6">
        <f>IFERROR(__xludf.DUMMYFUNCTION("""COMPUTED_VALUE"""),0.0)</f>
        <v>0</v>
      </c>
      <c r="J136" s="6">
        <f>IFERROR(__xludf.DUMMYFUNCTION("""COMPUTED_VALUE"""),0.0)</f>
        <v>0</v>
      </c>
      <c r="K136" s="6">
        <f>IFERROR(__xludf.DUMMYFUNCTION("""COMPUTED_VALUE"""),0.0)</f>
        <v>0</v>
      </c>
      <c r="L136" s="6">
        <f>IFERROR(__xludf.DUMMYFUNCTION("""COMPUTED_VALUE"""),0.0)</f>
        <v>0</v>
      </c>
      <c r="M136" s="6">
        <f>IFERROR(__xludf.DUMMYFUNCTION("""COMPUTED_VALUE"""),0.0)</f>
        <v>0</v>
      </c>
      <c r="N136" s="6">
        <f>IFERROR(__xludf.DUMMYFUNCTION("""COMPUTED_VALUE"""),0.0)</f>
        <v>0</v>
      </c>
      <c r="O136" s="6">
        <f>IFERROR(__xludf.DUMMYFUNCTION("""COMPUTED_VALUE"""),0.0)</f>
        <v>0</v>
      </c>
      <c r="P136" s="6">
        <f>IFERROR(__xludf.DUMMYFUNCTION("""COMPUTED_VALUE"""),1.0)</f>
        <v>1</v>
      </c>
      <c r="Q136" s="6">
        <f>IFERROR(__xludf.DUMMYFUNCTION("""COMPUTED_VALUE"""),0.0)</f>
        <v>0</v>
      </c>
      <c r="R136" s="6">
        <f>IFERROR(__xludf.DUMMYFUNCTION("""COMPUTED_VALUE"""),0.0)</f>
        <v>0</v>
      </c>
      <c r="S136" s="6">
        <f>IFERROR(__xludf.DUMMYFUNCTION("""COMPUTED_VALUE"""),0.0)</f>
        <v>0</v>
      </c>
      <c r="T136" s="6">
        <f>IFERROR(__xludf.DUMMYFUNCTION("""COMPUTED_VALUE"""),0.0)</f>
        <v>0</v>
      </c>
      <c r="U136" s="6">
        <f>IFERROR(__xludf.DUMMYFUNCTION("""COMPUTED_VALUE"""),0.0)</f>
        <v>0</v>
      </c>
      <c r="V136" s="4">
        <f t="shared" ref="V136:X136" si="135">SUM(D136, G136, J136, M136, P136, S136)</f>
        <v>1</v>
      </c>
      <c r="W136" s="4">
        <f t="shared" si="135"/>
        <v>0</v>
      </c>
      <c r="X136" s="4">
        <f t="shared" si="135"/>
        <v>0</v>
      </c>
    </row>
    <row r="137">
      <c r="A137" s="4" t="str">
        <f>IFERROR(__xludf.DUMMYFUNCTION("""COMPUTED_VALUE"""),"Школа 1249")</f>
        <v>Школа 1249</v>
      </c>
      <c r="B137" s="4" t="str">
        <f t="array" ref="B137">IFERROR(INDEX('Адреса школ'!F:F, MATCH(A137, 'Адреса школ'!E:E, 0)), "")</f>
        <v>55.801425, 37.519261</v>
      </c>
      <c r="C137" s="5" t="str">
        <f t="array" ref="C137">IFERROR(INDEX('Топ-400'!A:A, MATCH(A137, 'Топ-400'!E:E, 0)), "Вне рейтинга")</f>
        <v>338</v>
      </c>
      <c r="D137" s="6">
        <f>IFERROR(__xludf.DUMMYFUNCTION("""COMPUTED_VALUE"""),0.0)</f>
        <v>0</v>
      </c>
      <c r="E137" s="6">
        <f>IFERROR(__xludf.DUMMYFUNCTION("""COMPUTED_VALUE"""),0.0)</f>
        <v>0</v>
      </c>
      <c r="F137" s="6">
        <f>IFERROR(__xludf.DUMMYFUNCTION("""COMPUTED_VALUE"""),0.0)</f>
        <v>0</v>
      </c>
      <c r="G137" s="6">
        <f>IFERROR(__xludf.DUMMYFUNCTION("""COMPUTED_VALUE"""),0.0)</f>
        <v>0</v>
      </c>
      <c r="H137" s="6">
        <f>IFERROR(__xludf.DUMMYFUNCTION("""COMPUTED_VALUE"""),0.0)</f>
        <v>0</v>
      </c>
      <c r="I137" s="6">
        <f>IFERROR(__xludf.DUMMYFUNCTION("""COMPUTED_VALUE"""),0.0)</f>
        <v>0</v>
      </c>
      <c r="J137" s="6">
        <f>IFERROR(__xludf.DUMMYFUNCTION("""COMPUTED_VALUE"""),0.0)</f>
        <v>0</v>
      </c>
      <c r="K137" s="6">
        <f>IFERROR(__xludf.DUMMYFUNCTION("""COMPUTED_VALUE"""),0.0)</f>
        <v>0</v>
      </c>
      <c r="L137" s="6">
        <f>IFERROR(__xludf.DUMMYFUNCTION("""COMPUTED_VALUE"""),0.0)</f>
        <v>0</v>
      </c>
      <c r="M137" s="6">
        <f>IFERROR(__xludf.DUMMYFUNCTION("""COMPUTED_VALUE"""),1.0)</f>
        <v>1</v>
      </c>
      <c r="N137" s="6">
        <f>IFERROR(__xludf.DUMMYFUNCTION("""COMPUTED_VALUE"""),0.0)</f>
        <v>0</v>
      </c>
      <c r="O137" s="6">
        <f>IFERROR(__xludf.DUMMYFUNCTION("""COMPUTED_VALUE"""),0.0)</f>
        <v>0</v>
      </c>
      <c r="P137" s="6">
        <f>IFERROR(__xludf.DUMMYFUNCTION("""COMPUTED_VALUE"""),0.0)</f>
        <v>0</v>
      </c>
      <c r="Q137" s="6">
        <f>IFERROR(__xludf.DUMMYFUNCTION("""COMPUTED_VALUE"""),0.0)</f>
        <v>0</v>
      </c>
      <c r="R137" s="6">
        <f>IFERROR(__xludf.DUMMYFUNCTION("""COMPUTED_VALUE"""),0.0)</f>
        <v>0</v>
      </c>
      <c r="S137" s="6">
        <f>IFERROR(__xludf.DUMMYFUNCTION("""COMPUTED_VALUE"""),0.0)</f>
        <v>0</v>
      </c>
      <c r="T137" s="6">
        <f>IFERROR(__xludf.DUMMYFUNCTION("""COMPUTED_VALUE"""),0.0)</f>
        <v>0</v>
      </c>
      <c r="U137" s="6">
        <f>IFERROR(__xludf.DUMMYFUNCTION("""COMPUTED_VALUE"""),0.0)</f>
        <v>0</v>
      </c>
      <c r="V137" s="4">
        <f t="shared" ref="V137:X137" si="136">SUM(D137, G137, J137, M137, P137, S137)</f>
        <v>1</v>
      </c>
      <c r="W137" s="4">
        <f t="shared" si="136"/>
        <v>0</v>
      </c>
      <c r="X137" s="4">
        <f t="shared" si="136"/>
        <v>0</v>
      </c>
    </row>
    <row r="138">
      <c r="A138" s="4" t="str">
        <f>IFERROR(__xludf.DUMMYFUNCTION("""COMPUTED_VALUE"""),"Школа 1250")</f>
        <v>Школа 1250</v>
      </c>
      <c r="B138" s="4" t="str">
        <f t="array" ref="B138">IFERROR(INDEX('Адреса школ'!F:F, MATCH(A138, 'Адреса школ'!E:E, 0)), "")</f>
        <v>55.829704, 37.485197</v>
      </c>
      <c r="C138" s="5" t="str">
        <f t="array" ref="C138">IFERROR(INDEX('Топ-400'!A:A, MATCH(A138, 'Топ-400'!E:E, 0)), "Вне рейтинга")</f>
        <v>330</v>
      </c>
      <c r="D138" s="6">
        <f>IFERROR(__xludf.DUMMYFUNCTION("""COMPUTED_VALUE"""),0.0)</f>
        <v>0</v>
      </c>
      <c r="E138" s="6">
        <f>IFERROR(__xludf.DUMMYFUNCTION("""COMPUTED_VALUE"""),0.0)</f>
        <v>0</v>
      </c>
      <c r="F138" s="6">
        <f>IFERROR(__xludf.DUMMYFUNCTION("""COMPUTED_VALUE"""),0.0)</f>
        <v>0</v>
      </c>
      <c r="G138" s="6">
        <f>IFERROR(__xludf.DUMMYFUNCTION("""COMPUTED_VALUE"""),0.0)</f>
        <v>0</v>
      </c>
      <c r="H138" s="6">
        <f>IFERROR(__xludf.DUMMYFUNCTION("""COMPUTED_VALUE"""),0.0)</f>
        <v>0</v>
      </c>
      <c r="I138" s="6">
        <f>IFERROR(__xludf.DUMMYFUNCTION("""COMPUTED_VALUE"""),0.0)</f>
        <v>0</v>
      </c>
      <c r="J138" s="6">
        <f>IFERROR(__xludf.DUMMYFUNCTION("""COMPUTED_VALUE"""),0.0)</f>
        <v>0</v>
      </c>
      <c r="K138" s="6">
        <f>IFERROR(__xludf.DUMMYFUNCTION("""COMPUTED_VALUE"""),0.0)</f>
        <v>0</v>
      </c>
      <c r="L138" s="6">
        <f>IFERROR(__xludf.DUMMYFUNCTION("""COMPUTED_VALUE"""),0.0)</f>
        <v>0</v>
      </c>
      <c r="M138" s="6">
        <f>IFERROR(__xludf.DUMMYFUNCTION("""COMPUTED_VALUE"""),1.0)</f>
        <v>1</v>
      </c>
      <c r="N138" s="6">
        <f>IFERROR(__xludf.DUMMYFUNCTION("""COMPUTED_VALUE"""),1.0)</f>
        <v>1</v>
      </c>
      <c r="O138" s="6">
        <f>IFERROR(__xludf.DUMMYFUNCTION("""COMPUTED_VALUE"""),1.0)</f>
        <v>1</v>
      </c>
      <c r="P138" s="6">
        <f>IFERROR(__xludf.DUMMYFUNCTION("""COMPUTED_VALUE"""),1.0)</f>
        <v>1</v>
      </c>
      <c r="Q138" s="6">
        <f>IFERROR(__xludf.DUMMYFUNCTION("""COMPUTED_VALUE"""),0.0)</f>
        <v>0</v>
      </c>
      <c r="R138" s="6">
        <f>IFERROR(__xludf.DUMMYFUNCTION("""COMPUTED_VALUE"""),0.0)</f>
        <v>0</v>
      </c>
      <c r="S138" s="6">
        <f>IFERROR(__xludf.DUMMYFUNCTION("""COMPUTED_VALUE"""),0.0)</f>
        <v>0</v>
      </c>
      <c r="T138" s="6">
        <f>IFERROR(__xludf.DUMMYFUNCTION("""COMPUTED_VALUE"""),0.0)</f>
        <v>0</v>
      </c>
      <c r="U138" s="6">
        <f>IFERROR(__xludf.DUMMYFUNCTION("""COMPUTED_VALUE"""),0.0)</f>
        <v>0</v>
      </c>
      <c r="V138" s="4">
        <f t="shared" ref="V138:X138" si="137">SUM(D138, G138, J138, M138, P138, S138)</f>
        <v>2</v>
      </c>
      <c r="W138" s="4">
        <f t="shared" si="137"/>
        <v>1</v>
      </c>
      <c r="X138" s="4">
        <f t="shared" si="137"/>
        <v>1</v>
      </c>
    </row>
    <row r="139">
      <c r="A139" s="4" t="str">
        <f>IFERROR(__xludf.DUMMYFUNCTION("""COMPUTED_VALUE"""),"Школа 1251")</f>
        <v>Школа 1251</v>
      </c>
      <c r="B139" s="4" t="str">
        <f t="array" ref="B139">IFERROR(INDEX('Адреса школ'!F:F, MATCH(A139, 'Адреса школ'!E:E, 0)), "")</f>
        <v>55.794148, 37.506792</v>
      </c>
      <c r="C139" s="5" t="str">
        <f t="array" ref="C139">IFERROR(INDEX('Топ-400'!A:A, MATCH(A139, 'Топ-400'!E:E, 0)), "Вне рейтинга")</f>
        <v>190</v>
      </c>
      <c r="D139" s="6">
        <f>IFERROR(__xludf.DUMMYFUNCTION("""COMPUTED_VALUE"""),0.0)</f>
        <v>0</v>
      </c>
      <c r="E139" s="6">
        <f>IFERROR(__xludf.DUMMYFUNCTION("""COMPUTED_VALUE"""),0.0)</f>
        <v>0</v>
      </c>
      <c r="F139" s="6">
        <f>IFERROR(__xludf.DUMMYFUNCTION("""COMPUTED_VALUE"""),0.0)</f>
        <v>0</v>
      </c>
      <c r="G139" s="6">
        <f>IFERROR(__xludf.DUMMYFUNCTION("""COMPUTED_VALUE"""),0.0)</f>
        <v>0</v>
      </c>
      <c r="H139" s="6">
        <f>IFERROR(__xludf.DUMMYFUNCTION("""COMPUTED_VALUE"""),0.0)</f>
        <v>0</v>
      </c>
      <c r="I139" s="6">
        <f>IFERROR(__xludf.DUMMYFUNCTION("""COMPUTED_VALUE"""),0.0)</f>
        <v>0</v>
      </c>
      <c r="J139" s="6">
        <f>IFERROR(__xludf.DUMMYFUNCTION("""COMPUTED_VALUE"""),0.0)</f>
        <v>0</v>
      </c>
      <c r="K139" s="6">
        <f>IFERROR(__xludf.DUMMYFUNCTION("""COMPUTED_VALUE"""),0.0)</f>
        <v>0</v>
      </c>
      <c r="L139" s="6">
        <f>IFERROR(__xludf.DUMMYFUNCTION("""COMPUTED_VALUE"""),0.0)</f>
        <v>0</v>
      </c>
      <c r="M139" s="6">
        <f>IFERROR(__xludf.DUMMYFUNCTION("""COMPUTED_VALUE"""),1.0)</f>
        <v>1</v>
      </c>
      <c r="N139" s="6">
        <f>IFERROR(__xludf.DUMMYFUNCTION("""COMPUTED_VALUE"""),1.0)</f>
        <v>1</v>
      </c>
      <c r="O139" s="6">
        <f>IFERROR(__xludf.DUMMYFUNCTION("""COMPUTED_VALUE"""),1.0)</f>
        <v>1</v>
      </c>
      <c r="P139" s="6">
        <f>IFERROR(__xludf.DUMMYFUNCTION("""COMPUTED_VALUE"""),0.0)</f>
        <v>0</v>
      </c>
      <c r="Q139" s="6">
        <f>IFERROR(__xludf.DUMMYFUNCTION("""COMPUTED_VALUE"""),1.0)</f>
        <v>1</v>
      </c>
      <c r="R139" s="6">
        <f>IFERROR(__xludf.DUMMYFUNCTION("""COMPUTED_VALUE"""),1.0)</f>
        <v>1</v>
      </c>
      <c r="S139" s="6">
        <f>IFERROR(__xludf.DUMMYFUNCTION("""COMPUTED_VALUE"""),0.0)</f>
        <v>0</v>
      </c>
      <c r="T139" s="6">
        <f>IFERROR(__xludf.DUMMYFUNCTION("""COMPUTED_VALUE"""),0.0)</f>
        <v>0</v>
      </c>
      <c r="U139" s="6">
        <f>IFERROR(__xludf.DUMMYFUNCTION("""COMPUTED_VALUE"""),0.0)</f>
        <v>0</v>
      </c>
      <c r="V139" s="4">
        <f t="shared" ref="V139:X139" si="138">SUM(D139, G139, J139, M139, P139, S139)</f>
        <v>1</v>
      </c>
      <c r="W139" s="4">
        <f t="shared" si="138"/>
        <v>2</v>
      </c>
      <c r="X139" s="4">
        <f t="shared" si="138"/>
        <v>2</v>
      </c>
    </row>
    <row r="140">
      <c r="A140" s="4" t="str">
        <f>IFERROR(__xludf.DUMMYFUNCTION("""COMPUTED_VALUE"""),"Школа 1252")</f>
        <v>Школа 1252</v>
      </c>
      <c r="B140" s="4" t="str">
        <f t="array" ref="B140">IFERROR(INDEX('Адреса школ'!F:F, MATCH(A140, 'Адреса школ'!E:E, 0)), "")</f>
        <v>55.80999, 37.49647</v>
      </c>
      <c r="C140" s="5" t="str">
        <f t="array" ref="C140">IFERROR(INDEX('Топ-400'!A:A, MATCH(A140, 'Топ-400'!E:E, 0)), "Вне рейтинга")</f>
        <v>39</v>
      </c>
      <c r="D140" s="6">
        <f>IFERROR(__xludf.DUMMYFUNCTION("""COMPUTED_VALUE"""),0.0)</f>
        <v>0</v>
      </c>
      <c r="E140" s="6">
        <f>IFERROR(__xludf.DUMMYFUNCTION("""COMPUTED_VALUE"""),0.0)</f>
        <v>0</v>
      </c>
      <c r="F140" s="6">
        <f>IFERROR(__xludf.DUMMYFUNCTION("""COMPUTED_VALUE"""),0.0)</f>
        <v>0</v>
      </c>
      <c r="G140" s="6">
        <f>IFERROR(__xludf.DUMMYFUNCTION("""COMPUTED_VALUE"""),0.0)</f>
        <v>0</v>
      </c>
      <c r="H140" s="6">
        <f>IFERROR(__xludf.DUMMYFUNCTION("""COMPUTED_VALUE"""),0.0)</f>
        <v>0</v>
      </c>
      <c r="I140" s="6">
        <f>IFERROR(__xludf.DUMMYFUNCTION("""COMPUTED_VALUE"""),0.0)</f>
        <v>0</v>
      </c>
      <c r="J140" s="6">
        <f>IFERROR(__xludf.DUMMYFUNCTION("""COMPUTED_VALUE"""),1.0)</f>
        <v>1</v>
      </c>
      <c r="K140" s="6">
        <f>IFERROR(__xludf.DUMMYFUNCTION("""COMPUTED_VALUE"""),0.0)</f>
        <v>0</v>
      </c>
      <c r="L140" s="6">
        <f>IFERROR(__xludf.DUMMYFUNCTION("""COMPUTED_VALUE"""),1.0)</f>
        <v>1</v>
      </c>
      <c r="M140" s="6">
        <f>IFERROR(__xludf.DUMMYFUNCTION("""COMPUTED_VALUE"""),1.0)</f>
        <v>1</v>
      </c>
      <c r="N140" s="6">
        <f>IFERROR(__xludf.DUMMYFUNCTION("""COMPUTED_VALUE"""),1.0)</f>
        <v>1</v>
      </c>
      <c r="O140" s="6">
        <f>IFERROR(__xludf.DUMMYFUNCTION("""COMPUTED_VALUE"""),1.0)</f>
        <v>1</v>
      </c>
      <c r="P140" s="6">
        <f>IFERROR(__xludf.DUMMYFUNCTION("""COMPUTED_VALUE"""),1.0)</f>
        <v>1</v>
      </c>
      <c r="Q140" s="6">
        <f>IFERROR(__xludf.DUMMYFUNCTION("""COMPUTED_VALUE"""),1.0)</f>
        <v>1</v>
      </c>
      <c r="R140" s="6">
        <f>IFERROR(__xludf.DUMMYFUNCTION("""COMPUTED_VALUE"""),1.0)</f>
        <v>1</v>
      </c>
      <c r="S140" s="6">
        <f>IFERROR(__xludf.DUMMYFUNCTION("""COMPUTED_VALUE"""),0.0)</f>
        <v>0</v>
      </c>
      <c r="T140" s="6">
        <f>IFERROR(__xludf.DUMMYFUNCTION("""COMPUTED_VALUE"""),0.0)</f>
        <v>0</v>
      </c>
      <c r="U140" s="6">
        <f>IFERROR(__xludf.DUMMYFUNCTION("""COMPUTED_VALUE"""),0.0)</f>
        <v>0</v>
      </c>
      <c r="V140" s="4">
        <f t="shared" ref="V140:X140" si="139">SUM(D140, G140, J140, M140, P140, S140)</f>
        <v>3</v>
      </c>
      <c r="W140" s="4">
        <f t="shared" si="139"/>
        <v>2</v>
      </c>
      <c r="X140" s="4">
        <f t="shared" si="139"/>
        <v>3</v>
      </c>
    </row>
    <row r="141">
      <c r="A141" s="4" t="str">
        <f>IFERROR(__xludf.DUMMYFUNCTION("""COMPUTED_VALUE"""),"Школа 1253")</f>
        <v>Школа 1253</v>
      </c>
      <c r="B141" s="4" t="str">
        <f t="array" ref="B141">IFERROR(INDEX('Адреса школ'!F:F, MATCH(A141, 'Адреса школ'!E:E, 0)), "")</f>
        <v>55.734826, 37.592437</v>
      </c>
      <c r="C141" s="5" t="str">
        <f t="array" ref="C141">IFERROR(INDEX('Топ-400'!A:A, MATCH(A141, 'Топ-400'!E:E, 0)), "Вне рейтинга")</f>
        <v>133</v>
      </c>
      <c r="D141" s="6">
        <f>IFERROR(__xludf.DUMMYFUNCTION("""COMPUTED_VALUE"""),0.0)</f>
        <v>0</v>
      </c>
      <c r="E141" s="6">
        <f>IFERROR(__xludf.DUMMYFUNCTION("""COMPUTED_VALUE"""),0.0)</f>
        <v>0</v>
      </c>
      <c r="F141" s="6">
        <f>IFERROR(__xludf.DUMMYFUNCTION("""COMPUTED_VALUE"""),0.0)</f>
        <v>0</v>
      </c>
      <c r="G141" s="6">
        <f>IFERROR(__xludf.DUMMYFUNCTION("""COMPUTED_VALUE"""),1.0)</f>
        <v>1</v>
      </c>
      <c r="H141" s="6">
        <f>IFERROR(__xludf.DUMMYFUNCTION("""COMPUTED_VALUE"""),1.0)</f>
        <v>1</v>
      </c>
      <c r="I141" s="6">
        <f>IFERROR(__xludf.DUMMYFUNCTION("""COMPUTED_VALUE"""),1.0)</f>
        <v>1</v>
      </c>
      <c r="J141" s="6">
        <f>IFERROR(__xludf.DUMMYFUNCTION("""COMPUTED_VALUE"""),0.0)</f>
        <v>0</v>
      </c>
      <c r="K141" s="6">
        <f>IFERROR(__xludf.DUMMYFUNCTION("""COMPUTED_VALUE"""),0.0)</f>
        <v>0</v>
      </c>
      <c r="L141" s="6">
        <f>IFERROR(__xludf.DUMMYFUNCTION("""COMPUTED_VALUE"""),0.0)</f>
        <v>0</v>
      </c>
      <c r="M141" s="6">
        <f>IFERROR(__xludf.DUMMYFUNCTION("""COMPUTED_VALUE"""),0.0)</f>
        <v>0</v>
      </c>
      <c r="N141" s="6">
        <f>IFERROR(__xludf.DUMMYFUNCTION("""COMPUTED_VALUE"""),0.0)</f>
        <v>0</v>
      </c>
      <c r="O141" s="6">
        <f>IFERROR(__xludf.DUMMYFUNCTION("""COMPUTED_VALUE"""),0.0)</f>
        <v>0</v>
      </c>
      <c r="P141" s="6">
        <f>IFERROR(__xludf.DUMMYFUNCTION("""COMPUTED_VALUE"""),1.0)</f>
        <v>1</v>
      </c>
      <c r="Q141" s="6">
        <f>IFERROR(__xludf.DUMMYFUNCTION("""COMPUTED_VALUE"""),1.0)</f>
        <v>1</v>
      </c>
      <c r="R141" s="6">
        <f>IFERROR(__xludf.DUMMYFUNCTION("""COMPUTED_VALUE"""),1.0)</f>
        <v>1</v>
      </c>
      <c r="S141" s="6">
        <f>IFERROR(__xludf.DUMMYFUNCTION("""COMPUTED_VALUE"""),0.0)</f>
        <v>0</v>
      </c>
      <c r="T141" s="6">
        <f>IFERROR(__xludf.DUMMYFUNCTION("""COMPUTED_VALUE"""),0.0)</f>
        <v>0</v>
      </c>
      <c r="U141" s="6">
        <f>IFERROR(__xludf.DUMMYFUNCTION("""COMPUTED_VALUE"""),0.0)</f>
        <v>0</v>
      </c>
      <c r="V141" s="4">
        <f t="shared" ref="V141:X141" si="140">SUM(D141, G141, J141, M141, P141, S141)</f>
        <v>2</v>
      </c>
      <c r="W141" s="4">
        <f t="shared" si="140"/>
        <v>2</v>
      </c>
      <c r="X141" s="4">
        <f t="shared" si="140"/>
        <v>2</v>
      </c>
    </row>
    <row r="142">
      <c r="A142" s="4" t="str">
        <f>IFERROR(__xludf.DUMMYFUNCTION("""COMPUTED_VALUE"""),"Школа 1257")</f>
        <v>Школа 1257</v>
      </c>
      <c r="B142" s="4" t="str">
        <f t="array" ref="B142">IFERROR(INDEX('Адреса школ'!F:F, MATCH(A142, 'Адреса школ'!E:E, 0)), "")</f>
        <v>55.714353, 37.625711</v>
      </c>
      <c r="C142" s="5" t="str">
        <f t="array" ref="C142">IFERROR(INDEX('Топ-400'!A:A, MATCH(A142, 'Топ-400'!E:E, 0)), "Вне рейтинга")</f>
        <v>Вне рейтинга</v>
      </c>
      <c r="D142" s="6">
        <f>IFERROR(__xludf.DUMMYFUNCTION("""COMPUTED_VALUE"""),0.0)</f>
        <v>0</v>
      </c>
      <c r="E142" s="6">
        <f>IFERROR(__xludf.DUMMYFUNCTION("""COMPUTED_VALUE"""),0.0)</f>
        <v>0</v>
      </c>
      <c r="F142" s="6">
        <f>IFERROR(__xludf.DUMMYFUNCTION("""COMPUTED_VALUE"""),0.0)</f>
        <v>0</v>
      </c>
      <c r="G142" s="6">
        <f>IFERROR(__xludf.DUMMYFUNCTION("""COMPUTED_VALUE"""),1.0)</f>
        <v>1</v>
      </c>
      <c r="H142" s="6">
        <f>IFERROR(__xludf.DUMMYFUNCTION("""COMPUTED_VALUE"""),0.0)</f>
        <v>0</v>
      </c>
      <c r="I142" s="6">
        <f>IFERROR(__xludf.DUMMYFUNCTION("""COMPUTED_VALUE"""),0.0)</f>
        <v>0</v>
      </c>
      <c r="J142" s="6">
        <f>IFERROR(__xludf.DUMMYFUNCTION("""COMPUTED_VALUE"""),0.0)</f>
        <v>0</v>
      </c>
      <c r="K142" s="6">
        <f>IFERROR(__xludf.DUMMYFUNCTION("""COMPUTED_VALUE"""),0.0)</f>
        <v>0</v>
      </c>
      <c r="L142" s="6">
        <f>IFERROR(__xludf.DUMMYFUNCTION("""COMPUTED_VALUE"""),0.0)</f>
        <v>0</v>
      </c>
      <c r="M142" s="6">
        <f>IFERROR(__xludf.DUMMYFUNCTION("""COMPUTED_VALUE"""),0.0)</f>
        <v>0</v>
      </c>
      <c r="N142" s="6">
        <f>IFERROR(__xludf.DUMMYFUNCTION("""COMPUTED_VALUE"""),0.0)</f>
        <v>0</v>
      </c>
      <c r="O142" s="6">
        <f>IFERROR(__xludf.DUMMYFUNCTION("""COMPUTED_VALUE"""),0.0)</f>
        <v>0</v>
      </c>
      <c r="P142" s="6">
        <f>IFERROR(__xludf.DUMMYFUNCTION("""COMPUTED_VALUE"""),0.0)</f>
        <v>0</v>
      </c>
      <c r="Q142" s="6">
        <f>IFERROR(__xludf.DUMMYFUNCTION("""COMPUTED_VALUE"""),0.0)</f>
        <v>0</v>
      </c>
      <c r="R142" s="6">
        <f>IFERROR(__xludf.DUMMYFUNCTION("""COMPUTED_VALUE"""),0.0)</f>
        <v>0</v>
      </c>
      <c r="S142" s="6">
        <f>IFERROR(__xludf.DUMMYFUNCTION("""COMPUTED_VALUE"""),0.0)</f>
        <v>0</v>
      </c>
      <c r="T142" s="6">
        <f>IFERROR(__xludf.DUMMYFUNCTION("""COMPUTED_VALUE"""),0.0)</f>
        <v>0</v>
      </c>
      <c r="U142" s="6">
        <f>IFERROR(__xludf.DUMMYFUNCTION("""COMPUTED_VALUE"""),0.0)</f>
        <v>0</v>
      </c>
      <c r="V142" s="4">
        <f t="shared" ref="V142:X142" si="141">SUM(D142, G142, J142, M142, P142, S142)</f>
        <v>1</v>
      </c>
      <c r="W142" s="4">
        <f t="shared" si="141"/>
        <v>0</v>
      </c>
      <c r="X142" s="4">
        <f t="shared" si="141"/>
        <v>0</v>
      </c>
    </row>
    <row r="143">
      <c r="A143" s="4" t="str">
        <f>IFERROR(__xludf.DUMMYFUNCTION("""COMPUTED_VALUE"""),"Школа 1259")</f>
        <v>Школа 1259</v>
      </c>
      <c r="B143" s="4" t="str">
        <f t="array" ref="B143">IFERROR(INDEX('Адреса школ'!F:F, MATCH(A143, 'Адреса школ'!E:E, 0)), "")</f>
        <v>55.732038, 37.632089</v>
      </c>
      <c r="C143" s="5" t="str">
        <f t="array" ref="C143">IFERROR(INDEX('Топ-400'!A:A, MATCH(A143, 'Топ-400'!E:E, 0)), "Вне рейтинга")</f>
        <v>197</v>
      </c>
      <c r="D143" s="6">
        <f>IFERROR(__xludf.DUMMYFUNCTION("""COMPUTED_VALUE"""),0.0)</f>
        <v>0</v>
      </c>
      <c r="E143" s="6">
        <f>IFERROR(__xludf.DUMMYFUNCTION("""COMPUTED_VALUE"""),0.0)</f>
        <v>0</v>
      </c>
      <c r="F143" s="6">
        <f>IFERROR(__xludf.DUMMYFUNCTION("""COMPUTED_VALUE"""),0.0)</f>
        <v>0</v>
      </c>
      <c r="G143" s="6">
        <f>IFERROR(__xludf.DUMMYFUNCTION("""COMPUTED_VALUE"""),1.0)</f>
        <v>1</v>
      </c>
      <c r="H143" s="6">
        <f>IFERROR(__xludf.DUMMYFUNCTION("""COMPUTED_VALUE"""),1.0)</f>
        <v>1</v>
      </c>
      <c r="I143" s="6">
        <f>IFERROR(__xludf.DUMMYFUNCTION("""COMPUTED_VALUE"""),1.0)</f>
        <v>1</v>
      </c>
      <c r="J143" s="6">
        <f>IFERROR(__xludf.DUMMYFUNCTION("""COMPUTED_VALUE"""),0.0)</f>
        <v>0</v>
      </c>
      <c r="K143" s="6">
        <f>IFERROR(__xludf.DUMMYFUNCTION("""COMPUTED_VALUE"""),0.0)</f>
        <v>0</v>
      </c>
      <c r="L143" s="6">
        <f>IFERROR(__xludf.DUMMYFUNCTION("""COMPUTED_VALUE"""),0.0)</f>
        <v>0</v>
      </c>
      <c r="M143" s="6">
        <f>IFERROR(__xludf.DUMMYFUNCTION("""COMPUTED_VALUE"""),1.0)</f>
        <v>1</v>
      </c>
      <c r="N143" s="6">
        <f>IFERROR(__xludf.DUMMYFUNCTION("""COMPUTED_VALUE"""),0.0)</f>
        <v>0</v>
      </c>
      <c r="O143" s="6">
        <f>IFERROR(__xludf.DUMMYFUNCTION("""COMPUTED_VALUE"""),1.0)</f>
        <v>1</v>
      </c>
      <c r="P143" s="6">
        <f>IFERROR(__xludf.DUMMYFUNCTION("""COMPUTED_VALUE"""),0.0)</f>
        <v>0</v>
      </c>
      <c r="Q143" s="6">
        <f>IFERROR(__xludf.DUMMYFUNCTION("""COMPUTED_VALUE"""),0.0)</f>
        <v>0</v>
      </c>
      <c r="R143" s="6">
        <f>IFERROR(__xludf.DUMMYFUNCTION("""COMPUTED_VALUE"""),0.0)</f>
        <v>0</v>
      </c>
      <c r="S143" s="6">
        <f>IFERROR(__xludf.DUMMYFUNCTION("""COMPUTED_VALUE"""),0.0)</f>
        <v>0</v>
      </c>
      <c r="T143" s="6">
        <f>IFERROR(__xludf.DUMMYFUNCTION("""COMPUTED_VALUE"""),0.0)</f>
        <v>0</v>
      </c>
      <c r="U143" s="6">
        <f>IFERROR(__xludf.DUMMYFUNCTION("""COMPUTED_VALUE"""),0.0)</f>
        <v>0</v>
      </c>
      <c r="V143" s="4">
        <f t="shared" ref="V143:X143" si="142">SUM(D143, G143, J143, M143, P143, S143)</f>
        <v>2</v>
      </c>
      <c r="W143" s="4">
        <f t="shared" si="142"/>
        <v>1</v>
      </c>
      <c r="X143" s="4">
        <f t="shared" si="142"/>
        <v>2</v>
      </c>
    </row>
    <row r="144">
      <c r="A144" s="4" t="str">
        <f>IFERROR(__xludf.DUMMYFUNCTION("""COMPUTED_VALUE"""),"Школа 1270")</f>
        <v>Школа 1270</v>
      </c>
      <c r="B144" s="4" t="str">
        <f t="array" ref="B144">IFERROR(INDEX('Адреса школ'!F:F, MATCH(A144, 'Адреса школ'!E:E, 0)), "")</f>
        <v>55.744115, 37.665255</v>
      </c>
      <c r="C144" s="5" t="str">
        <f t="array" ref="C144">IFERROR(INDEX('Топ-400'!A:A, MATCH(A144, 'Топ-400'!E:E, 0)), "Вне рейтинга")</f>
        <v>280</v>
      </c>
      <c r="D144" s="6">
        <f>IFERROR(__xludf.DUMMYFUNCTION("""COMPUTED_VALUE"""),0.0)</f>
        <v>0</v>
      </c>
      <c r="E144" s="6">
        <f>IFERROR(__xludf.DUMMYFUNCTION("""COMPUTED_VALUE"""),0.0)</f>
        <v>0</v>
      </c>
      <c r="F144" s="6">
        <f>IFERROR(__xludf.DUMMYFUNCTION("""COMPUTED_VALUE"""),0.0)</f>
        <v>0</v>
      </c>
      <c r="G144" s="6">
        <f>IFERROR(__xludf.DUMMYFUNCTION("""COMPUTED_VALUE"""),0.0)</f>
        <v>0</v>
      </c>
      <c r="H144" s="6">
        <f>IFERROR(__xludf.DUMMYFUNCTION("""COMPUTED_VALUE"""),0.0)</f>
        <v>0</v>
      </c>
      <c r="I144" s="6">
        <f>IFERROR(__xludf.DUMMYFUNCTION("""COMPUTED_VALUE"""),0.0)</f>
        <v>0</v>
      </c>
      <c r="J144" s="6">
        <f>IFERROR(__xludf.DUMMYFUNCTION("""COMPUTED_VALUE"""),0.0)</f>
        <v>0</v>
      </c>
      <c r="K144" s="6">
        <f>IFERROR(__xludf.DUMMYFUNCTION("""COMPUTED_VALUE"""),0.0)</f>
        <v>0</v>
      </c>
      <c r="L144" s="6">
        <f>IFERROR(__xludf.DUMMYFUNCTION("""COMPUTED_VALUE"""),0.0)</f>
        <v>0</v>
      </c>
      <c r="M144" s="6">
        <f>IFERROR(__xludf.DUMMYFUNCTION("""COMPUTED_VALUE"""),1.0)</f>
        <v>1</v>
      </c>
      <c r="N144" s="6">
        <f>IFERROR(__xludf.DUMMYFUNCTION("""COMPUTED_VALUE"""),0.0)</f>
        <v>0</v>
      </c>
      <c r="O144" s="6">
        <f>IFERROR(__xludf.DUMMYFUNCTION("""COMPUTED_VALUE"""),1.0)</f>
        <v>1</v>
      </c>
      <c r="P144" s="6">
        <f>IFERROR(__xludf.DUMMYFUNCTION("""COMPUTED_VALUE"""),1.0)</f>
        <v>1</v>
      </c>
      <c r="Q144" s="6">
        <f>IFERROR(__xludf.DUMMYFUNCTION("""COMPUTED_VALUE"""),1.0)</f>
        <v>1</v>
      </c>
      <c r="R144" s="6">
        <f>IFERROR(__xludf.DUMMYFUNCTION("""COMPUTED_VALUE"""),0.0)</f>
        <v>0</v>
      </c>
      <c r="S144" s="6">
        <f>IFERROR(__xludf.DUMMYFUNCTION("""COMPUTED_VALUE"""),0.0)</f>
        <v>0</v>
      </c>
      <c r="T144" s="6">
        <f>IFERROR(__xludf.DUMMYFUNCTION("""COMPUTED_VALUE"""),0.0)</f>
        <v>0</v>
      </c>
      <c r="U144" s="6">
        <f>IFERROR(__xludf.DUMMYFUNCTION("""COMPUTED_VALUE"""),0.0)</f>
        <v>0</v>
      </c>
      <c r="V144" s="4">
        <f t="shared" ref="V144:X144" si="143">SUM(D144, G144, J144, M144, P144, S144)</f>
        <v>2</v>
      </c>
      <c r="W144" s="4">
        <f t="shared" si="143"/>
        <v>1</v>
      </c>
      <c r="X144" s="4">
        <f t="shared" si="143"/>
        <v>1</v>
      </c>
    </row>
    <row r="145">
      <c r="A145" s="4" t="str">
        <f>IFERROR(__xludf.DUMMYFUNCTION("""COMPUTED_VALUE"""),"Школа 1272")</f>
        <v>Школа 1272</v>
      </c>
      <c r="B145" s="4" t="str">
        <f t="array" ref="B145">IFERROR(INDEX('Адреса школ'!F:F, MATCH(A145, 'Адреса школ'!E:E, 0)), "")</f>
        <v>55.70807, 37.663925</v>
      </c>
      <c r="C145" s="5" t="str">
        <f t="array" ref="C145">IFERROR(INDEX('Топ-400'!A:A, MATCH(A145, 'Топ-400'!E:E, 0)), "Вне рейтинга")</f>
        <v>394</v>
      </c>
      <c r="D145" s="6">
        <f>IFERROR(__xludf.DUMMYFUNCTION("""COMPUTED_VALUE"""),0.0)</f>
        <v>0</v>
      </c>
      <c r="E145" s="6">
        <f>IFERROR(__xludf.DUMMYFUNCTION("""COMPUTED_VALUE"""),0.0)</f>
        <v>0</v>
      </c>
      <c r="F145" s="6">
        <f>IFERROR(__xludf.DUMMYFUNCTION("""COMPUTED_VALUE"""),0.0)</f>
        <v>0</v>
      </c>
      <c r="G145" s="6">
        <f>IFERROR(__xludf.DUMMYFUNCTION("""COMPUTED_VALUE"""),0.0)</f>
        <v>0</v>
      </c>
      <c r="H145" s="6">
        <f>IFERROR(__xludf.DUMMYFUNCTION("""COMPUTED_VALUE"""),0.0)</f>
        <v>0</v>
      </c>
      <c r="I145" s="6">
        <f>IFERROR(__xludf.DUMMYFUNCTION("""COMPUTED_VALUE"""),0.0)</f>
        <v>0</v>
      </c>
      <c r="J145" s="6">
        <f>IFERROR(__xludf.DUMMYFUNCTION("""COMPUTED_VALUE"""),0.0)</f>
        <v>0</v>
      </c>
      <c r="K145" s="6">
        <f>IFERROR(__xludf.DUMMYFUNCTION("""COMPUTED_VALUE"""),0.0)</f>
        <v>0</v>
      </c>
      <c r="L145" s="6">
        <f>IFERROR(__xludf.DUMMYFUNCTION("""COMPUTED_VALUE"""),0.0)</f>
        <v>0</v>
      </c>
      <c r="M145" s="6">
        <f>IFERROR(__xludf.DUMMYFUNCTION("""COMPUTED_VALUE"""),0.0)</f>
        <v>0</v>
      </c>
      <c r="N145" s="6">
        <f>IFERROR(__xludf.DUMMYFUNCTION("""COMPUTED_VALUE"""),0.0)</f>
        <v>0</v>
      </c>
      <c r="O145" s="6">
        <f>IFERROR(__xludf.DUMMYFUNCTION("""COMPUTED_VALUE"""),0.0)</f>
        <v>0</v>
      </c>
      <c r="P145" s="6">
        <f>IFERROR(__xludf.DUMMYFUNCTION("""COMPUTED_VALUE"""),1.0)</f>
        <v>1</v>
      </c>
      <c r="Q145" s="6">
        <f>IFERROR(__xludf.DUMMYFUNCTION("""COMPUTED_VALUE"""),0.0)</f>
        <v>0</v>
      </c>
      <c r="R145" s="6">
        <f>IFERROR(__xludf.DUMMYFUNCTION("""COMPUTED_VALUE"""),1.0)</f>
        <v>1</v>
      </c>
      <c r="S145" s="6">
        <f>IFERROR(__xludf.DUMMYFUNCTION("""COMPUTED_VALUE"""),0.0)</f>
        <v>0</v>
      </c>
      <c r="T145" s="6">
        <f>IFERROR(__xludf.DUMMYFUNCTION("""COMPUTED_VALUE"""),0.0)</f>
        <v>0</v>
      </c>
      <c r="U145" s="6">
        <f>IFERROR(__xludf.DUMMYFUNCTION("""COMPUTED_VALUE"""),0.0)</f>
        <v>0</v>
      </c>
      <c r="V145" s="4">
        <f t="shared" ref="V145:X145" si="144">SUM(D145, G145, J145, M145, P145, S145)</f>
        <v>1</v>
      </c>
      <c r="W145" s="4">
        <f t="shared" si="144"/>
        <v>0</v>
      </c>
      <c r="X145" s="4">
        <f t="shared" si="144"/>
        <v>1</v>
      </c>
    </row>
    <row r="146">
      <c r="A146" s="4" t="str">
        <f>IFERROR(__xludf.DUMMYFUNCTION("""COMPUTED_VALUE"""),"Школа 1273")</f>
        <v>Школа 1273</v>
      </c>
      <c r="B146" s="4" t="str">
        <f t="array" ref="B146">IFERROR(INDEX('Адреса школ'!F:F, MATCH(A146, 'Адреса школ'!E:E, 0)), "")</f>
        <v>55.628977, 37.522531</v>
      </c>
      <c r="C146" s="5" t="str">
        <f t="array" ref="C146">IFERROR(INDEX('Топ-400'!A:A, MATCH(A146, 'Топ-400'!E:E, 0)), "Вне рейтинга")</f>
        <v>206</v>
      </c>
      <c r="D146" s="6">
        <f>IFERROR(__xludf.DUMMYFUNCTION("""COMPUTED_VALUE"""),0.0)</f>
        <v>0</v>
      </c>
      <c r="E146" s="6">
        <f>IFERROR(__xludf.DUMMYFUNCTION("""COMPUTED_VALUE"""),0.0)</f>
        <v>0</v>
      </c>
      <c r="F146" s="6">
        <f>IFERROR(__xludf.DUMMYFUNCTION("""COMPUTED_VALUE"""),0.0)</f>
        <v>0</v>
      </c>
      <c r="G146" s="6">
        <f>IFERROR(__xludf.DUMMYFUNCTION("""COMPUTED_VALUE"""),0.0)</f>
        <v>0</v>
      </c>
      <c r="H146" s="6">
        <f>IFERROR(__xludf.DUMMYFUNCTION("""COMPUTED_VALUE"""),0.0)</f>
        <v>0</v>
      </c>
      <c r="I146" s="6">
        <f>IFERROR(__xludf.DUMMYFUNCTION("""COMPUTED_VALUE"""),0.0)</f>
        <v>0</v>
      </c>
      <c r="J146" s="6">
        <f>IFERROR(__xludf.DUMMYFUNCTION("""COMPUTED_VALUE"""),1.0)</f>
        <v>1</v>
      </c>
      <c r="K146" s="6">
        <f>IFERROR(__xludf.DUMMYFUNCTION("""COMPUTED_VALUE"""),1.0)</f>
        <v>1</v>
      </c>
      <c r="L146" s="6">
        <f>IFERROR(__xludf.DUMMYFUNCTION("""COMPUTED_VALUE"""),1.0)</f>
        <v>1</v>
      </c>
      <c r="M146" s="6">
        <f>IFERROR(__xludf.DUMMYFUNCTION("""COMPUTED_VALUE"""),1.0)</f>
        <v>1</v>
      </c>
      <c r="N146" s="6">
        <f>IFERROR(__xludf.DUMMYFUNCTION("""COMPUTED_VALUE"""),1.0)</f>
        <v>1</v>
      </c>
      <c r="O146" s="6">
        <f>IFERROR(__xludf.DUMMYFUNCTION("""COMPUTED_VALUE"""),1.0)</f>
        <v>1</v>
      </c>
      <c r="P146" s="6">
        <f>IFERROR(__xludf.DUMMYFUNCTION("""COMPUTED_VALUE"""),0.0)</f>
        <v>0</v>
      </c>
      <c r="Q146" s="6">
        <f>IFERROR(__xludf.DUMMYFUNCTION("""COMPUTED_VALUE"""),0.0)</f>
        <v>0</v>
      </c>
      <c r="R146" s="6">
        <f>IFERROR(__xludf.DUMMYFUNCTION("""COMPUTED_VALUE"""),0.0)</f>
        <v>0</v>
      </c>
      <c r="S146" s="6">
        <f>IFERROR(__xludf.DUMMYFUNCTION("""COMPUTED_VALUE"""),0.0)</f>
        <v>0</v>
      </c>
      <c r="T146" s="6">
        <f>IFERROR(__xludf.DUMMYFUNCTION("""COMPUTED_VALUE"""),0.0)</f>
        <v>0</v>
      </c>
      <c r="U146" s="6">
        <f>IFERROR(__xludf.DUMMYFUNCTION("""COMPUTED_VALUE"""),0.0)</f>
        <v>0</v>
      </c>
      <c r="V146" s="4">
        <f t="shared" ref="V146:X146" si="145">SUM(D146, G146, J146, M146, P146, S146)</f>
        <v>2</v>
      </c>
      <c r="W146" s="4">
        <f t="shared" si="145"/>
        <v>2</v>
      </c>
      <c r="X146" s="4">
        <f t="shared" si="145"/>
        <v>2</v>
      </c>
    </row>
    <row r="147">
      <c r="A147" s="4" t="str">
        <f>IFERROR(__xludf.DUMMYFUNCTION("""COMPUTED_VALUE"""),"Школа 1279")</f>
        <v>Школа 1279</v>
      </c>
      <c r="B147" s="4" t="str">
        <f t="array" ref="B147">IFERROR(INDEX('Адреса школ'!F:F, MATCH(A147, 'Адреса школ'!E:E, 0)), "")</f>
        <v>55.663745, 37.604044</v>
      </c>
      <c r="C147" s="5" t="str">
        <f t="array" ref="C147">IFERROR(INDEX('Топ-400'!A:A, MATCH(A147, 'Топ-400'!E:E, 0)), "Вне рейтинга")</f>
        <v>205</v>
      </c>
      <c r="D147" s="6">
        <f>IFERROR(__xludf.DUMMYFUNCTION("""COMPUTED_VALUE"""),0.0)</f>
        <v>0</v>
      </c>
      <c r="E147" s="6">
        <f>IFERROR(__xludf.DUMMYFUNCTION("""COMPUTED_VALUE"""),0.0)</f>
        <v>0</v>
      </c>
      <c r="F147" s="6">
        <f>IFERROR(__xludf.DUMMYFUNCTION("""COMPUTED_VALUE"""),0.0)</f>
        <v>0</v>
      </c>
      <c r="G147" s="6">
        <f>IFERROR(__xludf.DUMMYFUNCTION("""COMPUTED_VALUE"""),0.0)</f>
        <v>0</v>
      </c>
      <c r="H147" s="6">
        <f>IFERROR(__xludf.DUMMYFUNCTION("""COMPUTED_VALUE"""),0.0)</f>
        <v>0</v>
      </c>
      <c r="I147" s="6">
        <f>IFERROR(__xludf.DUMMYFUNCTION("""COMPUTED_VALUE"""),0.0)</f>
        <v>0</v>
      </c>
      <c r="J147" s="6">
        <f>IFERROR(__xludf.DUMMYFUNCTION("""COMPUTED_VALUE"""),0.0)</f>
        <v>0</v>
      </c>
      <c r="K147" s="6">
        <f>IFERROR(__xludf.DUMMYFUNCTION("""COMPUTED_VALUE"""),0.0)</f>
        <v>0</v>
      </c>
      <c r="L147" s="6">
        <f>IFERROR(__xludf.DUMMYFUNCTION("""COMPUTED_VALUE"""),1.0)</f>
        <v>1</v>
      </c>
      <c r="M147" s="6">
        <f>IFERROR(__xludf.DUMMYFUNCTION("""COMPUTED_VALUE"""),1.0)</f>
        <v>1</v>
      </c>
      <c r="N147" s="6">
        <f>IFERROR(__xludf.DUMMYFUNCTION("""COMPUTED_VALUE"""),1.0)</f>
        <v>1</v>
      </c>
      <c r="O147" s="6">
        <f>IFERROR(__xludf.DUMMYFUNCTION("""COMPUTED_VALUE"""),1.0)</f>
        <v>1</v>
      </c>
      <c r="P147" s="6">
        <f>IFERROR(__xludf.DUMMYFUNCTION("""COMPUTED_VALUE"""),1.0)</f>
        <v>1</v>
      </c>
      <c r="Q147" s="6">
        <f>IFERROR(__xludf.DUMMYFUNCTION("""COMPUTED_VALUE"""),0.0)</f>
        <v>0</v>
      </c>
      <c r="R147" s="6">
        <f>IFERROR(__xludf.DUMMYFUNCTION("""COMPUTED_VALUE"""),0.0)</f>
        <v>0</v>
      </c>
      <c r="S147" s="6">
        <f>IFERROR(__xludf.DUMMYFUNCTION("""COMPUTED_VALUE"""),0.0)</f>
        <v>0</v>
      </c>
      <c r="T147" s="6">
        <f>IFERROR(__xludf.DUMMYFUNCTION("""COMPUTED_VALUE"""),0.0)</f>
        <v>0</v>
      </c>
      <c r="U147" s="6">
        <f>IFERROR(__xludf.DUMMYFUNCTION("""COMPUTED_VALUE"""),0.0)</f>
        <v>0</v>
      </c>
      <c r="V147" s="4">
        <f t="shared" ref="V147:X147" si="146">SUM(D147, G147, J147, M147, P147, S147)</f>
        <v>2</v>
      </c>
      <c r="W147" s="4">
        <f t="shared" si="146"/>
        <v>1</v>
      </c>
      <c r="X147" s="4">
        <f t="shared" si="146"/>
        <v>2</v>
      </c>
    </row>
    <row r="148">
      <c r="A148" s="4" t="str">
        <f>IFERROR(__xludf.DUMMYFUNCTION("""COMPUTED_VALUE"""),"Школа 1282")</f>
        <v>Школа 1282</v>
      </c>
      <c r="B148" s="4" t="str">
        <f t="array" ref="B148">IFERROR(INDEX('Адреса школ'!F:F, MATCH(A148, 'Адреса школ'!E:E, 0)), "")</f>
        <v>55.789775, 37.684775</v>
      </c>
      <c r="C148" s="5" t="str">
        <f t="array" ref="C148">IFERROR(INDEX('Топ-400'!A:A, MATCH(A148, 'Топ-400'!E:E, 0)), "Вне рейтинга")</f>
        <v>227</v>
      </c>
      <c r="D148" s="6">
        <f>IFERROR(__xludf.DUMMYFUNCTION("""COMPUTED_VALUE"""),0.0)</f>
        <v>0</v>
      </c>
      <c r="E148" s="6">
        <f>IFERROR(__xludf.DUMMYFUNCTION("""COMPUTED_VALUE"""),0.0)</f>
        <v>0</v>
      </c>
      <c r="F148" s="6">
        <f>IFERROR(__xludf.DUMMYFUNCTION("""COMPUTED_VALUE"""),0.0)</f>
        <v>0</v>
      </c>
      <c r="G148" s="6">
        <f>IFERROR(__xludf.DUMMYFUNCTION("""COMPUTED_VALUE"""),0.0)</f>
        <v>0</v>
      </c>
      <c r="H148" s="6">
        <f>IFERROR(__xludf.DUMMYFUNCTION("""COMPUTED_VALUE"""),0.0)</f>
        <v>0</v>
      </c>
      <c r="I148" s="6">
        <f>IFERROR(__xludf.DUMMYFUNCTION("""COMPUTED_VALUE"""),0.0)</f>
        <v>0</v>
      </c>
      <c r="J148" s="6">
        <f>IFERROR(__xludf.DUMMYFUNCTION("""COMPUTED_VALUE"""),0.0)</f>
        <v>0</v>
      </c>
      <c r="K148" s="6">
        <f>IFERROR(__xludf.DUMMYFUNCTION("""COMPUTED_VALUE"""),0.0)</f>
        <v>0</v>
      </c>
      <c r="L148" s="6">
        <f>IFERROR(__xludf.DUMMYFUNCTION("""COMPUTED_VALUE"""),0.0)</f>
        <v>0</v>
      </c>
      <c r="M148" s="6">
        <f>IFERROR(__xludf.DUMMYFUNCTION("""COMPUTED_VALUE"""),1.0)</f>
        <v>1</v>
      </c>
      <c r="N148" s="6">
        <f>IFERROR(__xludf.DUMMYFUNCTION("""COMPUTED_VALUE"""),0.0)</f>
        <v>0</v>
      </c>
      <c r="O148" s="6">
        <f>IFERROR(__xludf.DUMMYFUNCTION("""COMPUTED_VALUE"""),0.0)</f>
        <v>0</v>
      </c>
      <c r="P148" s="6">
        <f>IFERROR(__xludf.DUMMYFUNCTION("""COMPUTED_VALUE"""),1.0)</f>
        <v>1</v>
      </c>
      <c r="Q148" s="6">
        <f>IFERROR(__xludf.DUMMYFUNCTION("""COMPUTED_VALUE"""),1.0)</f>
        <v>1</v>
      </c>
      <c r="R148" s="6">
        <f>IFERROR(__xludf.DUMMYFUNCTION("""COMPUTED_VALUE"""),1.0)</f>
        <v>1</v>
      </c>
      <c r="S148" s="6">
        <f>IFERROR(__xludf.DUMMYFUNCTION("""COMPUTED_VALUE"""),0.0)</f>
        <v>0</v>
      </c>
      <c r="T148" s="6">
        <f>IFERROR(__xludf.DUMMYFUNCTION("""COMPUTED_VALUE"""),0.0)</f>
        <v>0</v>
      </c>
      <c r="U148" s="6">
        <f>IFERROR(__xludf.DUMMYFUNCTION("""COMPUTED_VALUE"""),0.0)</f>
        <v>0</v>
      </c>
      <c r="V148" s="4">
        <f t="shared" ref="V148:X148" si="147">SUM(D148, G148, J148, M148, P148, S148)</f>
        <v>2</v>
      </c>
      <c r="W148" s="4">
        <f t="shared" si="147"/>
        <v>1</v>
      </c>
      <c r="X148" s="4">
        <f t="shared" si="147"/>
        <v>1</v>
      </c>
    </row>
    <row r="149">
      <c r="A149" s="4" t="str">
        <f>IFERROR(__xludf.DUMMYFUNCTION("""COMPUTED_VALUE"""),"Школа 1284")</f>
        <v>Школа 1284</v>
      </c>
      <c r="B149" s="4" t="str">
        <f t="array" ref="B149">IFERROR(INDEX('Адреса школ'!F:F, MATCH(A149, 'Адреса школ'!E:E, 0)), "")</f>
        <v>55.767914, 37.637928</v>
      </c>
      <c r="C149" s="5" t="str">
        <f t="array" ref="C149">IFERROR(INDEX('Топ-400'!A:A, MATCH(A149, 'Топ-400'!E:E, 0)), "Вне рейтинга")</f>
        <v>366</v>
      </c>
      <c r="D149" s="6">
        <f>IFERROR(__xludf.DUMMYFUNCTION("""COMPUTED_VALUE"""),0.0)</f>
        <v>0</v>
      </c>
      <c r="E149" s="6">
        <f>IFERROR(__xludf.DUMMYFUNCTION("""COMPUTED_VALUE"""),0.0)</f>
        <v>0</v>
      </c>
      <c r="F149" s="6">
        <f>IFERROR(__xludf.DUMMYFUNCTION("""COMPUTED_VALUE"""),0.0)</f>
        <v>0</v>
      </c>
      <c r="G149" s="6">
        <f>IFERROR(__xludf.DUMMYFUNCTION("""COMPUTED_VALUE"""),0.0)</f>
        <v>0</v>
      </c>
      <c r="H149" s="6">
        <f>IFERROR(__xludf.DUMMYFUNCTION("""COMPUTED_VALUE"""),0.0)</f>
        <v>0</v>
      </c>
      <c r="I149" s="6">
        <f>IFERROR(__xludf.DUMMYFUNCTION("""COMPUTED_VALUE"""),0.0)</f>
        <v>0</v>
      </c>
      <c r="J149" s="6">
        <f>IFERROR(__xludf.DUMMYFUNCTION("""COMPUTED_VALUE"""),0.0)</f>
        <v>0</v>
      </c>
      <c r="K149" s="6">
        <f>IFERROR(__xludf.DUMMYFUNCTION("""COMPUTED_VALUE"""),0.0)</f>
        <v>0</v>
      </c>
      <c r="L149" s="6">
        <f>IFERROR(__xludf.DUMMYFUNCTION("""COMPUTED_VALUE"""),0.0)</f>
        <v>0</v>
      </c>
      <c r="M149" s="6">
        <f>IFERROR(__xludf.DUMMYFUNCTION("""COMPUTED_VALUE"""),0.0)</f>
        <v>0</v>
      </c>
      <c r="N149" s="6">
        <f>IFERROR(__xludf.DUMMYFUNCTION("""COMPUTED_VALUE"""),1.0)</f>
        <v>1</v>
      </c>
      <c r="O149" s="6">
        <f>IFERROR(__xludf.DUMMYFUNCTION("""COMPUTED_VALUE"""),1.0)</f>
        <v>1</v>
      </c>
      <c r="P149" s="6">
        <f>IFERROR(__xludf.DUMMYFUNCTION("""COMPUTED_VALUE"""),0.0)</f>
        <v>0</v>
      </c>
      <c r="Q149" s="6">
        <f>IFERROR(__xludf.DUMMYFUNCTION("""COMPUTED_VALUE"""),0.0)</f>
        <v>0</v>
      </c>
      <c r="R149" s="6">
        <f>IFERROR(__xludf.DUMMYFUNCTION("""COMPUTED_VALUE"""),0.0)</f>
        <v>0</v>
      </c>
      <c r="S149" s="6">
        <f>IFERROR(__xludf.DUMMYFUNCTION("""COMPUTED_VALUE"""),0.0)</f>
        <v>0</v>
      </c>
      <c r="T149" s="6">
        <f>IFERROR(__xludf.DUMMYFUNCTION("""COMPUTED_VALUE"""),0.0)</f>
        <v>0</v>
      </c>
      <c r="U149" s="6">
        <f>IFERROR(__xludf.DUMMYFUNCTION("""COMPUTED_VALUE"""),0.0)</f>
        <v>0</v>
      </c>
      <c r="V149" s="4">
        <f t="shared" ref="V149:X149" si="148">SUM(D149, G149, J149, M149, P149, S149)</f>
        <v>0</v>
      </c>
      <c r="W149" s="4">
        <f t="shared" si="148"/>
        <v>1</v>
      </c>
      <c r="X149" s="4">
        <f t="shared" si="148"/>
        <v>1</v>
      </c>
    </row>
    <row r="150">
      <c r="A150" s="4" t="str">
        <f>IFERROR(__xludf.DUMMYFUNCTION("""COMPUTED_VALUE"""),"Школа 1285")</f>
        <v>Школа 1285</v>
      </c>
      <c r="B150" s="4" t="str">
        <f t="array" ref="B150">IFERROR(INDEX('Адреса школ'!F:F, MATCH(A150, 'Адреса школ'!E:E, 0)), "")</f>
        <v>55.825072, 37.449336</v>
      </c>
      <c r="C150" s="5" t="str">
        <f t="array" ref="C150">IFERROR(INDEX('Топ-400'!A:A, MATCH(A150, 'Топ-400'!E:E, 0)), "Вне рейтинга")</f>
        <v>Вне рейтинга</v>
      </c>
      <c r="D150" s="6">
        <f>IFERROR(__xludf.DUMMYFUNCTION("""COMPUTED_VALUE"""),0.0)</f>
        <v>0</v>
      </c>
      <c r="E150" s="6">
        <f>IFERROR(__xludf.DUMMYFUNCTION("""COMPUTED_VALUE"""),0.0)</f>
        <v>0</v>
      </c>
      <c r="F150" s="6">
        <f>IFERROR(__xludf.DUMMYFUNCTION("""COMPUTED_VALUE"""),0.0)</f>
        <v>0</v>
      </c>
      <c r="G150" s="6">
        <f>IFERROR(__xludf.DUMMYFUNCTION("""COMPUTED_VALUE"""),0.0)</f>
        <v>0</v>
      </c>
      <c r="H150" s="6">
        <f>IFERROR(__xludf.DUMMYFUNCTION("""COMPUTED_VALUE"""),0.0)</f>
        <v>0</v>
      </c>
      <c r="I150" s="6">
        <f>IFERROR(__xludf.DUMMYFUNCTION("""COMPUTED_VALUE"""),0.0)</f>
        <v>0</v>
      </c>
      <c r="J150" s="6">
        <f>IFERROR(__xludf.DUMMYFUNCTION("""COMPUTED_VALUE"""),0.0)</f>
        <v>0</v>
      </c>
      <c r="K150" s="6">
        <f>IFERROR(__xludf.DUMMYFUNCTION("""COMPUTED_VALUE"""),0.0)</f>
        <v>0</v>
      </c>
      <c r="L150" s="6">
        <f>IFERROR(__xludf.DUMMYFUNCTION("""COMPUTED_VALUE"""),0.0)</f>
        <v>0</v>
      </c>
      <c r="M150" s="6">
        <f>IFERROR(__xludf.DUMMYFUNCTION("""COMPUTED_VALUE"""),1.0)</f>
        <v>1</v>
      </c>
      <c r="N150" s="6">
        <f>IFERROR(__xludf.DUMMYFUNCTION("""COMPUTED_VALUE"""),0.0)</f>
        <v>0</v>
      </c>
      <c r="O150" s="6">
        <f>IFERROR(__xludf.DUMMYFUNCTION("""COMPUTED_VALUE"""),0.0)</f>
        <v>0</v>
      </c>
      <c r="P150" s="6">
        <f>IFERROR(__xludf.DUMMYFUNCTION("""COMPUTED_VALUE"""),0.0)</f>
        <v>0</v>
      </c>
      <c r="Q150" s="6">
        <f>IFERROR(__xludf.DUMMYFUNCTION("""COMPUTED_VALUE"""),0.0)</f>
        <v>0</v>
      </c>
      <c r="R150" s="6">
        <f>IFERROR(__xludf.DUMMYFUNCTION("""COMPUTED_VALUE"""),0.0)</f>
        <v>0</v>
      </c>
      <c r="S150" s="6">
        <f>IFERROR(__xludf.DUMMYFUNCTION("""COMPUTED_VALUE"""),0.0)</f>
        <v>0</v>
      </c>
      <c r="T150" s="6">
        <f>IFERROR(__xludf.DUMMYFUNCTION("""COMPUTED_VALUE"""),0.0)</f>
        <v>0</v>
      </c>
      <c r="U150" s="6">
        <f>IFERROR(__xludf.DUMMYFUNCTION("""COMPUTED_VALUE"""),0.0)</f>
        <v>0</v>
      </c>
      <c r="V150" s="4">
        <f t="shared" ref="V150:X150" si="149">SUM(D150, G150, J150, M150, P150, S150)</f>
        <v>1</v>
      </c>
      <c r="W150" s="4">
        <f t="shared" si="149"/>
        <v>0</v>
      </c>
      <c r="X150" s="4">
        <f t="shared" si="149"/>
        <v>0</v>
      </c>
    </row>
    <row r="151">
      <c r="A151" s="4" t="str">
        <f>IFERROR(__xludf.DUMMYFUNCTION("""COMPUTED_VALUE"""),"Школа 1286")</f>
        <v>Школа 1286</v>
      </c>
      <c r="B151" s="4" t="str">
        <f t="array" ref="B151">IFERROR(INDEX('Адреса школ'!F:F, MATCH(A151, 'Адреса школ'!E:E, 0)), "")</f>
        <v>55.856725, 37.426824</v>
      </c>
      <c r="C151" s="5" t="str">
        <f t="array" ref="C151">IFERROR(INDEX('Топ-400'!A:A, MATCH(A151, 'Топ-400'!E:E, 0)), "Вне рейтинга")</f>
        <v>268</v>
      </c>
      <c r="D151" s="6">
        <f>IFERROR(__xludf.DUMMYFUNCTION("""COMPUTED_VALUE"""),1.0)</f>
        <v>1</v>
      </c>
      <c r="E151" s="6">
        <f>IFERROR(__xludf.DUMMYFUNCTION("""COMPUTED_VALUE"""),1.0)</f>
        <v>1</v>
      </c>
      <c r="F151" s="6">
        <f>IFERROR(__xludf.DUMMYFUNCTION("""COMPUTED_VALUE"""),1.0)</f>
        <v>1</v>
      </c>
      <c r="G151" s="6">
        <f>IFERROR(__xludf.DUMMYFUNCTION("""COMPUTED_VALUE"""),0.0)</f>
        <v>0</v>
      </c>
      <c r="H151" s="6">
        <f>IFERROR(__xludf.DUMMYFUNCTION("""COMPUTED_VALUE"""),0.0)</f>
        <v>0</v>
      </c>
      <c r="I151" s="6">
        <f>IFERROR(__xludf.DUMMYFUNCTION("""COMPUTED_VALUE"""),0.0)</f>
        <v>0</v>
      </c>
      <c r="J151" s="6">
        <f>IFERROR(__xludf.DUMMYFUNCTION("""COMPUTED_VALUE"""),0.0)</f>
        <v>0</v>
      </c>
      <c r="K151" s="6">
        <f>IFERROR(__xludf.DUMMYFUNCTION("""COMPUTED_VALUE"""),0.0)</f>
        <v>0</v>
      </c>
      <c r="L151" s="6">
        <f>IFERROR(__xludf.DUMMYFUNCTION("""COMPUTED_VALUE"""),0.0)</f>
        <v>0</v>
      </c>
      <c r="M151" s="6">
        <f>IFERROR(__xludf.DUMMYFUNCTION("""COMPUTED_VALUE"""),1.0)</f>
        <v>1</v>
      </c>
      <c r="N151" s="6">
        <f>IFERROR(__xludf.DUMMYFUNCTION("""COMPUTED_VALUE"""),1.0)</f>
        <v>1</v>
      </c>
      <c r="O151" s="6">
        <f>IFERROR(__xludf.DUMMYFUNCTION("""COMPUTED_VALUE"""),1.0)</f>
        <v>1</v>
      </c>
      <c r="P151" s="6">
        <f>IFERROR(__xludf.DUMMYFUNCTION("""COMPUTED_VALUE"""),0.0)</f>
        <v>0</v>
      </c>
      <c r="Q151" s="6">
        <f>IFERROR(__xludf.DUMMYFUNCTION("""COMPUTED_VALUE"""),0.0)</f>
        <v>0</v>
      </c>
      <c r="R151" s="6">
        <f>IFERROR(__xludf.DUMMYFUNCTION("""COMPUTED_VALUE"""),0.0)</f>
        <v>0</v>
      </c>
      <c r="S151" s="6">
        <f>IFERROR(__xludf.DUMMYFUNCTION("""COMPUTED_VALUE"""),0.0)</f>
        <v>0</v>
      </c>
      <c r="T151" s="6">
        <f>IFERROR(__xludf.DUMMYFUNCTION("""COMPUTED_VALUE"""),0.0)</f>
        <v>0</v>
      </c>
      <c r="U151" s="6">
        <f>IFERROR(__xludf.DUMMYFUNCTION("""COMPUTED_VALUE"""),0.0)</f>
        <v>0</v>
      </c>
      <c r="V151" s="4">
        <f t="shared" ref="V151:X151" si="150">SUM(D151, G151, J151, M151, P151, S151)</f>
        <v>2</v>
      </c>
      <c r="W151" s="4">
        <f t="shared" si="150"/>
        <v>2</v>
      </c>
      <c r="X151" s="4">
        <f t="shared" si="150"/>
        <v>2</v>
      </c>
    </row>
    <row r="152">
      <c r="A152" s="4" t="str">
        <f>IFERROR(__xludf.DUMMYFUNCTION("""COMPUTED_VALUE"""),"Школа 1287")</f>
        <v>Школа 1287</v>
      </c>
      <c r="B152" s="4" t="str">
        <f t="array" ref="B152">IFERROR(INDEX('Адреса школ'!F:F, MATCH(A152, 'Адреса школ'!E:E, 0)), "")</f>
        <v>55.796385, 37.520914</v>
      </c>
      <c r="C152" s="5" t="str">
        <f t="array" ref="C152">IFERROR(INDEX('Топ-400'!A:A, MATCH(A152, 'Топ-400'!E:E, 0)), "Вне рейтинга")</f>
        <v>103</v>
      </c>
      <c r="D152" s="6">
        <f>IFERROR(__xludf.DUMMYFUNCTION("""COMPUTED_VALUE"""),1.0)</f>
        <v>1</v>
      </c>
      <c r="E152" s="6">
        <f>IFERROR(__xludf.DUMMYFUNCTION("""COMPUTED_VALUE"""),0.0)</f>
        <v>0</v>
      </c>
      <c r="F152" s="6">
        <f>IFERROR(__xludf.DUMMYFUNCTION("""COMPUTED_VALUE"""),0.0)</f>
        <v>0</v>
      </c>
      <c r="G152" s="6">
        <f>IFERROR(__xludf.DUMMYFUNCTION("""COMPUTED_VALUE"""),0.0)</f>
        <v>0</v>
      </c>
      <c r="H152" s="6">
        <f>IFERROR(__xludf.DUMMYFUNCTION("""COMPUTED_VALUE"""),0.0)</f>
        <v>0</v>
      </c>
      <c r="I152" s="6">
        <f>IFERROR(__xludf.DUMMYFUNCTION("""COMPUTED_VALUE"""),0.0)</f>
        <v>0</v>
      </c>
      <c r="J152" s="6">
        <f>IFERROR(__xludf.DUMMYFUNCTION("""COMPUTED_VALUE"""),1.0)</f>
        <v>1</v>
      </c>
      <c r="K152" s="6">
        <f>IFERROR(__xludf.DUMMYFUNCTION("""COMPUTED_VALUE"""),1.0)</f>
        <v>1</v>
      </c>
      <c r="L152" s="6">
        <f>IFERROR(__xludf.DUMMYFUNCTION("""COMPUTED_VALUE"""),1.0)</f>
        <v>1</v>
      </c>
      <c r="M152" s="6">
        <f>IFERROR(__xludf.DUMMYFUNCTION("""COMPUTED_VALUE"""),1.0)</f>
        <v>1</v>
      </c>
      <c r="N152" s="6">
        <f>IFERROR(__xludf.DUMMYFUNCTION("""COMPUTED_VALUE"""),1.0)</f>
        <v>1</v>
      </c>
      <c r="O152" s="6">
        <f>IFERROR(__xludf.DUMMYFUNCTION("""COMPUTED_VALUE"""),1.0)</f>
        <v>1</v>
      </c>
      <c r="P152" s="6">
        <f>IFERROR(__xludf.DUMMYFUNCTION("""COMPUTED_VALUE"""),1.0)</f>
        <v>1</v>
      </c>
      <c r="Q152" s="6">
        <f>IFERROR(__xludf.DUMMYFUNCTION("""COMPUTED_VALUE"""),1.0)</f>
        <v>1</v>
      </c>
      <c r="R152" s="6">
        <f>IFERROR(__xludf.DUMMYFUNCTION("""COMPUTED_VALUE"""),1.0)</f>
        <v>1</v>
      </c>
      <c r="S152" s="6">
        <f>IFERROR(__xludf.DUMMYFUNCTION("""COMPUTED_VALUE"""),0.0)</f>
        <v>0</v>
      </c>
      <c r="T152" s="6">
        <f>IFERROR(__xludf.DUMMYFUNCTION("""COMPUTED_VALUE"""),0.0)</f>
        <v>0</v>
      </c>
      <c r="U152" s="6">
        <f>IFERROR(__xludf.DUMMYFUNCTION("""COMPUTED_VALUE"""),0.0)</f>
        <v>0</v>
      </c>
      <c r="V152" s="4">
        <f t="shared" ref="V152:X152" si="151">SUM(D152, G152, J152, M152, P152, S152)</f>
        <v>4</v>
      </c>
      <c r="W152" s="4">
        <f t="shared" si="151"/>
        <v>3</v>
      </c>
      <c r="X152" s="4">
        <f t="shared" si="151"/>
        <v>3</v>
      </c>
    </row>
    <row r="153">
      <c r="A153" s="4" t="str">
        <f>IFERROR(__xludf.DUMMYFUNCTION("""COMPUTED_VALUE"""),"Школа 1288")</f>
        <v>Школа 1288</v>
      </c>
      <c r="B153" s="4" t="str">
        <f t="array" ref="B153">IFERROR(INDEX('Адреса школ'!F:F, MATCH(A153, 'Адреса школ'!E:E, 0)), "")</f>
        <v>55.775935, 37.551708</v>
      </c>
      <c r="C153" s="5" t="str">
        <f t="array" ref="C153">IFERROR(INDEX('Топ-400'!A:A, MATCH(A153, 'Топ-400'!E:E, 0)), "Вне рейтинга")</f>
        <v>104</v>
      </c>
      <c r="D153" s="6">
        <f>IFERROR(__xludf.DUMMYFUNCTION("""COMPUTED_VALUE"""),1.0)</f>
        <v>1</v>
      </c>
      <c r="E153" s="6">
        <f>IFERROR(__xludf.DUMMYFUNCTION("""COMPUTED_VALUE"""),1.0)</f>
        <v>1</v>
      </c>
      <c r="F153" s="6">
        <f>IFERROR(__xludf.DUMMYFUNCTION("""COMPUTED_VALUE"""),1.0)</f>
        <v>1</v>
      </c>
      <c r="G153" s="6">
        <f>IFERROR(__xludf.DUMMYFUNCTION("""COMPUTED_VALUE"""),1.0)</f>
        <v>1</v>
      </c>
      <c r="H153" s="6">
        <f>IFERROR(__xludf.DUMMYFUNCTION("""COMPUTED_VALUE"""),1.0)</f>
        <v>1</v>
      </c>
      <c r="I153" s="6">
        <f>IFERROR(__xludf.DUMMYFUNCTION("""COMPUTED_VALUE"""),1.0)</f>
        <v>1</v>
      </c>
      <c r="J153" s="6">
        <f>IFERROR(__xludf.DUMMYFUNCTION("""COMPUTED_VALUE"""),0.0)</f>
        <v>0</v>
      </c>
      <c r="K153" s="6">
        <f>IFERROR(__xludf.DUMMYFUNCTION("""COMPUTED_VALUE"""),0.0)</f>
        <v>0</v>
      </c>
      <c r="L153" s="6">
        <f>IFERROR(__xludf.DUMMYFUNCTION("""COMPUTED_VALUE"""),0.0)</f>
        <v>0</v>
      </c>
      <c r="M153" s="6">
        <f>IFERROR(__xludf.DUMMYFUNCTION("""COMPUTED_VALUE"""),1.0)</f>
        <v>1</v>
      </c>
      <c r="N153" s="6">
        <f>IFERROR(__xludf.DUMMYFUNCTION("""COMPUTED_VALUE"""),1.0)</f>
        <v>1</v>
      </c>
      <c r="O153" s="6">
        <f>IFERROR(__xludf.DUMMYFUNCTION("""COMPUTED_VALUE"""),1.0)</f>
        <v>1</v>
      </c>
      <c r="P153" s="6">
        <f>IFERROR(__xludf.DUMMYFUNCTION("""COMPUTED_VALUE"""),0.0)</f>
        <v>0</v>
      </c>
      <c r="Q153" s="6">
        <f>IFERROR(__xludf.DUMMYFUNCTION("""COMPUTED_VALUE"""),0.0)</f>
        <v>0</v>
      </c>
      <c r="R153" s="6">
        <f>IFERROR(__xludf.DUMMYFUNCTION("""COMPUTED_VALUE"""),0.0)</f>
        <v>0</v>
      </c>
      <c r="S153" s="6">
        <f>IFERROR(__xludf.DUMMYFUNCTION("""COMPUTED_VALUE"""),0.0)</f>
        <v>0</v>
      </c>
      <c r="T153" s="6">
        <f>IFERROR(__xludf.DUMMYFUNCTION("""COMPUTED_VALUE"""),0.0)</f>
        <v>0</v>
      </c>
      <c r="U153" s="6">
        <f>IFERROR(__xludf.DUMMYFUNCTION("""COMPUTED_VALUE"""),0.0)</f>
        <v>0</v>
      </c>
      <c r="V153" s="4">
        <f t="shared" ref="V153:X153" si="152">SUM(D153, G153, J153, M153, P153, S153)</f>
        <v>3</v>
      </c>
      <c r="W153" s="4">
        <f t="shared" si="152"/>
        <v>3</v>
      </c>
      <c r="X153" s="4">
        <f t="shared" si="152"/>
        <v>3</v>
      </c>
    </row>
    <row r="154">
      <c r="A154" s="4" t="str">
        <f>IFERROR(__xludf.DUMMYFUNCTION("""COMPUTED_VALUE"""),"Школа 1290")</f>
        <v>Школа 1290</v>
      </c>
      <c r="B154" s="4" t="str">
        <f t="array" ref="B154">IFERROR(INDEX('Адреса школ'!F:F, MATCH(A154, 'Адреса школ'!E:E, 0)), "")</f>
        <v>55.793723, 37.793166</v>
      </c>
      <c r="C154" s="5" t="str">
        <f t="array" ref="C154">IFERROR(INDEX('Топ-400'!A:A, MATCH(A154, 'Топ-400'!E:E, 0)), "Вне рейтинга")</f>
        <v>74</v>
      </c>
      <c r="D154" s="6">
        <f>IFERROR(__xludf.DUMMYFUNCTION("""COMPUTED_VALUE"""),0.0)</f>
        <v>0</v>
      </c>
      <c r="E154" s="6">
        <f>IFERROR(__xludf.DUMMYFUNCTION("""COMPUTED_VALUE"""),0.0)</f>
        <v>0</v>
      </c>
      <c r="F154" s="6">
        <f>IFERROR(__xludf.DUMMYFUNCTION("""COMPUTED_VALUE"""),0.0)</f>
        <v>0</v>
      </c>
      <c r="G154" s="6">
        <f>IFERROR(__xludf.DUMMYFUNCTION("""COMPUTED_VALUE"""),0.0)</f>
        <v>0</v>
      </c>
      <c r="H154" s="6">
        <f>IFERROR(__xludf.DUMMYFUNCTION("""COMPUTED_VALUE"""),0.0)</f>
        <v>0</v>
      </c>
      <c r="I154" s="6">
        <f>IFERROR(__xludf.DUMMYFUNCTION("""COMPUTED_VALUE"""),0.0)</f>
        <v>0</v>
      </c>
      <c r="J154" s="6">
        <f>IFERROR(__xludf.DUMMYFUNCTION("""COMPUTED_VALUE"""),0.0)</f>
        <v>0</v>
      </c>
      <c r="K154" s="6">
        <f>IFERROR(__xludf.DUMMYFUNCTION("""COMPUTED_VALUE"""),0.0)</f>
        <v>0</v>
      </c>
      <c r="L154" s="6">
        <f>IFERROR(__xludf.DUMMYFUNCTION("""COMPUTED_VALUE"""),1.0)</f>
        <v>1</v>
      </c>
      <c r="M154" s="6">
        <f>IFERROR(__xludf.DUMMYFUNCTION("""COMPUTED_VALUE"""),1.0)</f>
        <v>1</v>
      </c>
      <c r="N154" s="6">
        <f>IFERROR(__xludf.DUMMYFUNCTION("""COMPUTED_VALUE"""),0.0)</f>
        <v>0</v>
      </c>
      <c r="O154" s="6">
        <f>IFERROR(__xludf.DUMMYFUNCTION("""COMPUTED_VALUE"""),1.0)</f>
        <v>1</v>
      </c>
      <c r="P154" s="6">
        <f>IFERROR(__xludf.DUMMYFUNCTION("""COMPUTED_VALUE"""),1.0)</f>
        <v>1</v>
      </c>
      <c r="Q154" s="6">
        <f>IFERROR(__xludf.DUMMYFUNCTION("""COMPUTED_VALUE"""),1.0)</f>
        <v>1</v>
      </c>
      <c r="R154" s="6">
        <f>IFERROR(__xludf.DUMMYFUNCTION("""COMPUTED_VALUE"""),0.0)</f>
        <v>0</v>
      </c>
      <c r="S154" s="6">
        <f>IFERROR(__xludf.DUMMYFUNCTION("""COMPUTED_VALUE"""),0.0)</f>
        <v>0</v>
      </c>
      <c r="T154" s="6">
        <f>IFERROR(__xludf.DUMMYFUNCTION("""COMPUTED_VALUE"""),0.0)</f>
        <v>0</v>
      </c>
      <c r="U154" s="6">
        <f>IFERROR(__xludf.DUMMYFUNCTION("""COMPUTED_VALUE"""),0.0)</f>
        <v>0</v>
      </c>
      <c r="V154" s="4">
        <f t="shared" ref="V154:X154" si="153">SUM(D154, G154, J154, M154, P154, S154)</f>
        <v>2</v>
      </c>
      <c r="W154" s="4">
        <f t="shared" si="153"/>
        <v>1</v>
      </c>
      <c r="X154" s="4">
        <f t="shared" si="153"/>
        <v>2</v>
      </c>
    </row>
    <row r="155">
      <c r="A155" s="4" t="str">
        <f>IFERROR(__xludf.DUMMYFUNCTION("""COMPUTED_VALUE"""),"Школа 1293")</f>
        <v>Школа 1293</v>
      </c>
      <c r="B155" s="4" t="str">
        <f t="array" ref="B155">IFERROR(INDEX('Адреса школ'!F:F, MATCH(A155, 'Адреса школ'!E:E, 0)), "")</f>
        <v>55.742939, 37.410583</v>
      </c>
      <c r="C155" s="5" t="str">
        <f t="array" ref="C155">IFERROR(INDEX('Топ-400'!A:A, MATCH(A155, 'Топ-400'!E:E, 0)), "Вне рейтинга")</f>
        <v>178</v>
      </c>
      <c r="D155" s="6">
        <f>IFERROR(__xludf.DUMMYFUNCTION("""COMPUTED_VALUE"""),1.0)</f>
        <v>1</v>
      </c>
      <c r="E155" s="6">
        <f>IFERROR(__xludf.DUMMYFUNCTION("""COMPUTED_VALUE"""),1.0)</f>
        <v>1</v>
      </c>
      <c r="F155" s="6">
        <f>IFERROR(__xludf.DUMMYFUNCTION("""COMPUTED_VALUE"""),1.0)</f>
        <v>1</v>
      </c>
      <c r="G155" s="6">
        <f>IFERROR(__xludf.DUMMYFUNCTION("""COMPUTED_VALUE"""),1.0)</f>
        <v>1</v>
      </c>
      <c r="H155" s="6">
        <f>IFERROR(__xludf.DUMMYFUNCTION("""COMPUTED_VALUE"""),0.0)</f>
        <v>0</v>
      </c>
      <c r="I155" s="6">
        <f>IFERROR(__xludf.DUMMYFUNCTION("""COMPUTED_VALUE"""),0.0)</f>
        <v>0</v>
      </c>
      <c r="J155" s="6">
        <f>IFERROR(__xludf.DUMMYFUNCTION("""COMPUTED_VALUE"""),0.0)</f>
        <v>0</v>
      </c>
      <c r="K155" s="6">
        <f>IFERROR(__xludf.DUMMYFUNCTION("""COMPUTED_VALUE"""),0.0)</f>
        <v>0</v>
      </c>
      <c r="L155" s="6">
        <f>IFERROR(__xludf.DUMMYFUNCTION("""COMPUTED_VALUE"""),0.0)</f>
        <v>0</v>
      </c>
      <c r="M155" s="6">
        <f>IFERROR(__xludf.DUMMYFUNCTION("""COMPUTED_VALUE"""),0.0)</f>
        <v>0</v>
      </c>
      <c r="N155" s="6">
        <f>IFERROR(__xludf.DUMMYFUNCTION("""COMPUTED_VALUE"""),1.0)</f>
        <v>1</v>
      </c>
      <c r="O155" s="6">
        <f>IFERROR(__xludf.DUMMYFUNCTION("""COMPUTED_VALUE"""),1.0)</f>
        <v>1</v>
      </c>
      <c r="P155" s="6">
        <f>IFERROR(__xludf.DUMMYFUNCTION("""COMPUTED_VALUE"""),1.0)</f>
        <v>1</v>
      </c>
      <c r="Q155" s="6">
        <f>IFERROR(__xludf.DUMMYFUNCTION("""COMPUTED_VALUE"""),1.0)</f>
        <v>1</v>
      </c>
      <c r="R155" s="6">
        <f>IFERROR(__xludf.DUMMYFUNCTION("""COMPUTED_VALUE"""),0.0)</f>
        <v>0</v>
      </c>
      <c r="S155" s="6">
        <f>IFERROR(__xludf.DUMMYFUNCTION("""COMPUTED_VALUE"""),0.0)</f>
        <v>0</v>
      </c>
      <c r="T155" s="6">
        <f>IFERROR(__xludf.DUMMYFUNCTION("""COMPUTED_VALUE"""),0.0)</f>
        <v>0</v>
      </c>
      <c r="U155" s="6">
        <f>IFERROR(__xludf.DUMMYFUNCTION("""COMPUTED_VALUE"""),0.0)</f>
        <v>0</v>
      </c>
      <c r="V155" s="4">
        <f t="shared" ref="V155:X155" si="154">SUM(D155, G155, J155, M155, P155, S155)</f>
        <v>3</v>
      </c>
      <c r="W155" s="4">
        <f t="shared" si="154"/>
        <v>3</v>
      </c>
      <c r="X155" s="4">
        <f t="shared" si="154"/>
        <v>2</v>
      </c>
    </row>
    <row r="156">
      <c r="A156" s="4" t="str">
        <f>IFERROR(__xludf.DUMMYFUNCTION("""COMPUTED_VALUE"""),"Школа 1296")</f>
        <v>Школа 1296</v>
      </c>
      <c r="B156" s="4" t="str">
        <f t="array" ref="B156">IFERROR(INDEX('Адреса школ'!F:F, MATCH(A156, 'Адреса школ'!E:E, 0)), "")</f>
        <v>55.877385, 37.562667</v>
      </c>
      <c r="C156" s="5" t="str">
        <f t="array" ref="C156">IFERROR(INDEX('Топ-400'!A:A, MATCH(A156, 'Топ-400'!E:E, 0)), "Вне рейтинга")</f>
        <v>331</v>
      </c>
      <c r="D156" s="6">
        <f>IFERROR(__xludf.DUMMYFUNCTION("""COMPUTED_VALUE"""),0.0)</f>
        <v>0</v>
      </c>
      <c r="E156" s="6">
        <f>IFERROR(__xludf.DUMMYFUNCTION("""COMPUTED_VALUE"""),0.0)</f>
        <v>0</v>
      </c>
      <c r="F156" s="6">
        <f>IFERROR(__xludf.DUMMYFUNCTION("""COMPUTED_VALUE"""),0.0)</f>
        <v>0</v>
      </c>
      <c r="G156" s="6">
        <f>IFERROR(__xludf.DUMMYFUNCTION("""COMPUTED_VALUE"""),0.0)</f>
        <v>0</v>
      </c>
      <c r="H156" s="6">
        <f>IFERROR(__xludf.DUMMYFUNCTION("""COMPUTED_VALUE"""),0.0)</f>
        <v>0</v>
      </c>
      <c r="I156" s="6">
        <f>IFERROR(__xludf.DUMMYFUNCTION("""COMPUTED_VALUE"""),0.0)</f>
        <v>0</v>
      </c>
      <c r="J156" s="6">
        <f>IFERROR(__xludf.DUMMYFUNCTION("""COMPUTED_VALUE"""),0.0)</f>
        <v>0</v>
      </c>
      <c r="K156" s="6">
        <f>IFERROR(__xludf.DUMMYFUNCTION("""COMPUTED_VALUE"""),0.0)</f>
        <v>0</v>
      </c>
      <c r="L156" s="6">
        <f>IFERROR(__xludf.DUMMYFUNCTION("""COMPUTED_VALUE"""),0.0)</f>
        <v>0</v>
      </c>
      <c r="M156" s="6">
        <f>IFERROR(__xludf.DUMMYFUNCTION("""COMPUTED_VALUE"""),0.0)</f>
        <v>0</v>
      </c>
      <c r="N156" s="6">
        <f>IFERROR(__xludf.DUMMYFUNCTION("""COMPUTED_VALUE"""),1.0)</f>
        <v>1</v>
      </c>
      <c r="O156" s="6">
        <f>IFERROR(__xludf.DUMMYFUNCTION("""COMPUTED_VALUE"""),1.0)</f>
        <v>1</v>
      </c>
      <c r="P156" s="6">
        <f>IFERROR(__xludf.DUMMYFUNCTION("""COMPUTED_VALUE"""),0.0)</f>
        <v>0</v>
      </c>
      <c r="Q156" s="6">
        <f>IFERROR(__xludf.DUMMYFUNCTION("""COMPUTED_VALUE"""),0.0)</f>
        <v>0</v>
      </c>
      <c r="R156" s="6">
        <f>IFERROR(__xludf.DUMMYFUNCTION("""COMPUTED_VALUE"""),0.0)</f>
        <v>0</v>
      </c>
      <c r="S156" s="6">
        <f>IFERROR(__xludf.DUMMYFUNCTION("""COMPUTED_VALUE"""),0.0)</f>
        <v>0</v>
      </c>
      <c r="T156" s="6">
        <f>IFERROR(__xludf.DUMMYFUNCTION("""COMPUTED_VALUE"""),0.0)</f>
        <v>0</v>
      </c>
      <c r="U156" s="6">
        <f>IFERROR(__xludf.DUMMYFUNCTION("""COMPUTED_VALUE"""),0.0)</f>
        <v>0</v>
      </c>
      <c r="V156" s="4">
        <f t="shared" ref="V156:X156" si="155">SUM(D156, G156, J156, M156, P156, S156)</f>
        <v>0</v>
      </c>
      <c r="W156" s="4">
        <f t="shared" si="155"/>
        <v>1</v>
      </c>
      <c r="X156" s="4">
        <f t="shared" si="155"/>
        <v>1</v>
      </c>
    </row>
    <row r="157">
      <c r="A157" s="4" t="str">
        <f>IFERROR(__xludf.DUMMYFUNCTION("""COMPUTED_VALUE"""),"Школа 1298")</f>
        <v>Школа 1298</v>
      </c>
      <c r="B157" s="4" t="str">
        <f t="array" ref="B157">IFERROR(INDEX('Адреса школ'!F:F, MATCH(A157, 'Адреса школ'!E:E, 0)), "")</f>
        <v>55.900133, 37.382393</v>
      </c>
      <c r="C157" s="5" t="str">
        <f t="array" ref="C157">IFERROR(INDEX('Топ-400'!A:A, MATCH(A157, 'Топ-400'!E:E, 0)), "Вне рейтинга")</f>
        <v>49</v>
      </c>
      <c r="D157" s="6">
        <f>IFERROR(__xludf.DUMMYFUNCTION("""COMPUTED_VALUE"""),1.0)</f>
        <v>1</v>
      </c>
      <c r="E157" s="6">
        <f>IFERROR(__xludf.DUMMYFUNCTION("""COMPUTED_VALUE"""),1.0)</f>
        <v>1</v>
      </c>
      <c r="F157" s="6">
        <f>IFERROR(__xludf.DUMMYFUNCTION("""COMPUTED_VALUE"""),1.0)</f>
        <v>1</v>
      </c>
      <c r="G157" s="6">
        <f>IFERROR(__xludf.DUMMYFUNCTION("""COMPUTED_VALUE"""),1.0)</f>
        <v>1</v>
      </c>
      <c r="H157" s="6">
        <f>IFERROR(__xludf.DUMMYFUNCTION("""COMPUTED_VALUE"""),1.0)</f>
        <v>1</v>
      </c>
      <c r="I157" s="6">
        <f>IFERROR(__xludf.DUMMYFUNCTION("""COMPUTED_VALUE"""),1.0)</f>
        <v>1</v>
      </c>
      <c r="J157" s="6">
        <f>IFERROR(__xludf.DUMMYFUNCTION("""COMPUTED_VALUE"""),1.0)</f>
        <v>1</v>
      </c>
      <c r="K157" s="6">
        <f>IFERROR(__xludf.DUMMYFUNCTION("""COMPUTED_VALUE"""),1.0)</f>
        <v>1</v>
      </c>
      <c r="L157" s="6">
        <f>IFERROR(__xludf.DUMMYFUNCTION("""COMPUTED_VALUE"""),1.0)</f>
        <v>1</v>
      </c>
      <c r="M157" s="6">
        <f>IFERROR(__xludf.DUMMYFUNCTION("""COMPUTED_VALUE"""),1.0)</f>
        <v>1</v>
      </c>
      <c r="N157" s="6">
        <f>IFERROR(__xludf.DUMMYFUNCTION("""COMPUTED_VALUE"""),1.0)</f>
        <v>1</v>
      </c>
      <c r="O157" s="6">
        <f>IFERROR(__xludf.DUMMYFUNCTION("""COMPUTED_VALUE"""),1.0)</f>
        <v>1</v>
      </c>
      <c r="P157" s="6">
        <f>IFERROR(__xludf.DUMMYFUNCTION("""COMPUTED_VALUE"""),1.0)</f>
        <v>1</v>
      </c>
      <c r="Q157" s="6">
        <f>IFERROR(__xludf.DUMMYFUNCTION("""COMPUTED_VALUE"""),1.0)</f>
        <v>1</v>
      </c>
      <c r="R157" s="6">
        <f>IFERROR(__xludf.DUMMYFUNCTION("""COMPUTED_VALUE"""),1.0)</f>
        <v>1</v>
      </c>
      <c r="S157" s="6">
        <f>IFERROR(__xludf.DUMMYFUNCTION("""COMPUTED_VALUE"""),0.0)</f>
        <v>0</v>
      </c>
      <c r="T157" s="6">
        <f>IFERROR(__xludf.DUMMYFUNCTION("""COMPUTED_VALUE"""),0.0)</f>
        <v>0</v>
      </c>
      <c r="U157" s="6">
        <f>IFERROR(__xludf.DUMMYFUNCTION("""COMPUTED_VALUE"""),0.0)</f>
        <v>0</v>
      </c>
      <c r="V157" s="4">
        <f t="shared" ref="V157:X157" si="156">SUM(D157, G157, J157, M157, P157, S157)</f>
        <v>5</v>
      </c>
      <c r="W157" s="4">
        <f t="shared" si="156"/>
        <v>5</v>
      </c>
      <c r="X157" s="4">
        <f t="shared" si="156"/>
        <v>5</v>
      </c>
    </row>
    <row r="158">
      <c r="A158" s="4" t="str">
        <f>IFERROR(__xludf.DUMMYFUNCTION("""COMPUTED_VALUE"""),"Школа 1302")</f>
        <v>Школа 1302</v>
      </c>
      <c r="B158" s="4" t="str">
        <f t="array" ref="B158">IFERROR(INDEX('Адреса школ'!F:F, MATCH(A158, 'Адреса школ'!E:E, 0)), "")</f>
        <v>55.806803, 37.41944</v>
      </c>
      <c r="C158" s="5" t="str">
        <f t="array" ref="C158">IFERROR(INDEX('Топ-400'!A:A, MATCH(A158, 'Топ-400'!E:E, 0)), "Вне рейтинга")</f>
        <v>270</v>
      </c>
      <c r="D158" s="6">
        <f>IFERROR(__xludf.DUMMYFUNCTION("""COMPUTED_VALUE"""),0.0)</f>
        <v>0</v>
      </c>
      <c r="E158" s="6">
        <f>IFERROR(__xludf.DUMMYFUNCTION("""COMPUTED_VALUE"""),0.0)</f>
        <v>0</v>
      </c>
      <c r="F158" s="6">
        <f>IFERROR(__xludf.DUMMYFUNCTION("""COMPUTED_VALUE"""),0.0)</f>
        <v>0</v>
      </c>
      <c r="G158" s="6">
        <f>IFERROR(__xludf.DUMMYFUNCTION("""COMPUTED_VALUE"""),0.0)</f>
        <v>0</v>
      </c>
      <c r="H158" s="6">
        <f>IFERROR(__xludf.DUMMYFUNCTION("""COMPUTED_VALUE"""),0.0)</f>
        <v>0</v>
      </c>
      <c r="I158" s="6">
        <f>IFERROR(__xludf.DUMMYFUNCTION("""COMPUTED_VALUE"""),0.0)</f>
        <v>0</v>
      </c>
      <c r="J158" s="6">
        <f>IFERROR(__xludf.DUMMYFUNCTION("""COMPUTED_VALUE"""),1.0)</f>
        <v>1</v>
      </c>
      <c r="K158" s="6">
        <f>IFERROR(__xludf.DUMMYFUNCTION("""COMPUTED_VALUE"""),0.0)</f>
        <v>0</v>
      </c>
      <c r="L158" s="6">
        <f>IFERROR(__xludf.DUMMYFUNCTION("""COMPUTED_VALUE"""),1.0)</f>
        <v>1</v>
      </c>
      <c r="M158" s="6">
        <f>IFERROR(__xludf.DUMMYFUNCTION("""COMPUTED_VALUE"""),1.0)</f>
        <v>1</v>
      </c>
      <c r="N158" s="6">
        <f>IFERROR(__xludf.DUMMYFUNCTION("""COMPUTED_VALUE"""),0.0)</f>
        <v>0</v>
      </c>
      <c r="O158" s="6">
        <f>IFERROR(__xludf.DUMMYFUNCTION("""COMPUTED_VALUE"""),1.0)</f>
        <v>1</v>
      </c>
      <c r="P158" s="6">
        <f>IFERROR(__xludf.DUMMYFUNCTION("""COMPUTED_VALUE"""),0.0)</f>
        <v>0</v>
      </c>
      <c r="Q158" s="6">
        <f>IFERROR(__xludf.DUMMYFUNCTION("""COMPUTED_VALUE"""),0.0)</f>
        <v>0</v>
      </c>
      <c r="R158" s="6">
        <f>IFERROR(__xludf.DUMMYFUNCTION("""COMPUTED_VALUE"""),0.0)</f>
        <v>0</v>
      </c>
      <c r="S158" s="6">
        <f>IFERROR(__xludf.DUMMYFUNCTION("""COMPUTED_VALUE"""),0.0)</f>
        <v>0</v>
      </c>
      <c r="T158" s="6">
        <f>IFERROR(__xludf.DUMMYFUNCTION("""COMPUTED_VALUE"""),0.0)</f>
        <v>0</v>
      </c>
      <c r="U158" s="6">
        <f>IFERROR(__xludf.DUMMYFUNCTION("""COMPUTED_VALUE"""),0.0)</f>
        <v>0</v>
      </c>
      <c r="V158" s="4">
        <f t="shared" ref="V158:X158" si="157">SUM(D158, G158, J158, M158, P158, S158)</f>
        <v>2</v>
      </c>
      <c r="W158" s="4">
        <f t="shared" si="157"/>
        <v>0</v>
      </c>
      <c r="X158" s="4">
        <f t="shared" si="157"/>
        <v>2</v>
      </c>
    </row>
    <row r="159">
      <c r="A159" s="4" t="str">
        <f>IFERROR(__xludf.DUMMYFUNCTION("""COMPUTED_VALUE"""),"Школа 1306")</f>
        <v>Школа 1306</v>
      </c>
      <c r="B159" s="4" t="str">
        <f t="array" ref="B159">IFERROR(INDEX('Адреса школ'!F:F, MATCH(A159, 'Адреса школ'!E:E, 0)), "")</f>
        <v>55.698224, 37.509083</v>
      </c>
      <c r="C159" s="5" t="str">
        <f t="array" ref="C159">IFERROR(INDEX('Топ-400'!A:A, MATCH(A159, 'Топ-400'!E:E, 0)), "Вне рейтинга")</f>
        <v>181</v>
      </c>
      <c r="D159" s="6">
        <f>IFERROR(__xludf.DUMMYFUNCTION("""COMPUTED_VALUE"""),0.0)</f>
        <v>0</v>
      </c>
      <c r="E159" s="6">
        <f>IFERROR(__xludf.DUMMYFUNCTION("""COMPUTED_VALUE"""),0.0)</f>
        <v>0</v>
      </c>
      <c r="F159" s="6">
        <f>IFERROR(__xludf.DUMMYFUNCTION("""COMPUTED_VALUE"""),0.0)</f>
        <v>0</v>
      </c>
      <c r="G159" s="6">
        <f>IFERROR(__xludf.DUMMYFUNCTION("""COMPUTED_VALUE"""),0.0)</f>
        <v>0</v>
      </c>
      <c r="H159" s="6">
        <f>IFERROR(__xludf.DUMMYFUNCTION("""COMPUTED_VALUE"""),0.0)</f>
        <v>0</v>
      </c>
      <c r="I159" s="6">
        <f>IFERROR(__xludf.DUMMYFUNCTION("""COMPUTED_VALUE"""),0.0)</f>
        <v>0</v>
      </c>
      <c r="J159" s="6">
        <f>IFERROR(__xludf.DUMMYFUNCTION("""COMPUTED_VALUE"""),0.0)</f>
        <v>0</v>
      </c>
      <c r="K159" s="6">
        <f>IFERROR(__xludf.DUMMYFUNCTION("""COMPUTED_VALUE"""),0.0)</f>
        <v>0</v>
      </c>
      <c r="L159" s="6">
        <f>IFERROR(__xludf.DUMMYFUNCTION("""COMPUTED_VALUE"""),0.0)</f>
        <v>0</v>
      </c>
      <c r="M159" s="6">
        <f>IFERROR(__xludf.DUMMYFUNCTION("""COMPUTED_VALUE"""),0.0)</f>
        <v>0</v>
      </c>
      <c r="N159" s="6">
        <f>IFERROR(__xludf.DUMMYFUNCTION("""COMPUTED_VALUE"""),0.0)</f>
        <v>0</v>
      </c>
      <c r="O159" s="6">
        <f>IFERROR(__xludf.DUMMYFUNCTION("""COMPUTED_VALUE"""),0.0)</f>
        <v>0</v>
      </c>
      <c r="P159" s="6">
        <f>IFERROR(__xludf.DUMMYFUNCTION("""COMPUTED_VALUE"""),1.0)</f>
        <v>1</v>
      </c>
      <c r="Q159" s="6">
        <f>IFERROR(__xludf.DUMMYFUNCTION("""COMPUTED_VALUE"""),1.0)</f>
        <v>1</v>
      </c>
      <c r="R159" s="6">
        <f>IFERROR(__xludf.DUMMYFUNCTION("""COMPUTED_VALUE"""),1.0)</f>
        <v>1</v>
      </c>
      <c r="S159" s="6">
        <f>IFERROR(__xludf.DUMMYFUNCTION("""COMPUTED_VALUE"""),0.0)</f>
        <v>0</v>
      </c>
      <c r="T159" s="6">
        <f>IFERROR(__xludf.DUMMYFUNCTION("""COMPUTED_VALUE"""),0.0)</f>
        <v>0</v>
      </c>
      <c r="U159" s="6">
        <f>IFERROR(__xludf.DUMMYFUNCTION("""COMPUTED_VALUE"""),0.0)</f>
        <v>0</v>
      </c>
      <c r="V159" s="4">
        <f t="shared" ref="V159:X159" si="158">SUM(D159, G159, J159, M159, P159, S159)</f>
        <v>1</v>
      </c>
      <c r="W159" s="4">
        <f t="shared" si="158"/>
        <v>1</v>
      </c>
      <c r="X159" s="4">
        <f t="shared" si="158"/>
        <v>1</v>
      </c>
    </row>
    <row r="160">
      <c r="A160" s="4" t="str">
        <f>IFERROR(__xludf.DUMMYFUNCTION("""COMPUTED_VALUE"""),"Школа 1310")</f>
        <v>Школа 1310</v>
      </c>
      <c r="B160" s="4" t="str">
        <f t="array" ref="B160">IFERROR(INDEX('Адреса школ'!F:F, MATCH(A160, 'Адреса школ'!E:E, 0)), "")</f>
        <v>55.743213, 37.782198</v>
      </c>
      <c r="C160" s="5" t="str">
        <f t="array" ref="C160">IFERROR(INDEX('Топ-400'!A:A, MATCH(A160, 'Топ-400'!E:E, 0)), "Вне рейтинга")</f>
        <v>Вне рейтинга</v>
      </c>
      <c r="D160" s="6">
        <f>IFERROR(__xludf.DUMMYFUNCTION("""COMPUTED_VALUE"""),0.0)</f>
        <v>0</v>
      </c>
      <c r="E160" s="6">
        <f>IFERROR(__xludf.DUMMYFUNCTION("""COMPUTED_VALUE"""),0.0)</f>
        <v>0</v>
      </c>
      <c r="F160" s="6">
        <f>IFERROR(__xludf.DUMMYFUNCTION("""COMPUTED_VALUE"""),0.0)</f>
        <v>0</v>
      </c>
      <c r="G160" s="6">
        <f>IFERROR(__xludf.DUMMYFUNCTION("""COMPUTED_VALUE"""),0.0)</f>
        <v>0</v>
      </c>
      <c r="H160" s="6">
        <f>IFERROR(__xludf.DUMMYFUNCTION("""COMPUTED_VALUE"""),0.0)</f>
        <v>0</v>
      </c>
      <c r="I160" s="6">
        <f>IFERROR(__xludf.DUMMYFUNCTION("""COMPUTED_VALUE"""),0.0)</f>
        <v>0</v>
      </c>
      <c r="J160" s="6">
        <f>IFERROR(__xludf.DUMMYFUNCTION("""COMPUTED_VALUE"""),0.0)</f>
        <v>0</v>
      </c>
      <c r="K160" s="6">
        <f>IFERROR(__xludf.DUMMYFUNCTION("""COMPUTED_VALUE"""),0.0)</f>
        <v>0</v>
      </c>
      <c r="L160" s="6">
        <f>IFERROR(__xludf.DUMMYFUNCTION("""COMPUTED_VALUE"""),0.0)</f>
        <v>0</v>
      </c>
      <c r="M160" s="6">
        <f>IFERROR(__xludf.DUMMYFUNCTION("""COMPUTED_VALUE"""),1.0)</f>
        <v>1</v>
      </c>
      <c r="N160" s="6">
        <f>IFERROR(__xludf.DUMMYFUNCTION("""COMPUTED_VALUE"""),0.0)</f>
        <v>0</v>
      </c>
      <c r="O160" s="6">
        <f>IFERROR(__xludf.DUMMYFUNCTION("""COMPUTED_VALUE"""),0.0)</f>
        <v>0</v>
      </c>
      <c r="P160" s="6">
        <f>IFERROR(__xludf.DUMMYFUNCTION("""COMPUTED_VALUE"""),0.0)</f>
        <v>0</v>
      </c>
      <c r="Q160" s="6">
        <f>IFERROR(__xludf.DUMMYFUNCTION("""COMPUTED_VALUE"""),0.0)</f>
        <v>0</v>
      </c>
      <c r="R160" s="6">
        <f>IFERROR(__xludf.DUMMYFUNCTION("""COMPUTED_VALUE"""),0.0)</f>
        <v>0</v>
      </c>
      <c r="S160" s="6">
        <f>IFERROR(__xludf.DUMMYFUNCTION("""COMPUTED_VALUE"""),0.0)</f>
        <v>0</v>
      </c>
      <c r="T160" s="6">
        <f>IFERROR(__xludf.DUMMYFUNCTION("""COMPUTED_VALUE"""),0.0)</f>
        <v>0</v>
      </c>
      <c r="U160" s="6">
        <f>IFERROR(__xludf.DUMMYFUNCTION("""COMPUTED_VALUE"""),0.0)</f>
        <v>0</v>
      </c>
      <c r="V160" s="4">
        <f t="shared" ref="V160:X160" si="159">SUM(D160, G160, J160, M160, P160, S160)</f>
        <v>1</v>
      </c>
      <c r="W160" s="4">
        <f t="shared" si="159"/>
        <v>0</v>
      </c>
      <c r="X160" s="4">
        <f t="shared" si="159"/>
        <v>0</v>
      </c>
    </row>
    <row r="161">
      <c r="A161" s="4" t="str">
        <f>IFERROR(__xludf.DUMMYFUNCTION("""COMPUTED_VALUE"""),"Школа 1311")</f>
        <v>Школа 1311</v>
      </c>
      <c r="B161" s="4" t="str">
        <f t="array" ref="B161">IFERROR(INDEX('Адреса школ'!F:F, MATCH(A161, 'Адреса школ'!E:E, 0)), "")</f>
        <v>55.671493, 37.523797</v>
      </c>
      <c r="C161" s="5" t="str">
        <f t="array" ref="C161">IFERROR(INDEX('Топ-400'!A:A, MATCH(A161, 'Топ-400'!E:E, 0)), "Вне рейтинга")</f>
        <v>Вне рейтинга</v>
      </c>
      <c r="D161" s="6">
        <f>IFERROR(__xludf.DUMMYFUNCTION("""COMPUTED_VALUE"""),0.0)</f>
        <v>0</v>
      </c>
      <c r="E161" s="6">
        <f>IFERROR(__xludf.DUMMYFUNCTION("""COMPUTED_VALUE"""),0.0)</f>
        <v>0</v>
      </c>
      <c r="F161" s="6">
        <f>IFERROR(__xludf.DUMMYFUNCTION("""COMPUTED_VALUE"""),0.0)</f>
        <v>0</v>
      </c>
      <c r="G161" s="6">
        <f>IFERROR(__xludf.DUMMYFUNCTION("""COMPUTED_VALUE"""),0.0)</f>
        <v>0</v>
      </c>
      <c r="H161" s="6">
        <f>IFERROR(__xludf.DUMMYFUNCTION("""COMPUTED_VALUE"""),0.0)</f>
        <v>0</v>
      </c>
      <c r="I161" s="6">
        <f>IFERROR(__xludf.DUMMYFUNCTION("""COMPUTED_VALUE"""),0.0)</f>
        <v>0</v>
      </c>
      <c r="J161" s="6">
        <f>IFERROR(__xludf.DUMMYFUNCTION("""COMPUTED_VALUE"""),0.0)</f>
        <v>0</v>
      </c>
      <c r="K161" s="6">
        <f>IFERROR(__xludf.DUMMYFUNCTION("""COMPUTED_VALUE"""),0.0)</f>
        <v>0</v>
      </c>
      <c r="L161" s="6">
        <f>IFERROR(__xludf.DUMMYFUNCTION("""COMPUTED_VALUE"""),0.0)</f>
        <v>0</v>
      </c>
      <c r="M161" s="6">
        <f>IFERROR(__xludf.DUMMYFUNCTION("""COMPUTED_VALUE"""),1.0)</f>
        <v>1</v>
      </c>
      <c r="N161" s="6">
        <f>IFERROR(__xludf.DUMMYFUNCTION("""COMPUTED_VALUE"""),0.0)</f>
        <v>0</v>
      </c>
      <c r="O161" s="6">
        <f>IFERROR(__xludf.DUMMYFUNCTION("""COMPUTED_VALUE"""),0.0)</f>
        <v>0</v>
      </c>
      <c r="P161" s="6">
        <f>IFERROR(__xludf.DUMMYFUNCTION("""COMPUTED_VALUE"""),0.0)</f>
        <v>0</v>
      </c>
      <c r="Q161" s="6">
        <f>IFERROR(__xludf.DUMMYFUNCTION("""COMPUTED_VALUE"""),0.0)</f>
        <v>0</v>
      </c>
      <c r="R161" s="6">
        <f>IFERROR(__xludf.DUMMYFUNCTION("""COMPUTED_VALUE"""),1.0)</f>
        <v>1</v>
      </c>
      <c r="S161" s="6">
        <f>IFERROR(__xludf.DUMMYFUNCTION("""COMPUTED_VALUE"""),0.0)</f>
        <v>0</v>
      </c>
      <c r="T161" s="6">
        <f>IFERROR(__xludf.DUMMYFUNCTION("""COMPUTED_VALUE"""),0.0)</f>
        <v>0</v>
      </c>
      <c r="U161" s="6">
        <f>IFERROR(__xludf.DUMMYFUNCTION("""COMPUTED_VALUE"""),0.0)</f>
        <v>0</v>
      </c>
      <c r="V161" s="4">
        <f t="shared" ref="V161:X161" si="160">SUM(D161, G161, J161, M161, P161, S161)</f>
        <v>1</v>
      </c>
      <c r="W161" s="4">
        <f t="shared" si="160"/>
        <v>0</v>
      </c>
      <c r="X161" s="4">
        <f t="shared" si="160"/>
        <v>1</v>
      </c>
    </row>
    <row r="162">
      <c r="A162" s="4" t="str">
        <f>IFERROR(__xludf.DUMMYFUNCTION("""COMPUTED_VALUE"""),"Школа 1315")</f>
        <v>Школа 1315</v>
      </c>
      <c r="B162" s="4" t="str">
        <f t="array" ref="B162">IFERROR(INDEX('Адреса школ'!F:F, MATCH(A162, 'Адреса школ'!E:E, 0)), "")</f>
        <v>55.845895, 37.481154</v>
      </c>
      <c r="C162" s="5" t="str">
        <f t="array" ref="C162">IFERROR(INDEX('Топ-400'!A:A, MATCH(A162, 'Топ-400'!E:E, 0)), "Вне рейтинга")</f>
        <v>188</v>
      </c>
      <c r="D162" s="6">
        <f>IFERROR(__xludf.DUMMYFUNCTION("""COMPUTED_VALUE"""),1.0)</f>
        <v>1</v>
      </c>
      <c r="E162" s="6">
        <f>IFERROR(__xludf.DUMMYFUNCTION("""COMPUTED_VALUE"""),1.0)</f>
        <v>1</v>
      </c>
      <c r="F162" s="6">
        <f>IFERROR(__xludf.DUMMYFUNCTION("""COMPUTED_VALUE"""),1.0)</f>
        <v>1</v>
      </c>
      <c r="G162" s="6">
        <f>IFERROR(__xludf.DUMMYFUNCTION("""COMPUTED_VALUE"""),0.0)</f>
        <v>0</v>
      </c>
      <c r="H162" s="6">
        <f>IFERROR(__xludf.DUMMYFUNCTION("""COMPUTED_VALUE"""),0.0)</f>
        <v>0</v>
      </c>
      <c r="I162" s="6">
        <f>IFERROR(__xludf.DUMMYFUNCTION("""COMPUTED_VALUE"""),0.0)</f>
        <v>0</v>
      </c>
      <c r="J162" s="6">
        <f>IFERROR(__xludf.DUMMYFUNCTION("""COMPUTED_VALUE"""),0.0)</f>
        <v>0</v>
      </c>
      <c r="K162" s="6">
        <f>IFERROR(__xludf.DUMMYFUNCTION("""COMPUTED_VALUE"""),0.0)</f>
        <v>0</v>
      </c>
      <c r="L162" s="6">
        <f>IFERROR(__xludf.DUMMYFUNCTION("""COMPUTED_VALUE"""),0.0)</f>
        <v>0</v>
      </c>
      <c r="M162" s="6">
        <f>IFERROR(__xludf.DUMMYFUNCTION("""COMPUTED_VALUE"""),1.0)</f>
        <v>1</v>
      </c>
      <c r="N162" s="6">
        <f>IFERROR(__xludf.DUMMYFUNCTION("""COMPUTED_VALUE"""),0.0)</f>
        <v>0</v>
      </c>
      <c r="O162" s="6">
        <f>IFERROR(__xludf.DUMMYFUNCTION("""COMPUTED_VALUE"""),1.0)</f>
        <v>1</v>
      </c>
      <c r="P162" s="6">
        <f>IFERROR(__xludf.DUMMYFUNCTION("""COMPUTED_VALUE"""),0.0)</f>
        <v>0</v>
      </c>
      <c r="Q162" s="6">
        <f>IFERROR(__xludf.DUMMYFUNCTION("""COMPUTED_VALUE"""),0.0)</f>
        <v>0</v>
      </c>
      <c r="R162" s="6">
        <f>IFERROR(__xludf.DUMMYFUNCTION("""COMPUTED_VALUE"""),0.0)</f>
        <v>0</v>
      </c>
      <c r="S162" s="6">
        <f>IFERROR(__xludf.DUMMYFUNCTION("""COMPUTED_VALUE"""),0.0)</f>
        <v>0</v>
      </c>
      <c r="T162" s="6">
        <f>IFERROR(__xludf.DUMMYFUNCTION("""COMPUTED_VALUE"""),0.0)</f>
        <v>0</v>
      </c>
      <c r="U162" s="6">
        <f>IFERROR(__xludf.DUMMYFUNCTION("""COMPUTED_VALUE"""),0.0)</f>
        <v>0</v>
      </c>
      <c r="V162" s="4">
        <f t="shared" ref="V162:X162" si="161">SUM(D162, G162, J162, M162, P162, S162)</f>
        <v>2</v>
      </c>
      <c r="W162" s="4">
        <f t="shared" si="161"/>
        <v>1</v>
      </c>
      <c r="X162" s="4">
        <f t="shared" si="161"/>
        <v>2</v>
      </c>
    </row>
    <row r="163">
      <c r="A163" s="4" t="str">
        <f>IFERROR(__xludf.DUMMYFUNCTION("""COMPUTED_VALUE"""),"Школа 1317")</f>
        <v>Школа 1317</v>
      </c>
      <c r="B163" s="4" t="str">
        <f t="array" ref="B163">IFERROR(INDEX('Адреса школ'!F:F, MATCH(A163, 'Адреса школ'!E:E, 0)), "")</f>
        <v>55.671539, 37.470743</v>
      </c>
      <c r="C163" s="5" t="str">
        <f t="array" ref="C163">IFERROR(INDEX('Топ-400'!A:A, MATCH(A163, 'Топ-400'!E:E, 0)), "Вне рейтинга")</f>
        <v>30</v>
      </c>
      <c r="D163" s="6">
        <f>IFERROR(__xludf.DUMMYFUNCTION("""COMPUTED_VALUE"""),0.0)</f>
        <v>0</v>
      </c>
      <c r="E163" s="6">
        <f>IFERROR(__xludf.DUMMYFUNCTION("""COMPUTED_VALUE"""),0.0)</f>
        <v>0</v>
      </c>
      <c r="F163" s="6">
        <f>IFERROR(__xludf.DUMMYFUNCTION("""COMPUTED_VALUE"""),0.0)</f>
        <v>0</v>
      </c>
      <c r="G163" s="6">
        <f>IFERROR(__xludf.DUMMYFUNCTION("""COMPUTED_VALUE"""),0.0)</f>
        <v>0</v>
      </c>
      <c r="H163" s="6">
        <f>IFERROR(__xludf.DUMMYFUNCTION("""COMPUTED_VALUE"""),0.0)</f>
        <v>0</v>
      </c>
      <c r="I163" s="6">
        <f>IFERROR(__xludf.DUMMYFUNCTION("""COMPUTED_VALUE"""),0.0)</f>
        <v>0</v>
      </c>
      <c r="J163" s="6">
        <f>IFERROR(__xludf.DUMMYFUNCTION("""COMPUTED_VALUE"""),1.0)</f>
        <v>1</v>
      </c>
      <c r="K163" s="6">
        <f>IFERROR(__xludf.DUMMYFUNCTION("""COMPUTED_VALUE"""),1.0)</f>
        <v>1</v>
      </c>
      <c r="L163" s="6">
        <f>IFERROR(__xludf.DUMMYFUNCTION("""COMPUTED_VALUE"""),1.0)</f>
        <v>1</v>
      </c>
      <c r="M163" s="6">
        <f>IFERROR(__xludf.DUMMYFUNCTION("""COMPUTED_VALUE"""),0.0)</f>
        <v>0</v>
      </c>
      <c r="N163" s="6">
        <f>IFERROR(__xludf.DUMMYFUNCTION("""COMPUTED_VALUE"""),0.0)</f>
        <v>0</v>
      </c>
      <c r="O163" s="6">
        <f>IFERROR(__xludf.DUMMYFUNCTION("""COMPUTED_VALUE"""),0.0)</f>
        <v>0</v>
      </c>
      <c r="P163" s="6">
        <f>IFERROR(__xludf.DUMMYFUNCTION("""COMPUTED_VALUE"""),1.0)</f>
        <v>1</v>
      </c>
      <c r="Q163" s="6">
        <f>IFERROR(__xludf.DUMMYFUNCTION("""COMPUTED_VALUE"""),1.0)</f>
        <v>1</v>
      </c>
      <c r="R163" s="6">
        <f>IFERROR(__xludf.DUMMYFUNCTION("""COMPUTED_VALUE"""),1.0)</f>
        <v>1</v>
      </c>
      <c r="S163" s="6">
        <f>IFERROR(__xludf.DUMMYFUNCTION("""COMPUTED_VALUE"""),0.0)</f>
        <v>0</v>
      </c>
      <c r="T163" s="6">
        <f>IFERROR(__xludf.DUMMYFUNCTION("""COMPUTED_VALUE"""),0.0)</f>
        <v>0</v>
      </c>
      <c r="U163" s="6">
        <f>IFERROR(__xludf.DUMMYFUNCTION("""COMPUTED_VALUE"""),0.0)</f>
        <v>0</v>
      </c>
      <c r="V163" s="4">
        <f t="shared" ref="V163:X163" si="162">SUM(D163, G163, J163, M163, P163, S163)</f>
        <v>2</v>
      </c>
      <c r="W163" s="4">
        <f t="shared" si="162"/>
        <v>2</v>
      </c>
      <c r="X163" s="4">
        <f t="shared" si="162"/>
        <v>2</v>
      </c>
    </row>
    <row r="164">
      <c r="A164" s="4" t="str">
        <f>IFERROR(__xludf.DUMMYFUNCTION("""COMPUTED_VALUE"""),"Школа 1324")</f>
        <v>Школа 1324</v>
      </c>
      <c r="B164" s="4" t="str">
        <f t="array" ref="B164">IFERROR(INDEX('Адреса школ'!F:F, MATCH(A164, 'Адреса школ'!E:E, 0)), "")</f>
        <v>55.754887, 37.820187</v>
      </c>
      <c r="C164" s="5" t="str">
        <f t="array" ref="C164">IFERROR(INDEX('Топ-400'!A:A, MATCH(A164, 'Топ-400'!E:E, 0)), "Вне рейтинга")</f>
        <v>Вне рейтинга</v>
      </c>
      <c r="D164" s="6">
        <f>IFERROR(__xludf.DUMMYFUNCTION("""COMPUTED_VALUE"""),1.0)</f>
        <v>1</v>
      </c>
      <c r="E164" s="6">
        <f>IFERROR(__xludf.DUMMYFUNCTION("""COMPUTED_VALUE"""),1.0)</f>
        <v>1</v>
      </c>
      <c r="F164" s="6">
        <f>IFERROR(__xludf.DUMMYFUNCTION("""COMPUTED_VALUE"""),1.0)</f>
        <v>1</v>
      </c>
      <c r="G164" s="6">
        <f>IFERROR(__xludf.DUMMYFUNCTION("""COMPUTED_VALUE"""),0.0)</f>
        <v>0</v>
      </c>
      <c r="H164" s="6">
        <f>IFERROR(__xludf.DUMMYFUNCTION("""COMPUTED_VALUE"""),0.0)</f>
        <v>0</v>
      </c>
      <c r="I164" s="6">
        <f>IFERROR(__xludf.DUMMYFUNCTION("""COMPUTED_VALUE"""),0.0)</f>
        <v>0</v>
      </c>
      <c r="J164" s="6">
        <f>IFERROR(__xludf.DUMMYFUNCTION("""COMPUTED_VALUE"""),1.0)</f>
        <v>1</v>
      </c>
      <c r="K164" s="6">
        <f>IFERROR(__xludf.DUMMYFUNCTION("""COMPUTED_VALUE"""),0.0)</f>
        <v>0</v>
      </c>
      <c r="L164" s="6">
        <f>IFERROR(__xludf.DUMMYFUNCTION("""COMPUTED_VALUE"""),0.0)</f>
        <v>0</v>
      </c>
      <c r="M164" s="6">
        <f>IFERROR(__xludf.DUMMYFUNCTION("""COMPUTED_VALUE"""),1.0)</f>
        <v>1</v>
      </c>
      <c r="N164" s="6">
        <f>IFERROR(__xludf.DUMMYFUNCTION("""COMPUTED_VALUE"""),1.0)</f>
        <v>1</v>
      </c>
      <c r="O164" s="6">
        <f>IFERROR(__xludf.DUMMYFUNCTION("""COMPUTED_VALUE"""),1.0)</f>
        <v>1</v>
      </c>
      <c r="P164" s="6">
        <f>IFERROR(__xludf.DUMMYFUNCTION("""COMPUTED_VALUE"""),1.0)</f>
        <v>1</v>
      </c>
      <c r="Q164" s="6">
        <f>IFERROR(__xludf.DUMMYFUNCTION("""COMPUTED_VALUE"""),1.0)</f>
        <v>1</v>
      </c>
      <c r="R164" s="6">
        <f>IFERROR(__xludf.DUMMYFUNCTION("""COMPUTED_VALUE"""),1.0)</f>
        <v>1</v>
      </c>
      <c r="S164" s="6">
        <f>IFERROR(__xludf.DUMMYFUNCTION("""COMPUTED_VALUE"""),0.0)</f>
        <v>0</v>
      </c>
      <c r="T164" s="6">
        <f>IFERROR(__xludf.DUMMYFUNCTION("""COMPUTED_VALUE"""),0.0)</f>
        <v>0</v>
      </c>
      <c r="U164" s="6">
        <f>IFERROR(__xludf.DUMMYFUNCTION("""COMPUTED_VALUE"""),0.0)</f>
        <v>0</v>
      </c>
      <c r="V164" s="4">
        <f t="shared" ref="V164:X164" si="163">SUM(D164, G164, J164, M164, P164, S164)</f>
        <v>4</v>
      </c>
      <c r="W164" s="4">
        <f t="shared" si="163"/>
        <v>3</v>
      </c>
      <c r="X164" s="4">
        <f t="shared" si="163"/>
        <v>3</v>
      </c>
    </row>
    <row r="165">
      <c r="A165" s="4" t="str">
        <f>IFERROR(__xludf.DUMMYFUNCTION("""COMPUTED_VALUE"""),"Школа 1329")</f>
        <v>Школа 1329</v>
      </c>
      <c r="B165" s="4" t="str">
        <f t="array" ref="B165">IFERROR(INDEX('Адреса школ'!F:F, MATCH(A165, 'Адреса школ'!E:E, 0)), "")</f>
        <v>55.668914, 37.465002</v>
      </c>
      <c r="C165" s="5" t="str">
        <f t="array" ref="C165">IFERROR(INDEX('Топ-400'!A:A, MATCH(A165, 'Топ-400'!E:E, 0)), "Вне рейтинга")</f>
        <v>31</v>
      </c>
      <c r="D165" s="6">
        <f>IFERROR(__xludf.DUMMYFUNCTION("""COMPUTED_VALUE"""),1.0)</f>
        <v>1</v>
      </c>
      <c r="E165" s="6">
        <f>IFERROR(__xludf.DUMMYFUNCTION("""COMPUTED_VALUE"""),1.0)</f>
        <v>1</v>
      </c>
      <c r="F165" s="6">
        <f>IFERROR(__xludf.DUMMYFUNCTION("""COMPUTED_VALUE"""),1.0)</f>
        <v>1</v>
      </c>
      <c r="G165" s="6">
        <f>IFERROR(__xludf.DUMMYFUNCTION("""COMPUTED_VALUE"""),1.0)</f>
        <v>1</v>
      </c>
      <c r="H165" s="6">
        <f>IFERROR(__xludf.DUMMYFUNCTION("""COMPUTED_VALUE"""),0.0)</f>
        <v>0</v>
      </c>
      <c r="I165" s="6">
        <f>IFERROR(__xludf.DUMMYFUNCTION("""COMPUTED_VALUE"""),1.0)</f>
        <v>1</v>
      </c>
      <c r="J165" s="6">
        <f>IFERROR(__xludf.DUMMYFUNCTION("""COMPUTED_VALUE"""),1.0)</f>
        <v>1</v>
      </c>
      <c r="K165" s="6">
        <f>IFERROR(__xludf.DUMMYFUNCTION("""COMPUTED_VALUE"""),1.0)</f>
        <v>1</v>
      </c>
      <c r="L165" s="6">
        <f>IFERROR(__xludf.DUMMYFUNCTION("""COMPUTED_VALUE"""),1.0)</f>
        <v>1</v>
      </c>
      <c r="M165" s="6">
        <f>IFERROR(__xludf.DUMMYFUNCTION("""COMPUTED_VALUE"""),1.0)</f>
        <v>1</v>
      </c>
      <c r="N165" s="6">
        <f>IFERROR(__xludf.DUMMYFUNCTION("""COMPUTED_VALUE"""),0.0)</f>
        <v>0</v>
      </c>
      <c r="O165" s="6">
        <f>IFERROR(__xludf.DUMMYFUNCTION("""COMPUTED_VALUE"""),1.0)</f>
        <v>1</v>
      </c>
      <c r="P165" s="6">
        <f>IFERROR(__xludf.DUMMYFUNCTION("""COMPUTED_VALUE"""),1.0)</f>
        <v>1</v>
      </c>
      <c r="Q165" s="6">
        <f>IFERROR(__xludf.DUMMYFUNCTION("""COMPUTED_VALUE"""),1.0)</f>
        <v>1</v>
      </c>
      <c r="R165" s="6">
        <f>IFERROR(__xludf.DUMMYFUNCTION("""COMPUTED_VALUE"""),1.0)</f>
        <v>1</v>
      </c>
      <c r="S165" s="6">
        <f>IFERROR(__xludf.DUMMYFUNCTION("""COMPUTED_VALUE"""),0.0)</f>
        <v>0</v>
      </c>
      <c r="T165" s="6">
        <f>IFERROR(__xludf.DUMMYFUNCTION("""COMPUTED_VALUE"""),0.0)</f>
        <v>0</v>
      </c>
      <c r="U165" s="6">
        <f>IFERROR(__xludf.DUMMYFUNCTION("""COMPUTED_VALUE"""),0.0)</f>
        <v>0</v>
      </c>
      <c r="V165" s="4">
        <f t="shared" ref="V165:X165" si="164">SUM(D165, G165, J165, M165, P165, S165)</f>
        <v>5</v>
      </c>
      <c r="W165" s="4">
        <f t="shared" si="164"/>
        <v>3</v>
      </c>
      <c r="X165" s="4">
        <f t="shared" si="164"/>
        <v>5</v>
      </c>
    </row>
    <row r="166">
      <c r="A166" s="4" t="str">
        <f>IFERROR(__xludf.DUMMYFUNCTION("""COMPUTED_VALUE"""),"Школа 1347")</f>
        <v>Школа 1347</v>
      </c>
      <c r="B166" s="4" t="str">
        <f t="array" ref="B166">IFERROR(INDEX('Адреса школ'!F:F, MATCH(A166, 'Адреса школ'!E:E, 0)), "")</f>
        <v>55.65754, 37.40654</v>
      </c>
      <c r="C166" s="5" t="str">
        <f t="array" ref="C166">IFERROR(INDEX('Топ-400'!A:A, MATCH(A166, 'Топ-400'!E:E, 0)), "Вне рейтинга")</f>
        <v>184</v>
      </c>
      <c r="D166" s="6">
        <f>IFERROR(__xludf.DUMMYFUNCTION("""COMPUTED_VALUE"""),1.0)</f>
        <v>1</v>
      </c>
      <c r="E166" s="6">
        <f>IFERROR(__xludf.DUMMYFUNCTION("""COMPUTED_VALUE"""),0.0)</f>
        <v>0</v>
      </c>
      <c r="F166" s="6">
        <f>IFERROR(__xludf.DUMMYFUNCTION("""COMPUTED_VALUE"""),1.0)</f>
        <v>1</v>
      </c>
      <c r="G166" s="6">
        <f>IFERROR(__xludf.DUMMYFUNCTION("""COMPUTED_VALUE"""),0.0)</f>
        <v>0</v>
      </c>
      <c r="H166" s="6">
        <f>IFERROR(__xludf.DUMMYFUNCTION("""COMPUTED_VALUE"""),0.0)</f>
        <v>0</v>
      </c>
      <c r="I166" s="6">
        <f>IFERROR(__xludf.DUMMYFUNCTION("""COMPUTED_VALUE"""),1.0)</f>
        <v>1</v>
      </c>
      <c r="J166" s="6">
        <f>IFERROR(__xludf.DUMMYFUNCTION("""COMPUTED_VALUE"""),1.0)</f>
        <v>1</v>
      </c>
      <c r="K166" s="6">
        <f>IFERROR(__xludf.DUMMYFUNCTION("""COMPUTED_VALUE"""),1.0)</f>
        <v>1</v>
      </c>
      <c r="L166" s="6">
        <f>IFERROR(__xludf.DUMMYFUNCTION("""COMPUTED_VALUE"""),1.0)</f>
        <v>1</v>
      </c>
      <c r="M166" s="6">
        <f>IFERROR(__xludf.DUMMYFUNCTION("""COMPUTED_VALUE"""),1.0)</f>
        <v>1</v>
      </c>
      <c r="N166" s="6">
        <f>IFERROR(__xludf.DUMMYFUNCTION("""COMPUTED_VALUE"""),1.0)</f>
        <v>1</v>
      </c>
      <c r="O166" s="6">
        <f>IFERROR(__xludf.DUMMYFUNCTION("""COMPUTED_VALUE"""),1.0)</f>
        <v>1</v>
      </c>
      <c r="P166" s="6">
        <f>IFERROR(__xludf.DUMMYFUNCTION("""COMPUTED_VALUE"""),1.0)</f>
        <v>1</v>
      </c>
      <c r="Q166" s="6">
        <f>IFERROR(__xludf.DUMMYFUNCTION("""COMPUTED_VALUE"""),1.0)</f>
        <v>1</v>
      </c>
      <c r="R166" s="6">
        <f>IFERROR(__xludf.DUMMYFUNCTION("""COMPUTED_VALUE"""),1.0)</f>
        <v>1</v>
      </c>
      <c r="S166" s="6">
        <f>IFERROR(__xludf.DUMMYFUNCTION("""COMPUTED_VALUE"""),0.0)</f>
        <v>0</v>
      </c>
      <c r="T166" s="6">
        <f>IFERROR(__xludf.DUMMYFUNCTION("""COMPUTED_VALUE"""),0.0)</f>
        <v>0</v>
      </c>
      <c r="U166" s="6">
        <f>IFERROR(__xludf.DUMMYFUNCTION("""COMPUTED_VALUE"""),0.0)</f>
        <v>0</v>
      </c>
      <c r="V166" s="4">
        <f t="shared" ref="V166:X166" si="165">SUM(D166, G166, J166, M166, P166, S166)</f>
        <v>4</v>
      </c>
      <c r="W166" s="4">
        <f t="shared" si="165"/>
        <v>3</v>
      </c>
      <c r="X166" s="4">
        <f t="shared" si="165"/>
        <v>5</v>
      </c>
    </row>
    <row r="167">
      <c r="A167" s="4" t="str">
        <f>IFERROR(__xludf.DUMMYFUNCTION("""COMPUTED_VALUE"""),"Школа 1352")</f>
        <v>Школа 1352</v>
      </c>
      <c r="B167" s="4" t="str">
        <f t="array" ref="B167">IFERROR(INDEX('Адреса школ'!F:F, MATCH(A167, 'Адреса школ'!E:E, 0)), "")</f>
        <v>55.813349, 37.804009</v>
      </c>
      <c r="C167" s="5" t="str">
        <f t="array" ref="C167">IFERROR(INDEX('Топ-400'!A:A, MATCH(A167, 'Топ-400'!E:E, 0)), "Вне рейтинга")</f>
        <v>172</v>
      </c>
      <c r="D167" s="6">
        <f>IFERROR(__xludf.DUMMYFUNCTION("""COMPUTED_VALUE"""),0.0)</f>
        <v>0</v>
      </c>
      <c r="E167" s="6">
        <f>IFERROR(__xludf.DUMMYFUNCTION("""COMPUTED_VALUE"""),0.0)</f>
        <v>0</v>
      </c>
      <c r="F167" s="6">
        <f>IFERROR(__xludf.DUMMYFUNCTION("""COMPUTED_VALUE"""),0.0)</f>
        <v>0</v>
      </c>
      <c r="G167" s="6">
        <f>IFERROR(__xludf.DUMMYFUNCTION("""COMPUTED_VALUE"""),0.0)</f>
        <v>0</v>
      </c>
      <c r="H167" s="6">
        <f>IFERROR(__xludf.DUMMYFUNCTION("""COMPUTED_VALUE"""),0.0)</f>
        <v>0</v>
      </c>
      <c r="I167" s="6">
        <f>IFERROR(__xludf.DUMMYFUNCTION("""COMPUTED_VALUE"""),0.0)</f>
        <v>0</v>
      </c>
      <c r="J167" s="6">
        <f>IFERROR(__xludf.DUMMYFUNCTION("""COMPUTED_VALUE"""),1.0)</f>
        <v>1</v>
      </c>
      <c r="K167" s="6">
        <f>IFERROR(__xludf.DUMMYFUNCTION("""COMPUTED_VALUE"""),0.0)</f>
        <v>0</v>
      </c>
      <c r="L167" s="6">
        <f>IFERROR(__xludf.DUMMYFUNCTION("""COMPUTED_VALUE"""),1.0)</f>
        <v>1</v>
      </c>
      <c r="M167" s="6">
        <f>IFERROR(__xludf.DUMMYFUNCTION("""COMPUTED_VALUE"""),0.0)</f>
        <v>0</v>
      </c>
      <c r="N167" s="6">
        <f>IFERROR(__xludf.DUMMYFUNCTION("""COMPUTED_VALUE"""),0.0)</f>
        <v>0</v>
      </c>
      <c r="O167" s="6">
        <f>IFERROR(__xludf.DUMMYFUNCTION("""COMPUTED_VALUE"""),0.0)</f>
        <v>0</v>
      </c>
      <c r="P167" s="6">
        <f>IFERROR(__xludf.DUMMYFUNCTION("""COMPUTED_VALUE"""),0.0)</f>
        <v>0</v>
      </c>
      <c r="Q167" s="6">
        <f>IFERROR(__xludf.DUMMYFUNCTION("""COMPUTED_VALUE"""),0.0)</f>
        <v>0</v>
      </c>
      <c r="R167" s="6">
        <f>IFERROR(__xludf.DUMMYFUNCTION("""COMPUTED_VALUE"""),0.0)</f>
        <v>0</v>
      </c>
      <c r="S167" s="6">
        <f>IFERROR(__xludf.DUMMYFUNCTION("""COMPUTED_VALUE"""),0.0)</f>
        <v>0</v>
      </c>
      <c r="T167" s="6">
        <f>IFERROR(__xludf.DUMMYFUNCTION("""COMPUTED_VALUE"""),0.0)</f>
        <v>0</v>
      </c>
      <c r="U167" s="6">
        <f>IFERROR(__xludf.DUMMYFUNCTION("""COMPUTED_VALUE"""),0.0)</f>
        <v>0</v>
      </c>
      <c r="V167" s="4">
        <f t="shared" ref="V167:X167" si="166">SUM(D167, G167, J167, M167, P167, S167)</f>
        <v>1</v>
      </c>
      <c r="W167" s="4">
        <f t="shared" si="166"/>
        <v>0</v>
      </c>
      <c r="X167" s="4">
        <f t="shared" si="166"/>
        <v>1</v>
      </c>
    </row>
    <row r="168">
      <c r="A168" s="4" t="str">
        <f>IFERROR(__xludf.DUMMYFUNCTION("""COMPUTED_VALUE"""),"Школа 1353")</f>
        <v>Школа 1353</v>
      </c>
      <c r="B168" s="4" t="str">
        <f t="array" ref="B168">IFERROR(INDEX('Адреса школ'!F:F, MATCH(A168, 'Адреса школ'!E:E, 0)), "")</f>
        <v>55.995282, 37.202524</v>
      </c>
      <c r="C168" s="5" t="str">
        <f t="array" ref="C168">IFERROR(INDEX('Топ-400'!A:A, MATCH(A168, 'Топ-400'!E:E, 0)), "Вне рейтинга")</f>
        <v>241</v>
      </c>
      <c r="D168" s="6">
        <f>IFERROR(__xludf.DUMMYFUNCTION("""COMPUTED_VALUE"""),1.0)</f>
        <v>1</v>
      </c>
      <c r="E168" s="6">
        <f>IFERROR(__xludf.DUMMYFUNCTION("""COMPUTED_VALUE"""),1.0)</f>
        <v>1</v>
      </c>
      <c r="F168" s="6">
        <f>IFERROR(__xludf.DUMMYFUNCTION("""COMPUTED_VALUE"""),1.0)</f>
        <v>1</v>
      </c>
      <c r="G168" s="6">
        <f>IFERROR(__xludf.DUMMYFUNCTION("""COMPUTED_VALUE"""),0.0)</f>
        <v>0</v>
      </c>
      <c r="H168" s="6">
        <f>IFERROR(__xludf.DUMMYFUNCTION("""COMPUTED_VALUE"""),0.0)</f>
        <v>0</v>
      </c>
      <c r="I168" s="6">
        <f>IFERROR(__xludf.DUMMYFUNCTION("""COMPUTED_VALUE"""),0.0)</f>
        <v>0</v>
      </c>
      <c r="J168" s="6">
        <f>IFERROR(__xludf.DUMMYFUNCTION("""COMPUTED_VALUE"""),0.0)</f>
        <v>0</v>
      </c>
      <c r="K168" s="6">
        <f>IFERROR(__xludf.DUMMYFUNCTION("""COMPUTED_VALUE"""),1.0)</f>
        <v>1</v>
      </c>
      <c r="L168" s="6">
        <f>IFERROR(__xludf.DUMMYFUNCTION("""COMPUTED_VALUE"""),1.0)</f>
        <v>1</v>
      </c>
      <c r="M168" s="6">
        <f>IFERROR(__xludf.DUMMYFUNCTION("""COMPUTED_VALUE"""),1.0)</f>
        <v>1</v>
      </c>
      <c r="N168" s="6">
        <f>IFERROR(__xludf.DUMMYFUNCTION("""COMPUTED_VALUE"""),1.0)</f>
        <v>1</v>
      </c>
      <c r="O168" s="6">
        <f>IFERROR(__xludf.DUMMYFUNCTION("""COMPUTED_VALUE"""),1.0)</f>
        <v>1</v>
      </c>
      <c r="P168" s="6">
        <f>IFERROR(__xludf.DUMMYFUNCTION("""COMPUTED_VALUE"""),0.0)</f>
        <v>0</v>
      </c>
      <c r="Q168" s="6">
        <f>IFERROR(__xludf.DUMMYFUNCTION("""COMPUTED_VALUE"""),1.0)</f>
        <v>1</v>
      </c>
      <c r="R168" s="6">
        <f>IFERROR(__xludf.DUMMYFUNCTION("""COMPUTED_VALUE"""),1.0)</f>
        <v>1</v>
      </c>
      <c r="S168" s="6">
        <f>IFERROR(__xludf.DUMMYFUNCTION("""COMPUTED_VALUE"""),0.0)</f>
        <v>0</v>
      </c>
      <c r="T168" s="6">
        <f>IFERROR(__xludf.DUMMYFUNCTION("""COMPUTED_VALUE"""),0.0)</f>
        <v>0</v>
      </c>
      <c r="U168" s="6">
        <f>IFERROR(__xludf.DUMMYFUNCTION("""COMPUTED_VALUE"""),0.0)</f>
        <v>0</v>
      </c>
      <c r="V168" s="4">
        <f t="shared" ref="V168:X168" si="167">SUM(D168, G168, J168, M168, P168, S168)</f>
        <v>2</v>
      </c>
      <c r="W168" s="4">
        <f t="shared" si="167"/>
        <v>4</v>
      </c>
      <c r="X168" s="4">
        <f t="shared" si="167"/>
        <v>4</v>
      </c>
    </row>
    <row r="169">
      <c r="A169" s="4" t="str">
        <f>IFERROR(__xludf.DUMMYFUNCTION("""COMPUTED_VALUE"""),"Школа 1354")</f>
        <v>Школа 1354</v>
      </c>
      <c r="B169" s="4" t="str">
        <f t="array" ref="B169">IFERROR(INDEX('Адреса школ'!F:F, MATCH(A169, 'Адреса школ'!E:E, 0)), "")</f>
        <v>55.548136, 37.563853</v>
      </c>
      <c r="C169" s="5" t="str">
        <f t="array" ref="C169">IFERROR(INDEX('Топ-400'!A:A, MATCH(A169, 'Топ-400'!E:E, 0)), "Вне рейтинга")</f>
        <v>159</v>
      </c>
      <c r="D169" s="6">
        <f>IFERROR(__xludf.DUMMYFUNCTION("""COMPUTED_VALUE"""),1.0)</f>
        <v>1</v>
      </c>
      <c r="E169" s="6">
        <f>IFERROR(__xludf.DUMMYFUNCTION("""COMPUTED_VALUE"""),1.0)</f>
        <v>1</v>
      </c>
      <c r="F169" s="6">
        <f>IFERROR(__xludf.DUMMYFUNCTION("""COMPUTED_VALUE"""),1.0)</f>
        <v>1</v>
      </c>
      <c r="G169" s="6">
        <f>IFERROR(__xludf.DUMMYFUNCTION("""COMPUTED_VALUE"""),1.0)</f>
        <v>1</v>
      </c>
      <c r="H169" s="6">
        <f>IFERROR(__xludf.DUMMYFUNCTION("""COMPUTED_VALUE"""),1.0)</f>
        <v>1</v>
      </c>
      <c r="I169" s="6">
        <f>IFERROR(__xludf.DUMMYFUNCTION("""COMPUTED_VALUE"""),1.0)</f>
        <v>1</v>
      </c>
      <c r="J169" s="6">
        <f>IFERROR(__xludf.DUMMYFUNCTION("""COMPUTED_VALUE"""),0.0)</f>
        <v>0</v>
      </c>
      <c r="K169" s="6">
        <f>IFERROR(__xludf.DUMMYFUNCTION("""COMPUTED_VALUE"""),0.0)</f>
        <v>0</v>
      </c>
      <c r="L169" s="6">
        <f>IFERROR(__xludf.DUMMYFUNCTION("""COMPUTED_VALUE"""),1.0)</f>
        <v>1</v>
      </c>
      <c r="M169" s="6">
        <f>IFERROR(__xludf.DUMMYFUNCTION("""COMPUTED_VALUE"""),0.0)</f>
        <v>0</v>
      </c>
      <c r="N169" s="6">
        <f>IFERROR(__xludf.DUMMYFUNCTION("""COMPUTED_VALUE"""),0.0)</f>
        <v>0</v>
      </c>
      <c r="O169" s="6">
        <f>IFERROR(__xludf.DUMMYFUNCTION("""COMPUTED_VALUE"""),0.0)</f>
        <v>0</v>
      </c>
      <c r="P169" s="6">
        <f>IFERROR(__xludf.DUMMYFUNCTION("""COMPUTED_VALUE"""),1.0)</f>
        <v>1</v>
      </c>
      <c r="Q169" s="6">
        <f>IFERROR(__xludf.DUMMYFUNCTION("""COMPUTED_VALUE"""),1.0)</f>
        <v>1</v>
      </c>
      <c r="R169" s="6">
        <f>IFERROR(__xludf.DUMMYFUNCTION("""COMPUTED_VALUE"""),1.0)</f>
        <v>1</v>
      </c>
      <c r="S169" s="6">
        <f>IFERROR(__xludf.DUMMYFUNCTION("""COMPUTED_VALUE"""),0.0)</f>
        <v>0</v>
      </c>
      <c r="T169" s="6">
        <f>IFERROR(__xludf.DUMMYFUNCTION("""COMPUTED_VALUE"""),0.0)</f>
        <v>0</v>
      </c>
      <c r="U169" s="6">
        <f>IFERROR(__xludf.DUMMYFUNCTION("""COMPUTED_VALUE"""),0.0)</f>
        <v>0</v>
      </c>
      <c r="V169" s="4">
        <f t="shared" ref="V169:X169" si="168">SUM(D169, G169, J169, M169, P169, S169)</f>
        <v>3</v>
      </c>
      <c r="W169" s="4">
        <f t="shared" si="168"/>
        <v>3</v>
      </c>
      <c r="X169" s="4">
        <f t="shared" si="168"/>
        <v>4</v>
      </c>
    </row>
    <row r="170">
      <c r="A170" s="4" t="str">
        <f>IFERROR(__xludf.DUMMYFUNCTION("""COMPUTED_VALUE"""),"Школа 1355")</f>
        <v>Школа 1355</v>
      </c>
      <c r="B170" s="4" t="str">
        <f t="array" ref="B170">IFERROR(INDEX('Адреса школ'!F:F, MATCH(A170, 'Адреса школ'!E:E, 0)), "")</f>
        <v>55.540536, 37.577831</v>
      </c>
      <c r="C170" s="5" t="str">
        <f t="array" ref="C170">IFERROR(INDEX('Топ-400'!A:A, MATCH(A170, 'Топ-400'!E:E, 0)), "Вне рейтинга")</f>
        <v>211</v>
      </c>
      <c r="D170" s="6">
        <f>IFERROR(__xludf.DUMMYFUNCTION("""COMPUTED_VALUE"""),0.0)</f>
        <v>0</v>
      </c>
      <c r="E170" s="6">
        <f>IFERROR(__xludf.DUMMYFUNCTION("""COMPUTED_VALUE"""),0.0)</f>
        <v>0</v>
      </c>
      <c r="F170" s="6">
        <f>IFERROR(__xludf.DUMMYFUNCTION("""COMPUTED_VALUE"""),0.0)</f>
        <v>0</v>
      </c>
      <c r="G170" s="6">
        <f>IFERROR(__xludf.DUMMYFUNCTION("""COMPUTED_VALUE"""),1.0)</f>
        <v>1</v>
      </c>
      <c r="H170" s="6">
        <f>IFERROR(__xludf.DUMMYFUNCTION("""COMPUTED_VALUE"""),0.0)</f>
        <v>0</v>
      </c>
      <c r="I170" s="6">
        <f>IFERROR(__xludf.DUMMYFUNCTION("""COMPUTED_VALUE"""),1.0)</f>
        <v>1</v>
      </c>
      <c r="J170" s="6">
        <f>IFERROR(__xludf.DUMMYFUNCTION("""COMPUTED_VALUE"""),1.0)</f>
        <v>1</v>
      </c>
      <c r="K170" s="6">
        <f>IFERROR(__xludf.DUMMYFUNCTION("""COMPUTED_VALUE"""),1.0)</f>
        <v>1</v>
      </c>
      <c r="L170" s="6">
        <f>IFERROR(__xludf.DUMMYFUNCTION("""COMPUTED_VALUE"""),1.0)</f>
        <v>1</v>
      </c>
      <c r="M170" s="6">
        <f>IFERROR(__xludf.DUMMYFUNCTION("""COMPUTED_VALUE"""),1.0)</f>
        <v>1</v>
      </c>
      <c r="N170" s="6">
        <f>IFERROR(__xludf.DUMMYFUNCTION("""COMPUTED_VALUE"""),1.0)</f>
        <v>1</v>
      </c>
      <c r="O170" s="6">
        <f>IFERROR(__xludf.DUMMYFUNCTION("""COMPUTED_VALUE"""),1.0)</f>
        <v>1</v>
      </c>
      <c r="P170" s="6">
        <f>IFERROR(__xludf.DUMMYFUNCTION("""COMPUTED_VALUE"""),0.0)</f>
        <v>0</v>
      </c>
      <c r="Q170" s="6">
        <f>IFERROR(__xludf.DUMMYFUNCTION("""COMPUTED_VALUE"""),0.0)</f>
        <v>0</v>
      </c>
      <c r="R170" s="6">
        <f>IFERROR(__xludf.DUMMYFUNCTION("""COMPUTED_VALUE"""),0.0)</f>
        <v>0</v>
      </c>
      <c r="S170" s="6">
        <f>IFERROR(__xludf.DUMMYFUNCTION("""COMPUTED_VALUE"""),0.0)</f>
        <v>0</v>
      </c>
      <c r="T170" s="6">
        <f>IFERROR(__xludf.DUMMYFUNCTION("""COMPUTED_VALUE"""),0.0)</f>
        <v>0</v>
      </c>
      <c r="U170" s="6">
        <f>IFERROR(__xludf.DUMMYFUNCTION("""COMPUTED_VALUE"""),0.0)</f>
        <v>0</v>
      </c>
      <c r="V170" s="4">
        <f t="shared" ref="V170:X170" si="169">SUM(D170, G170, J170, M170, P170, S170)</f>
        <v>3</v>
      </c>
      <c r="W170" s="4">
        <f t="shared" si="169"/>
        <v>2</v>
      </c>
      <c r="X170" s="4">
        <f t="shared" si="169"/>
        <v>3</v>
      </c>
    </row>
    <row r="171">
      <c r="A171" s="4" t="str">
        <f>IFERROR(__xludf.DUMMYFUNCTION("""COMPUTED_VALUE"""),"Школа 1357")</f>
        <v>Школа 1357</v>
      </c>
      <c r="B171" s="4" t="str">
        <f t="array" ref="B171">IFERROR(INDEX('Адреса школ'!F:F, MATCH(A171, 'Адреса школ'!E:E, 0)), "")</f>
        <v>55.662704, 37.766306</v>
      </c>
      <c r="C171" s="5" t="str">
        <f t="array" ref="C171">IFERROR(INDEX('Топ-400'!A:A, MATCH(A171, 'Топ-400'!E:E, 0)), "Вне рейтинга")</f>
        <v>142</v>
      </c>
      <c r="D171" s="6">
        <f>IFERROR(__xludf.DUMMYFUNCTION("""COMPUTED_VALUE"""),1.0)</f>
        <v>1</v>
      </c>
      <c r="E171" s="6">
        <f>IFERROR(__xludf.DUMMYFUNCTION("""COMPUTED_VALUE"""),1.0)</f>
        <v>1</v>
      </c>
      <c r="F171" s="6">
        <f>IFERROR(__xludf.DUMMYFUNCTION("""COMPUTED_VALUE"""),1.0)</f>
        <v>1</v>
      </c>
      <c r="G171" s="6">
        <f>IFERROR(__xludf.DUMMYFUNCTION("""COMPUTED_VALUE"""),1.0)</f>
        <v>1</v>
      </c>
      <c r="H171" s="6">
        <f>IFERROR(__xludf.DUMMYFUNCTION("""COMPUTED_VALUE"""),0.0)</f>
        <v>0</v>
      </c>
      <c r="I171" s="6">
        <f>IFERROR(__xludf.DUMMYFUNCTION("""COMPUTED_VALUE"""),1.0)</f>
        <v>1</v>
      </c>
      <c r="J171" s="6">
        <f>IFERROR(__xludf.DUMMYFUNCTION("""COMPUTED_VALUE"""),1.0)</f>
        <v>1</v>
      </c>
      <c r="K171" s="6">
        <f>IFERROR(__xludf.DUMMYFUNCTION("""COMPUTED_VALUE"""),1.0)</f>
        <v>1</v>
      </c>
      <c r="L171" s="6">
        <f>IFERROR(__xludf.DUMMYFUNCTION("""COMPUTED_VALUE"""),1.0)</f>
        <v>1</v>
      </c>
      <c r="M171" s="6">
        <f>IFERROR(__xludf.DUMMYFUNCTION("""COMPUTED_VALUE"""),1.0)</f>
        <v>1</v>
      </c>
      <c r="N171" s="6">
        <f>IFERROR(__xludf.DUMMYFUNCTION("""COMPUTED_VALUE"""),0.0)</f>
        <v>0</v>
      </c>
      <c r="O171" s="6">
        <f>IFERROR(__xludf.DUMMYFUNCTION("""COMPUTED_VALUE"""),1.0)</f>
        <v>1</v>
      </c>
      <c r="P171" s="6">
        <f>IFERROR(__xludf.DUMMYFUNCTION("""COMPUTED_VALUE"""),1.0)</f>
        <v>1</v>
      </c>
      <c r="Q171" s="6">
        <f>IFERROR(__xludf.DUMMYFUNCTION("""COMPUTED_VALUE"""),1.0)</f>
        <v>1</v>
      </c>
      <c r="R171" s="6">
        <f>IFERROR(__xludf.DUMMYFUNCTION("""COMPUTED_VALUE"""),1.0)</f>
        <v>1</v>
      </c>
      <c r="S171" s="6">
        <f>IFERROR(__xludf.DUMMYFUNCTION("""COMPUTED_VALUE"""),0.0)</f>
        <v>0</v>
      </c>
      <c r="T171" s="6">
        <f>IFERROR(__xludf.DUMMYFUNCTION("""COMPUTED_VALUE"""),0.0)</f>
        <v>0</v>
      </c>
      <c r="U171" s="6">
        <f>IFERROR(__xludf.DUMMYFUNCTION("""COMPUTED_VALUE"""),0.0)</f>
        <v>0</v>
      </c>
      <c r="V171" s="4">
        <f t="shared" ref="V171:X171" si="170">SUM(D171, G171, J171, M171, P171, S171)</f>
        <v>5</v>
      </c>
      <c r="W171" s="4">
        <f t="shared" si="170"/>
        <v>3</v>
      </c>
      <c r="X171" s="4">
        <f t="shared" si="170"/>
        <v>5</v>
      </c>
    </row>
    <row r="172">
      <c r="A172" s="4" t="str">
        <f>IFERROR(__xludf.DUMMYFUNCTION("""COMPUTED_VALUE"""),"Школа 1358")</f>
        <v>Школа 1358</v>
      </c>
      <c r="B172" s="4" t="str">
        <f t="array" ref="B172">IFERROR(INDEX('Адреса школ'!F:F, MATCH(A172, 'Адреса школ'!E:E, 0)), "")</f>
        <v>55.856497, 37.346829</v>
      </c>
      <c r="C172" s="5" t="str">
        <f t="array" ref="C172">IFERROR(INDEX('Топ-400'!A:A, MATCH(A172, 'Топ-400'!E:E, 0)), "Вне рейтинга")</f>
        <v>265</v>
      </c>
      <c r="D172" s="6">
        <f>IFERROR(__xludf.DUMMYFUNCTION("""COMPUTED_VALUE"""),0.0)</f>
        <v>0</v>
      </c>
      <c r="E172" s="6">
        <f>IFERROR(__xludf.DUMMYFUNCTION("""COMPUTED_VALUE"""),0.0)</f>
        <v>0</v>
      </c>
      <c r="F172" s="6">
        <f>IFERROR(__xludf.DUMMYFUNCTION("""COMPUTED_VALUE"""),0.0)</f>
        <v>0</v>
      </c>
      <c r="G172" s="6">
        <f>IFERROR(__xludf.DUMMYFUNCTION("""COMPUTED_VALUE"""),0.0)</f>
        <v>0</v>
      </c>
      <c r="H172" s="6">
        <f>IFERROR(__xludf.DUMMYFUNCTION("""COMPUTED_VALUE"""),0.0)</f>
        <v>0</v>
      </c>
      <c r="I172" s="6">
        <f>IFERROR(__xludf.DUMMYFUNCTION("""COMPUTED_VALUE"""),0.0)</f>
        <v>0</v>
      </c>
      <c r="J172" s="6">
        <f>IFERROR(__xludf.DUMMYFUNCTION("""COMPUTED_VALUE"""),1.0)</f>
        <v>1</v>
      </c>
      <c r="K172" s="6">
        <f>IFERROR(__xludf.DUMMYFUNCTION("""COMPUTED_VALUE"""),1.0)</f>
        <v>1</v>
      </c>
      <c r="L172" s="6">
        <f>IFERROR(__xludf.DUMMYFUNCTION("""COMPUTED_VALUE"""),1.0)</f>
        <v>1</v>
      </c>
      <c r="M172" s="6">
        <f>IFERROR(__xludf.DUMMYFUNCTION("""COMPUTED_VALUE"""),0.0)</f>
        <v>0</v>
      </c>
      <c r="N172" s="6">
        <f>IFERROR(__xludf.DUMMYFUNCTION("""COMPUTED_VALUE"""),0.0)</f>
        <v>0</v>
      </c>
      <c r="O172" s="6">
        <f>IFERROR(__xludf.DUMMYFUNCTION("""COMPUTED_VALUE"""),1.0)</f>
        <v>1</v>
      </c>
      <c r="P172" s="6">
        <f>IFERROR(__xludf.DUMMYFUNCTION("""COMPUTED_VALUE"""),0.0)</f>
        <v>0</v>
      </c>
      <c r="Q172" s="6">
        <f>IFERROR(__xludf.DUMMYFUNCTION("""COMPUTED_VALUE"""),0.0)</f>
        <v>0</v>
      </c>
      <c r="R172" s="6">
        <f>IFERROR(__xludf.DUMMYFUNCTION("""COMPUTED_VALUE"""),0.0)</f>
        <v>0</v>
      </c>
      <c r="S172" s="6">
        <f>IFERROR(__xludf.DUMMYFUNCTION("""COMPUTED_VALUE"""),0.0)</f>
        <v>0</v>
      </c>
      <c r="T172" s="6">
        <f>IFERROR(__xludf.DUMMYFUNCTION("""COMPUTED_VALUE"""),0.0)</f>
        <v>0</v>
      </c>
      <c r="U172" s="6">
        <f>IFERROR(__xludf.DUMMYFUNCTION("""COMPUTED_VALUE"""),0.0)</f>
        <v>0</v>
      </c>
      <c r="V172" s="4">
        <f t="shared" ref="V172:X172" si="171">SUM(D172, G172, J172, M172, P172, S172)</f>
        <v>1</v>
      </c>
      <c r="W172" s="4">
        <f t="shared" si="171"/>
        <v>1</v>
      </c>
      <c r="X172" s="4">
        <f t="shared" si="171"/>
        <v>2</v>
      </c>
    </row>
    <row r="173">
      <c r="A173" s="4" t="str">
        <f>IFERROR(__xludf.DUMMYFUNCTION("""COMPUTED_VALUE"""),"Школа 1359")</f>
        <v>Школа 1359</v>
      </c>
      <c r="B173" s="4" t="str">
        <f t="array" ref="B173">IFERROR(INDEX('Адреса школ'!F:F, MATCH(A173, 'Адреса школ'!E:E, 0)), "")</f>
        <v>55.701506, 37.84534</v>
      </c>
      <c r="C173" s="5" t="str">
        <f t="array" ref="C173">IFERROR(INDEX('Топ-400'!A:A, MATCH(A173, 'Топ-400'!E:E, 0)), "Вне рейтинга")</f>
        <v>58</v>
      </c>
      <c r="D173" s="6">
        <f>IFERROR(__xludf.DUMMYFUNCTION("""COMPUTED_VALUE"""),1.0)</f>
        <v>1</v>
      </c>
      <c r="E173" s="6">
        <f>IFERROR(__xludf.DUMMYFUNCTION("""COMPUTED_VALUE"""),1.0)</f>
        <v>1</v>
      </c>
      <c r="F173" s="6">
        <f>IFERROR(__xludf.DUMMYFUNCTION("""COMPUTED_VALUE"""),1.0)</f>
        <v>1</v>
      </c>
      <c r="G173" s="6">
        <f>IFERROR(__xludf.DUMMYFUNCTION("""COMPUTED_VALUE"""),1.0)</f>
        <v>1</v>
      </c>
      <c r="H173" s="6">
        <f>IFERROR(__xludf.DUMMYFUNCTION("""COMPUTED_VALUE"""),0.0)</f>
        <v>0</v>
      </c>
      <c r="I173" s="6">
        <f>IFERROR(__xludf.DUMMYFUNCTION("""COMPUTED_VALUE"""),1.0)</f>
        <v>1</v>
      </c>
      <c r="J173" s="6">
        <f>IFERROR(__xludf.DUMMYFUNCTION("""COMPUTED_VALUE"""),0.0)</f>
        <v>0</v>
      </c>
      <c r="K173" s="6">
        <f>IFERROR(__xludf.DUMMYFUNCTION("""COMPUTED_VALUE"""),0.0)</f>
        <v>0</v>
      </c>
      <c r="L173" s="6">
        <f>IFERROR(__xludf.DUMMYFUNCTION("""COMPUTED_VALUE"""),0.0)</f>
        <v>0</v>
      </c>
      <c r="M173" s="6">
        <f>IFERROR(__xludf.DUMMYFUNCTION("""COMPUTED_VALUE"""),1.0)</f>
        <v>1</v>
      </c>
      <c r="N173" s="6">
        <f>IFERROR(__xludf.DUMMYFUNCTION("""COMPUTED_VALUE"""),1.0)</f>
        <v>1</v>
      </c>
      <c r="O173" s="6">
        <f>IFERROR(__xludf.DUMMYFUNCTION("""COMPUTED_VALUE"""),1.0)</f>
        <v>1</v>
      </c>
      <c r="P173" s="6">
        <f>IFERROR(__xludf.DUMMYFUNCTION("""COMPUTED_VALUE"""),1.0)</f>
        <v>1</v>
      </c>
      <c r="Q173" s="6">
        <f>IFERROR(__xludf.DUMMYFUNCTION("""COMPUTED_VALUE"""),1.0)</f>
        <v>1</v>
      </c>
      <c r="R173" s="6">
        <f>IFERROR(__xludf.DUMMYFUNCTION("""COMPUTED_VALUE"""),1.0)</f>
        <v>1</v>
      </c>
      <c r="S173" s="6">
        <f>IFERROR(__xludf.DUMMYFUNCTION("""COMPUTED_VALUE"""),0.0)</f>
        <v>0</v>
      </c>
      <c r="T173" s="6">
        <f>IFERROR(__xludf.DUMMYFUNCTION("""COMPUTED_VALUE"""),0.0)</f>
        <v>0</v>
      </c>
      <c r="U173" s="6">
        <f>IFERROR(__xludf.DUMMYFUNCTION("""COMPUTED_VALUE"""),0.0)</f>
        <v>0</v>
      </c>
      <c r="V173" s="4">
        <f t="shared" ref="V173:X173" si="172">SUM(D173, G173, J173, M173, P173, S173)</f>
        <v>4</v>
      </c>
      <c r="W173" s="4">
        <f t="shared" si="172"/>
        <v>3</v>
      </c>
      <c r="X173" s="4">
        <f t="shared" si="172"/>
        <v>4</v>
      </c>
    </row>
    <row r="174">
      <c r="A174" s="4" t="str">
        <f>IFERROR(__xludf.DUMMYFUNCTION("""COMPUTED_VALUE"""),"Школа 1360")</f>
        <v>Школа 1360</v>
      </c>
      <c r="B174" s="4" t="str">
        <f t="array" ref="B174">IFERROR(INDEX('Адреса школ'!F:F, MATCH(A174, 'Адреса школ'!E:E, 0)), "")</f>
        <v>55.812292, 37.700523</v>
      </c>
      <c r="C174" s="5" t="str">
        <f t="array" ref="C174">IFERROR(INDEX('Топ-400'!A:A, MATCH(A174, 'Топ-400'!E:E, 0)), "Вне рейтинга")</f>
        <v>301</v>
      </c>
      <c r="D174" s="6">
        <f>IFERROR(__xludf.DUMMYFUNCTION("""COMPUTED_VALUE"""),1.0)</f>
        <v>1</v>
      </c>
      <c r="E174" s="6">
        <f>IFERROR(__xludf.DUMMYFUNCTION("""COMPUTED_VALUE"""),1.0)</f>
        <v>1</v>
      </c>
      <c r="F174" s="6">
        <f>IFERROR(__xludf.DUMMYFUNCTION("""COMPUTED_VALUE"""),1.0)</f>
        <v>1</v>
      </c>
      <c r="G174" s="6">
        <f>IFERROR(__xludf.DUMMYFUNCTION("""COMPUTED_VALUE"""),0.0)</f>
        <v>0</v>
      </c>
      <c r="H174" s="6">
        <f>IFERROR(__xludf.DUMMYFUNCTION("""COMPUTED_VALUE"""),0.0)</f>
        <v>0</v>
      </c>
      <c r="I174" s="6">
        <f>IFERROR(__xludf.DUMMYFUNCTION("""COMPUTED_VALUE"""),0.0)</f>
        <v>0</v>
      </c>
      <c r="J174" s="6">
        <f>IFERROR(__xludf.DUMMYFUNCTION("""COMPUTED_VALUE"""),0.0)</f>
        <v>0</v>
      </c>
      <c r="K174" s="6">
        <f>IFERROR(__xludf.DUMMYFUNCTION("""COMPUTED_VALUE"""),0.0)</f>
        <v>0</v>
      </c>
      <c r="L174" s="6">
        <f>IFERROR(__xludf.DUMMYFUNCTION("""COMPUTED_VALUE"""),0.0)</f>
        <v>0</v>
      </c>
      <c r="M174" s="6">
        <f>IFERROR(__xludf.DUMMYFUNCTION("""COMPUTED_VALUE"""),0.0)</f>
        <v>0</v>
      </c>
      <c r="N174" s="6">
        <f>IFERROR(__xludf.DUMMYFUNCTION("""COMPUTED_VALUE"""),0.0)</f>
        <v>0</v>
      </c>
      <c r="O174" s="6">
        <f>IFERROR(__xludf.DUMMYFUNCTION("""COMPUTED_VALUE"""),0.0)</f>
        <v>0</v>
      </c>
      <c r="P174" s="6">
        <f>IFERROR(__xludf.DUMMYFUNCTION("""COMPUTED_VALUE"""),0.0)</f>
        <v>0</v>
      </c>
      <c r="Q174" s="6">
        <f>IFERROR(__xludf.DUMMYFUNCTION("""COMPUTED_VALUE"""),0.0)</f>
        <v>0</v>
      </c>
      <c r="R174" s="6">
        <f>IFERROR(__xludf.DUMMYFUNCTION("""COMPUTED_VALUE"""),0.0)</f>
        <v>0</v>
      </c>
      <c r="S174" s="6">
        <f>IFERROR(__xludf.DUMMYFUNCTION("""COMPUTED_VALUE"""),0.0)</f>
        <v>0</v>
      </c>
      <c r="T174" s="6">
        <f>IFERROR(__xludf.DUMMYFUNCTION("""COMPUTED_VALUE"""),0.0)</f>
        <v>0</v>
      </c>
      <c r="U174" s="6">
        <f>IFERROR(__xludf.DUMMYFUNCTION("""COMPUTED_VALUE"""),0.0)</f>
        <v>0</v>
      </c>
      <c r="V174" s="4">
        <f t="shared" ref="V174:X174" si="173">SUM(D174, G174, J174, M174, P174, S174)</f>
        <v>1</v>
      </c>
      <c r="W174" s="4">
        <f t="shared" si="173"/>
        <v>1</v>
      </c>
      <c r="X174" s="4">
        <f t="shared" si="173"/>
        <v>1</v>
      </c>
    </row>
    <row r="175">
      <c r="A175" s="4" t="str">
        <f>IFERROR(__xludf.DUMMYFUNCTION("""COMPUTED_VALUE"""),"Школа 1362")</f>
        <v>Школа 1362</v>
      </c>
      <c r="B175" s="4" t="str">
        <f t="array" ref="B175">IFERROR(INDEX('Адреса школ'!F:F, MATCH(A175, 'Адреса школ'!E:E, 0)), "")</f>
        <v>55.78978, 37.741091</v>
      </c>
      <c r="C175" s="5" t="str">
        <f t="array" ref="C175">IFERROR(INDEX('Топ-400'!A:A, MATCH(A175, 'Топ-400'!E:E, 0)), "Вне рейтинга")</f>
        <v>79</v>
      </c>
      <c r="D175" s="6">
        <f>IFERROR(__xludf.DUMMYFUNCTION("""COMPUTED_VALUE"""),0.0)</f>
        <v>0</v>
      </c>
      <c r="E175" s="6">
        <f>IFERROR(__xludf.DUMMYFUNCTION("""COMPUTED_VALUE"""),0.0)</f>
        <v>0</v>
      </c>
      <c r="F175" s="6">
        <f>IFERROR(__xludf.DUMMYFUNCTION("""COMPUTED_VALUE"""),0.0)</f>
        <v>0</v>
      </c>
      <c r="G175" s="6">
        <f>IFERROR(__xludf.DUMMYFUNCTION("""COMPUTED_VALUE"""),0.0)</f>
        <v>0</v>
      </c>
      <c r="H175" s="6">
        <f>IFERROR(__xludf.DUMMYFUNCTION("""COMPUTED_VALUE"""),0.0)</f>
        <v>0</v>
      </c>
      <c r="I175" s="6">
        <f>IFERROR(__xludf.DUMMYFUNCTION("""COMPUTED_VALUE"""),0.0)</f>
        <v>0</v>
      </c>
      <c r="J175" s="6">
        <f>IFERROR(__xludf.DUMMYFUNCTION("""COMPUTED_VALUE"""),1.0)</f>
        <v>1</v>
      </c>
      <c r="K175" s="6">
        <f>IFERROR(__xludf.DUMMYFUNCTION("""COMPUTED_VALUE"""),0.0)</f>
        <v>0</v>
      </c>
      <c r="L175" s="6">
        <f>IFERROR(__xludf.DUMMYFUNCTION("""COMPUTED_VALUE"""),0.0)</f>
        <v>0</v>
      </c>
      <c r="M175" s="6">
        <f>IFERROR(__xludf.DUMMYFUNCTION("""COMPUTED_VALUE"""),1.0)</f>
        <v>1</v>
      </c>
      <c r="N175" s="6">
        <f>IFERROR(__xludf.DUMMYFUNCTION("""COMPUTED_VALUE"""),0.0)</f>
        <v>0</v>
      </c>
      <c r="O175" s="6">
        <f>IFERROR(__xludf.DUMMYFUNCTION("""COMPUTED_VALUE"""),0.0)</f>
        <v>0</v>
      </c>
      <c r="P175" s="6">
        <f>IFERROR(__xludf.DUMMYFUNCTION("""COMPUTED_VALUE"""),1.0)</f>
        <v>1</v>
      </c>
      <c r="Q175" s="6">
        <f>IFERROR(__xludf.DUMMYFUNCTION("""COMPUTED_VALUE"""),1.0)</f>
        <v>1</v>
      </c>
      <c r="R175" s="6">
        <f>IFERROR(__xludf.DUMMYFUNCTION("""COMPUTED_VALUE"""),0.0)</f>
        <v>0</v>
      </c>
      <c r="S175" s="6">
        <f>IFERROR(__xludf.DUMMYFUNCTION("""COMPUTED_VALUE"""),0.0)</f>
        <v>0</v>
      </c>
      <c r="T175" s="6">
        <f>IFERROR(__xludf.DUMMYFUNCTION("""COMPUTED_VALUE"""),0.0)</f>
        <v>0</v>
      </c>
      <c r="U175" s="6">
        <f>IFERROR(__xludf.DUMMYFUNCTION("""COMPUTED_VALUE"""),0.0)</f>
        <v>0</v>
      </c>
      <c r="V175" s="4">
        <f t="shared" ref="V175:X175" si="174">SUM(D175, G175, J175, M175, P175, S175)</f>
        <v>3</v>
      </c>
      <c r="W175" s="4">
        <f t="shared" si="174"/>
        <v>1</v>
      </c>
      <c r="X175" s="4">
        <f t="shared" si="174"/>
        <v>0</v>
      </c>
    </row>
    <row r="176">
      <c r="A176" s="4" t="str">
        <f>IFERROR(__xludf.DUMMYFUNCTION("""COMPUTED_VALUE"""),"Школа 1363")</f>
        <v>Школа 1363</v>
      </c>
      <c r="B176" s="4" t="str">
        <f t="array" ref="B176">IFERROR(INDEX('Адреса школ'!F:F, MATCH(A176, 'Адреса школ'!E:E, 0)), "")</f>
        <v>55.708004, 37.82379</v>
      </c>
      <c r="C176" s="5" t="str">
        <f t="array" ref="C176">IFERROR(INDEX('Топ-400'!A:A, MATCH(A176, 'Топ-400'!E:E, 0)), "Вне рейтинга")</f>
        <v>15</v>
      </c>
      <c r="D176" s="6">
        <f>IFERROR(__xludf.DUMMYFUNCTION("""COMPUTED_VALUE"""),1.0)</f>
        <v>1</v>
      </c>
      <c r="E176" s="6">
        <f>IFERROR(__xludf.DUMMYFUNCTION("""COMPUTED_VALUE"""),1.0)</f>
        <v>1</v>
      </c>
      <c r="F176" s="6">
        <f>IFERROR(__xludf.DUMMYFUNCTION("""COMPUTED_VALUE"""),1.0)</f>
        <v>1</v>
      </c>
      <c r="G176" s="6">
        <f>IFERROR(__xludf.DUMMYFUNCTION("""COMPUTED_VALUE"""),1.0)</f>
        <v>1</v>
      </c>
      <c r="H176" s="6">
        <f>IFERROR(__xludf.DUMMYFUNCTION("""COMPUTED_VALUE"""),1.0)</f>
        <v>1</v>
      </c>
      <c r="I176" s="6">
        <f>IFERROR(__xludf.DUMMYFUNCTION("""COMPUTED_VALUE"""),1.0)</f>
        <v>1</v>
      </c>
      <c r="J176" s="6">
        <f>IFERROR(__xludf.DUMMYFUNCTION("""COMPUTED_VALUE"""),1.0)</f>
        <v>1</v>
      </c>
      <c r="K176" s="6">
        <f>IFERROR(__xludf.DUMMYFUNCTION("""COMPUTED_VALUE"""),1.0)</f>
        <v>1</v>
      </c>
      <c r="L176" s="6">
        <f>IFERROR(__xludf.DUMMYFUNCTION("""COMPUTED_VALUE"""),1.0)</f>
        <v>1</v>
      </c>
      <c r="M176" s="6">
        <f>IFERROR(__xludf.DUMMYFUNCTION("""COMPUTED_VALUE"""),1.0)</f>
        <v>1</v>
      </c>
      <c r="N176" s="6">
        <f>IFERROR(__xludf.DUMMYFUNCTION("""COMPUTED_VALUE"""),1.0)</f>
        <v>1</v>
      </c>
      <c r="O176" s="6">
        <f>IFERROR(__xludf.DUMMYFUNCTION("""COMPUTED_VALUE"""),1.0)</f>
        <v>1</v>
      </c>
      <c r="P176" s="6">
        <f>IFERROR(__xludf.DUMMYFUNCTION("""COMPUTED_VALUE"""),1.0)</f>
        <v>1</v>
      </c>
      <c r="Q176" s="6">
        <f>IFERROR(__xludf.DUMMYFUNCTION("""COMPUTED_VALUE"""),1.0)</f>
        <v>1</v>
      </c>
      <c r="R176" s="6">
        <f>IFERROR(__xludf.DUMMYFUNCTION("""COMPUTED_VALUE"""),1.0)</f>
        <v>1</v>
      </c>
      <c r="S176" s="6">
        <f>IFERROR(__xludf.DUMMYFUNCTION("""COMPUTED_VALUE"""),0.0)</f>
        <v>0</v>
      </c>
      <c r="T176" s="6">
        <f>IFERROR(__xludf.DUMMYFUNCTION("""COMPUTED_VALUE"""),0.0)</f>
        <v>0</v>
      </c>
      <c r="U176" s="6">
        <f>IFERROR(__xludf.DUMMYFUNCTION("""COMPUTED_VALUE"""),0.0)</f>
        <v>0</v>
      </c>
      <c r="V176" s="4">
        <f t="shared" ref="V176:X176" si="175">SUM(D176, G176, J176, M176, P176, S176)</f>
        <v>5</v>
      </c>
      <c r="W176" s="4">
        <f t="shared" si="175"/>
        <v>5</v>
      </c>
      <c r="X176" s="4">
        <f t="shared" si="175"/>
        <v>5</v>
      </c>
    </row>
    <row r="177">
      <c r="A177" s="4" t="str">
        <f>IFERROR(__xludf.DUMMYFUNCTION("""COMPUTED_VALUE"""),"Школа 1367")</f>
        <v>Школа 1367</v>
      </c>
      <c r="B177" s="4" t="str">
        <f t="array" ref="B177">IFERROR(INDEX('Адреса школ'!F:F, MATCH(A177, 'Адреса школ'!E:E, 0)), "")</f>
        <v>55.714653, 37.752176</v>
      </c>
      <c r="C177" s="5" t="str">
        <f t="array" ref="C177">IFERROR(INDEX('Топ-400'!A:A, MATCH(A177, 'Топ-400'!E:E, 0)), "Вне рейтинга")</f>
        <v>147</v>
      </c>
      <c r="D177" s="6">
        <f>IFERROR(__xludf.DUMMYFUNCTION("""COMPUTED_VALUE"""),1.0)</f>
        <v>1</v>
      </c>
      <c r="E177" s="6">
        <f>IFERROR(__xludf.DUMMYFUNCTION("""COMPUTED_VALUE"""),1.0)</f>
        <v>1</v>
      </c>
      <c r="F177" s="6">
        <f>IFERROR(__xludf.DUMMYFUNCTION("""COMPUTED_VALUE"""),1.0)</f>
        <v>1</v>
      </c>
      <c r="G177" s="6">
        <f>IFERROR(__xludf.DUMMYFUNCTION("""COMPUTED_VALUE"""),1.0)</f>
        <v>1</v>
      </c>
      <c r="H177" s="6">
        <f>IFERROR(__xludf.DUMMYFUNCTION("""COMPUTED_VALUE"""),0.0)</f>
        <v>0</v>
      </c>
      <c r="I177" s="6">
        <f>IFERROR(__xludf.DUMMYFUNCTION("""COMPUTED_VALUE"""),1.0)</f>
        <v>1</v>
      </c>
      <c r="J177" s="6">
        <f>IFERROR(__xludf.DUMMYFUNCTION("""COMPUTED_VALUE"""),1.0)</f>
        <v>1</v>
      </c>
      <c r="K177" s="6">
        <f>IFERROR(__xludf.DUMMYFUNCTION("""COMPUTED_VALUE"""),1.0)</f>
        <v>1</v>
      </c>
      <c r="L177" s="6">
        <f>IFERROR(__xludf.DUMMYFUNCTION("""COMPUTED_VALUE"""),1.0)</f>
        <v>1</v>
      </c>
      <c r="M177" s="6">
        <f>IFERROR(__xludf.DUMMYFUNCTION("""COMPUTED_VALUE"""),1.0)</f>
        <v>1</v>
      </c>
      <c r="N177" s="6">
        <f>IFERROR(__xludf.DUMMYFUNCTION("""COMPUTED_VALUE"""),1.0)</f>
        <v>1</v>
      </c>
      <c r="O177" s="6">
        <f>IFERROR(__xludf.DUMMYFUNCTION("""COMPUTED_VALUE"""),1.0)</f>
        <v>1</v>
      </c>
      <c r="P177" s="6">
        <f>IFERROR(__xludf.DUMMYFUNCTION("""COMPUTED_VALUE"""),1.0)</f>
        <v>1</v>
      </c>
      <c r="Q177" s="6">
        <f>IFERROR(__xludf.DUMMYFUNCTION("""COMPUTED_VALUE"""),0.0)</f>
        <v>0</v>
      </c>
      <c r="R177" s="6">
        <f>IFERROR(__xludf.DUMMYFUNCTION("""COMPUTED_VALUE"""),0.0)</f>
        <v>0</v>
      </c>
      <c r="S177" s="6">
        <f>IFERROR(__xludf.DUMMYFUNCTION("""COMPUTED_VALUE"""),0.0)</f>
        <v>0</v>
      </c>
      <c r="T177" s="6">
        <f>IFERROR(__xludf.DUMMYFUNCTION("""COMPUTED_VALUE"""),0.0)</f>
        <v>0</v>
      </c>
      <c r="U177" s="6">
        <f>IFERROR(__xludf.DUMMYFUNCTION("""COMPUTED_VALUE"""),0.0)</f>
        <v>0</v>
      </c>
      <c r="V177" s="4">
        <f t="shared" ref="V177:X177" si="176">SUM(D177, G177, J177, M177, P177, S177)</f>
        <v>5</v>
      </c>
      <c r="W177" s="4">
        <f t="shared" si="176"/>
        <v>3</v>
      </c>
      <c r="X177" s="4">
        <f t="shared" si="176"/>
        <v>4</v>
      </c>
    </row>
    <row r="178">
      <c r="A178" s="4" t="str">
        <f>IFERROR(__xludf.DUMMYFUNCTION("""COMPUTED_VALUE"""),"Школа 1368")</f>
        <v>Школа 1368</v>
      </c>
      <c r="B178" s="4" t="str">
        <f t="array" ref="B178">IFERROR(INDEX('Адреса школ'!F:F, MATCH(A178, 'Адреса школ'!E:E, 0)), "")</f>
        <v>55.533562, 37.502822</v>
      </c>
      <c r="C178" s="5" t="str">
        <f t="array" ref="C178">IFERROR(INDEX('Топ-400'!A:A, MATCH(A178, 'Топ-400'!E:E, 0)), "Вне рейтинга")</f>
        <v>289</v>
      </c>
      <c r="D178" s="6">
        <f>IFERROR(__xludf.DUMMYFUNCTION("""COMPUTED_VALUE"""),1.0)</f>
        <v>1</v>
      </c>
      <c r="E178" s="6">
        <f>IFERROR(__xludf.DUMMYFUNCTION("""COMPUTED_VALUE"""),1.0)</f>
        <v>1</v>
      </c>
      <c r="F178" s="6">
        <f>IFERROR(__xludf.DUMMYFUNCTION("""COMPUTED_VALUE"""),1.0)</f>
        <v>1</v>
      </c>
      <c r="G178" s="6">
        <f>IFERROR(__xludf.DUMMYFUNCTION("""COMPUTED_VALUE"""),0.0)</f>
        <v>0</v>
      </c>
      <c r="H178" s="6">
        <f>IFERROR(__xludf.DUMMYFUNCTION("""COMPUTED_VALUE"""),0.0)</f>
        <v>0</v>
      </c>
      <c r="I178" s="6">
        <f>IFERROR(__xludf.DUMMYFUNCTION("""COMPUTED_VALUE"""),0.0)</f>
        <v>0</v>
      </c>
      <c r="J178" s="6">
        <f>IFERROR(__xludf.DUMMYFUNCTION("""COMPUTED_VALUE"""),0.0)</f>
        <v>0</v>
      </c>
      <c r="K178" s="6">
        <f>IFERROR(__xludf.DUMMYFUNCTION("""COMPUTED_VALUE"""),0.0)</f>
        <v>0</v>
      </c>
      <c r="L178" s="6">
        <f>IFERROR(__xludf.DUMMYFUNCTION("""COMPUTED_VALUE"""),0.0)</f>
        <v>0</v>
      </c>
      <c r="M178" s="6">
        <f>IFERROR(__xludf.DUMMYFUNCTION("""COMPUTED_VALUE"""),0.0)</f>
        <v>0</v>
      </c>
      <c r="N178" s="6">
        <f>IFERROR(__xludf.DUMMYFUNCTION("""COMPUTED_VALUE"""),0.0)</f>
        <v>0</v>
      </c>
      <c r="O178" s="6">
        <f>IFERROR(__xludf.DUMMYFUNCTION("""COMPUTED_VALUE"""),0.0)</f>
        <v>0</v>
      </c>
      <c r="P178" s="6">
        <f>IFERROR(__xludf.DUMMYFUNCTION("""COMPUTED_VALUE"""),0.0)</f>
        <v>0</v>
      </c>
      <c r="Q178" s="6">
        <f>IFERROR(__xludf.DUMMYFUNCTION("""COMPUTED_VALUE"""),0.0)</f>
        <v>0</v>
      </c>
      <c r="R178" s="6">
        <f>IFERROR(__xludf.DUMMYFUNCTION("""COMPUTED_VALUE"""),1.0)</f>
        <v>1</v>
      </c>
      <c r="S178" s="6">
        <f>IFERROR(__xludf.DUMMYFUNCTION("""COMPUTED_VALUE"""),1.0)</f>
        <v>1</v>
      </c>
      <c r="T178" s="6">
        <f>IFERROR(__xludf.DUMMYFUNCTION("""COMPUTED_VALUE"""),1.0)</f>
        <v>1</v>
      </c>
      <c r="U178" s="6">
        <f>IFERROR(__xludf.DUMMYFUNCTION("""COMPUTED_VALUE"""),0.0)</f>
        <v>0</v>
      </c>
      <c r="V178" s="4">
        <f t="shared" ref="V178:X178" si="177">SUM(D178, G178, J178, M178, P178, S178)</f>
        <v>2</v>
      </c>
      <c r="W178" s="4">
        <f t="shared" si="177"/>
        <v>2</v>
      </c>
      <c r="X178" s="4">
        <f t="shared" si="177"/>
        <v>2</v>
      </c>
    </row>
    <row r="179">
      <c r="A179" s="4" t="str">
        <f>IFERROR(__xludf.DUMMYFUNCTION("""COMPUTED_VALUE"""),"Школа 1370")</f>
        <v>Школа 1370</v>
      </c>
      <c r="B179" s="4" t="str">
        <f t="array" ref="B179">IFERROR(INDEX('Адреса школ'!F:F, MATCH(A179, 'Адреса школ'!E:E, 0)), "")</f>
        <v>55.881303, 37.59409</v>
      </c>
      <c r="C179" s="5" t="str">
        <f t="array" ref="C179">IFERROR(INDEX('Топ-400'!A:A, MATCH(A179, 'Топ-400'!E:E, 0)), "Вне рейтинга")</f>
        <v>256</v>
      </c>
      <c r="D179" s="6">
        <f>IFERROR(__xludf.DUMMYFUNCTION("""COMPUTED_VALUE"""),0.0)</f>
        <v>0</v>
      </c>
      <c r="E179" s="6">
        <f>IFERROR(__xludf.DUMMYFUNCTION("""COMPUTED_VALUE"""),0.0)</f>
        <v>0</v>
      </c>
      <c r="F179" s="6">
        <f>IFERROR(__xludf.DUMMYFUNCTION("""COMPUTED_VALUE"""),0.0)</f>
        <v>0</v>
      </c>
      <c r="G179" s="6">
        <f>IFERROR(__xludf.DUMMYFUNCTION("""COMPUTED_VALUE"""),0.0)</f>
        <v>0</v>
      </c>
      <c r="H179" s="6">
        <f>IFERROR(__xludf.DUMMYFUNCTION("""COMPUTED_VALUE"""),0.0)</f>
        <v>0</v>
      </c>
      <c r="I179" s="6">
        <f>IFERROR(__xludf.DUMMYFUNCTION("""COMPUTED_VALUE"""),0.0)</f>
        <v>0</v>
      </c>
      <c r="J179" s="6">
        <f>IFERROR(__xludf.DUMMYFUNCTION("""COMPUTED_VALUE"""),1.0)</f>
        <v>1</v>
      </c>
      <c r="K179" s="6">
        <f>IFERROR(__xludf.DUMMYFUNCTION("""COMPUTED_VALUE"""),0.0)</f>
        <v>0</v>
      </c>
      <c r="L179" s="6">
        <f>IFERROR(__xludf.DUMMYFUNCTION("""COMPUTED_VALUE"""),1.0)</f>
        <v>1</v>
      </c>
      <c r="M179" s="6">
        <f>IFERROR(__xludf.DUMMYFUNCTION("""COMPUTED_VALUE"""),1.0)</f>
        <v>1</v>
      </c>
      <c r="N179" s="6">
        <f>IFERROR(__xludf.DUMMYFUNCTION("""COMPUTED_VALUE"""),0.0)</f>
        <v>0</v>
      </c>
      <c r="O179" s="6">
        <f>IFERROR(__xludf.DUMMYFUNCTION("""COMPUTED_VALUE"""),0.0)</f>
        <v>0</v>
      </c>
      <c r="P179" s="6">
        <f>IFERROR(__xludf.DUMMYFUNCTION("""COMPUTED_VALUE"""),0.0)</f>
        <v>0</v>
      </c>
      <c r="Q179" s="6">
        <f>IFERROR(__xludf.DUMMYFUNCTION("""COMPUTED_VALUE"""),1.0)</f>
        <v>1</v>
      </c>
      <c r="R179" s="6">
        <f>IFERROR(__xludf.DUMMYFUNCTION("""COMPUTED_VALUE"""),1.0)</f>
        <v>1</v>
      </c>
      <c r="S179" s="6">
        <f>IFERROR(__xludf.DUMMYFUNCTION("""COMPUTED_VALUE"""),0.0)</f>
        <v>0</v>
      </c>
      <c r="T179" s="6">
        <f>IFERROR(__xludf.DUMMYFUNCTION("""COMPUTED_VALUE"""),0.0)</f>
        <v>0</v>
      </c>
      <c r="U179" s="6">
        <f>IFERROR(__xludf.DUMMYFUNCTION("""COMPUTED_VALUE"""),0.0)</f>
        <v>0</v>
      </c>
      <c r="V179" s="4">
        <f t="shared" ref="V179:X179" si="178">SUM(D179, G179, J179, M179, P179, S179)</f>
        <v>2</v>
      </c>
      <c r="W179" s="4">
        <f t="shared" si="178"/>
        <v>1</v>
      </c>
      <c r="X179" s="4">
        <f t="shared" si="178"/>
        <v>2</v>
      </c>
    </row>
    <row r="180">
      <c r="A180" s="4" t="str">
        <f>IFERROR(__xludf.DUMMYFUNCTION("""COMPUTED_VALUE"""),"Школа 1371")</f>
        <v>Школа 1371</v>
      </c>
      <c r="B180" s="4" t="str">
        <f t="array" ref="B180">IFERROR(INDEX('Адреса школ'!F:F, MATCH(A180, 'Адреса школ'!E:E, 0)), "")</f>
        <v>55.762166, 37.413709</v>
      </c>
      <c r="C180" s="5" t="str">
        <f t="array" ref="C180">IFERROR(INDEX('Топ-400'!A:A, MATCH(A180, 'Топ-400'!E:E, 0)), "Вне рейтинга")</f>
        <v>177</v>
      </c>
      <c r="D180" s="6">
        <f>IFERROR(__xludf.DUMMYFUNCTION("""COMPUTED_VALUE"""),0.0)</f>
        <v>0</v>
      </c>
      <c r="E180" s="6">
        <f>IFERROR(__xludf.DUMMYFUNCTION("""COMPUTED_VALUE"""),0.0)</f>
        <v>0</v>
      </c>
      <c r="F180" s="6">
        <f>IFERROR(__xludf.DUMMYFUNCTION("""COMPUTED_VALUE"""),0.0)</f>
        <v>0</v>
      </c>
      <c r="G180" s="6">
        <f>IFERROR(__xludf.DUMMYFUNCTION("""COMPUTED_VALUE"""),0.0)</f>
        <v>0</v>
      </c>
      <c r="H180" s="6">
        <f>IFERROR(__xludf.DUMMYFUNCTION("""COMPUTED_VALUE"""),0.0)</f>
        <v>0</v>
      </c>
      <c r="I180" s="6">
        <f>IFERROR(__xludf.DUMMYFUNCTION("""COMPUTED_VALUE"""),0.0)</f>
        <v>0</v>
      </c>
      <c r="J180" s="6">
        <f>IFERROR(__xludf.DUMMYFUNCTION("""COMPUTED_VALUE"""),0.0)</f>
        <v>0</v>
      </c>
      <c r="K180" s="6">
        <f>IFERROR(__xludf.DUMMYFUNCTION("""COMPUTED_VALUE"""),0.0)</f>
        <v>0</v>
      </c>
      <c r="L180" s="6">
        <f>IFERROR(__xludf.DUMMYFUNCTION("""COMPUTED_VALUE"""),1.0)</f>
        <v>1</v>
      </c>
      <c r="M180" s="6">
        <f>IFERROR(__xludf.DUMMYFUNCTION("""COMPUTED_VALUE"""),1.0)</f>
        <v>1</v>
      </c>
      <c r="N180" s="6">
        <f>IFERROR(__xludf.DUMMYFUNCTION("""COMPUTED_VALUE"""),0.0)</f>
        <v>0</v>
      </c>
      <c r="O180" s="6">
        <f>IFERROR(__xludf.DUMMYFUNCTION("""COMPUTED_VALUE"""),1.0)</f>
        <v>1</v>
      </c>
      <c r="P180" s="6">
        <f>IFERROR(__xludf.DUMMYFUNCTION("""COMPUTED_VALUE"""),0.0)</f>
        <v>0</v>
      </c>
      <c r="Q180" s="6">
        <f>IFERROR(__xludf.DUMMYFUNCTION("""COMPUTED_VALUE"""),1.0)</f>
        <v>1</v>
      </c>
      <c r="R180" s="6">
        <f>IFERROR(__xludf.DUMMYFUNCTION("""COMPUTED_VALUE"""),1.0)</f>
        <v>1</v>
      </c>
      <c r="S180" s="6">
        <f>IFERROR(__xludf.DUMMYFUNCTION("""COMPUTED_VALUE"""),0.0)</f>
        <v>0</v>
      </c>
      <c r="T180" s="6">
        <f>IFERROR(__xludf.DUMMYFUNCTION("""COMPUTED_VALUE"""),0.0)</f>
        <v>0</v>
      </c>
      <c r="U180" s="6">
        <f>IFERROR(__xludf.DUMMYFUNCTION("""COMPUTED_VALUE"""),0.0)</f>
        <v>0</v>
      </c>
      <c r="V180" s="4">
        <f t="shared" ref="V180:X180" si="179">SUM(D180, G180, J180, M180, P180, S180)</f>
        <v>1</v>
      </c>
      <c r="W180" s="4">
        <f t="shared" si="179"/>
        <v>1</v>
      </c>
      <c r="X180" s="4">
        <f t="shared" si="179"/>
        <v>3</v>
      </c>
    </row>
    <row r="181">
      <c r="A181" s="4" t="str">
        <f>IFERROR(__xludf.DUMMYFUNCTION("""COMPUTED_VALUE"""),"Школа 1374")</f>
        <v>Школа 1374</v>
      </c>
      <c r="B181" s="4" t="str">
        <f t="array" ref="B181">IFERROR(INDEX('Адреса школ'!F:F, MATCH(A181, 'Адреса школ'!E:E, 0)), "")</f>
        <v>55.868773, 37.703748</v>
      </c>
      <c r="C181" s="5" t="str">
        <f t="array" ref="C181">IFERROR(INDEX('Топ-400'!A:A, MATCH(A181, 'Топ-400'!E:E, 0)), "Вне рейтинга")</f>
        <v>Вне рейтинга</v>
      </c>
      <c r="D181" s="6">
        <f>IFERROR(__xludf.DUMMYFUNCTION("""COMPUTED_VALUE"""),0.0)</f>
        <v>0</v>
      </c>
      <c r="E181" s="6">
        <f>IFERROR(__xludf.DUMMYFUNCTION("""COMPUTED_VALUE"""),0.0)</f>
        <v>0</v>
      </c>
      <c r="F181" s="6">
        <f>IFERROR(__xludf.DUMMYFUNCTION("""COMPUTED_VALUE"""),1.0)</f>
        <v>1</v>
      </c>
      <c r="G181" s="6">
        <f>IFERROR(__xludf.DUMMYFUNCTION("""COMPUTED_VALUE"""),0.0)</f>
        <v>0</v>
      </c>
      <c r="H181" s="6">
        <f>IFERROR(__xludf.DUMMYFUNCTION("""COMPUTED_VALUE"""),0.0)</f>
        <v>0</v>
      </c>
      <c r="I181" s="6">
        <f>IFERROR(__xludf.DUMMYFUNCTION("""COMPUTED_VALUE"""),0.0)</f>
        <v>0</v>
      </c>
      <c r="J181" s="6">
        <f>IFERROR(__xludf.DUMMYFUNCTION("""COMPUTED_VALUE"""),0.0)</f>
        <v>0</v>
      </c>
      <c r="K181" s="6">
        <f>IFERROR(__xludf.DUMMYFUNCTION("""COMPUTED_VALUE"""),0.0)</f>
        <v>0</v>
      </c>
      <c r="L181" s="6">
        <f>IFERROR(__xludf.DUMMYFUNCTION("""COMPUTED_VALUE"""),0.0)</f>
        <v>0</v>
      </c>
      <c r="M181" s="6">
        <f>IFERROR(__xludf.DUMMYFUNCTION("""COMPUTED_VALUE"""),0.0)</f>
        <v>0</v>
      </c>
      <c r="N181" s="6">
        <f>IFERROR(__xludf.DUMMYFUNCTION("""COMPUTED_VALUE"""),0.0)</f>
        <v>0</v>
      </c>
      <c r="O181" s="6">
        <f>IFERROR(__xludf.DUMMYFUNCTION("""COMPUTED_VALUE"""),0.0)</f>
        <v>0</v>
      </c>
      <c r="P181" s="6">
        <f>IFERROR(__xludf.DUMMYFUNCTION("""COMPUTED_VALUE"""),0.0)</f>
        <v>0</v>
      </c>
      <c r="Q181" s="6">
        <f>IFERROR(__xludf.DUMMYFUNCTION("""COMPUTED_VALUE"""),0.0)</f>
        <v>0</v>
      </c>
      <c r="R181" s="6">
        <f>IFERROR(__xludf.DUMMYFUNCTION("""COMPUTED_VALUE"""),0.0)</f>
        <v>0</v>
      </c>
      <c r="S181" s="6">
        <f>IFERROR(__xludf.DUMMYFUNCTION("""COMPUTED_VALUE"""),0.0)</f>
        <v>0</v>
      </c>
      <c r="T181" s="6">
        <f>IFERROR(__xludf.DUMMYFUNCTION("""COMPUTED_VALUE"""),0.0)</f>
        <v>0</v>
      </c>
      <c r="U181" s="6">
        <f>IFERROR(__xludf.DUMMYFUNCTION("""COMPUTED_VALUE"""),0.0)</f>
        <v>0</v>
      </c>
      <c r="V181" s="4">
        <f t="shared" ref="V181:X181" si="180">SUM(D181, G181, J181, M181, P181, S181)</f>
        <v>0</v>
      </c>
      <c r="W181" s="4">
        <f t="shared" si="180"/>
        <v>0</v>
      </c>
      <c r="X181" s="4">
        <f t="shared" si="180"/>
        <v>1</v>
      </c>
    </row>
    <row r="182">
      <c r="A182" s="4" t="str">
        <f>IFERROR(__xludf.DUMMYFUNCTION("""COMPUTED_VALUE"""),"Школа 1375")</f>
        <v>Школа 1375</v>
      </c>
      <c r="B182" s="4" t="str">
        <f t="array" ref="B182">IFERROR(INDEX('Адреса школ'!F:F, MATCH(A182, 'Адреса школ'!E:E, 0)), "")</f>
        <v>55.681493, 37.656838</v>
      </c>
      <c r="C182" s="5" t="str">
        <f t="array" ref="C182">IFERROR(INDEX('Топ-400'!A:A, MATCH(A182, 'Топ-400'!E:E, 0)), "Вне рейтинга")</f>
        <v>215</v>
      </c>
      <c r="D182" s="6">
        <f>IFERROR(__xludf.DUMMYFUNCTION("""COMPUTED_VALUE"""),1.0)</f>
        <v>1</v>
      </c>
      <c r="E182" s="6">
        <f>IFERROR(__xludf.DUMMYFUNCTION("""COMPUTED_VALUE"""),1.0)</f>
        <v>1</v>
      </c>
      <c r="F182" s="6">
        <f>IFERROR(__xludf.DUMMYFUNCTION("""COMPUTED_VALUE"""),1.0)</f>
        <v>1</v>
      </c>
      <c r="G182" s="6">
        <f>IFERROR(__xludf.DUMMYFUNCTION("""COMPUTED_VALUE"""),1.0)</f>
        <v>1</v>
      </c>
      <c r="H182" s="6">
        <f>IFERROR(__xludf.DUMMYFUNCTION("""COMPUTED_VALUE"""),1.0)</f>
        <v>1</v>
      </c>
      <c r="I182" s="6">
        <f>IFERROR(__xludf.DUMMYFUNCTION("""COMPUTED_VALUE"""),1.0)</f>
        <v>1</v>
      </c>
      <c r="J182" s="6">
        <f>IFERROR(__xludf.DUMMYFUNCTION("""COMPUTED_VALUE"""),1.0)</f>
        <v>1</v>
      </c>
      <c r="K182" s="6">
        <f>IFERROR(__xludf.DUMMYFUNCTION("""COMPUTED_VALUE"""),1.0)</f>
        <v>1</v>
      </c>
      <c r="L182" s="6">
        <f>IFERROR(__xludf.DUMMYFUNCTION("""COMPUTED_VALUE"""),1.0)</f>
        <v>1</v>
      </c>
      <c r="M182" s="6">
        <f>IFERROR(__xludf.DUMMYFUNCTION("""COMPUTED_VALUE"""),1.0)</f>
        <v>1</v>
      </c>
      <c r="N182" s="6">
        <f>IFERROR(__xludf.DUMMYFUNCTION("""COMPUTED_VALUE"""),1.0)</f>
        <v>1</v>
      </c>
      <c r="O182" s="6">
        <f>IFERROR(__xludf.DUMMYFUNCTION("""COMPUTED_VALUE"""),1.0)</f>
        <v>1</v>
      </c>
      <c r="P182" s="6">
        <f>IFERROR(__xludf.DUMMYFUNCTION("""COMPUTED_VALUE"""),0.0)</f>
        <v>0</v>
      </c>
      <c r="Q182" s="6">
        <f>IFERROR(__xludf.DUMMYFUNCTION("""COMPUTED_VALUE"""),0.0)</f>
        <v>0</v>
      </c>
      <c r="R182" s="6">
        <f>IFERROR(__xludf.DUMMYFUNCTION("""COMPUTED_VALUE"""),0.0)</f>
        <v>0</v>
      </c>
      <c r="S182" s="6">
        <f>IFERROR(__xludf.DUMMYFUNCTION("""COMPUTED_VALUE"""),0.0)</f>
        <v>0</v>
      </c>
      <c r="T182" s="6">
        <f>IFERROR(__xludf.DUMMYFUNCTION("""COMPUTED_VALUE"""),0.0)</f>
        <v>0</v>
      </c>
      <c r="U182" s="6">
        <f>IFERROR(__xludf.DUMMYFUNCTION("""COMPUTED_VALUE"""),0.0)</f>
        <v>0</v>
      </c>
      <c r="V182" s="4">
        <f t="shared" ref="V182:X182" si="181">SUM(D182, G182, J182, M182, P182, S182)</f>
        <v>4</v>
      </c>
      <c r="W182" s="4">
        <f t="shared" si="181"/>
        <v>4</v>
      </c>
      <c r="X182" s="4">
        <f t="shared" si="181"/>
        <v>4</v>
      </c>
    </row>
    <row r="183">
      <c r="A183" s="4" t="str">
        <f>IFERROR(__xludf.DUMMYFUNCTION("""COMPUTED_VALUE"""),"Школа 1381")</f>
        <v>Школа 1381</v>
      </c>
      <c r="B183" s="4" t="str">
        <f t="array" ref="B183">IFERROR(INDEX('Адреса школ'!F:F, MATCH(A183, 'Адреса школ'!E:E, 0)), "")</f>
        <v>55.873233, 37.691441</v>
      </c>
      <c r="C183" s="5" t="str">
        <f t="array" ref="C183">IFERROR(INDEX('Топ-400'!A:A, MATCH(A183, 'Топ-400'!E:E, 0)), "Вне рейтинга")</f>
        <v>347</v>
      </c>
      <c r="D183" s="6">
        <f>IFERROR(__xludf.DUMMYFUNCTION("""COMPUTED_VALUE"""),0.0)</f>
        <v>0</v>
      </c>
      <c r="E183" s="6">
        <f>IFERROR(__xludf.DUMMYFUNCTION("""COMPUTED_VALUE"""),0.0)</f>
        <v>0</v>
      </c>
      <c r="F183" s="6">
        <f>IFERROR(__xludf.DUMMYFUNCTION("""COMPUTED_VALUE"""),0.0)</f>
        <v>0</v>
      </c>
      <c r="G183" s="6">
        <f>IFERROR(__xludf.DUMMYFUNCTION("""COMPUTED_VALUE"""),0.0)</f>
        <v>0</v>
      </c>
      <c r="H183" s="6">
        <f>IFERROR(__xludf.DUMMYFUNCTION("""COMPUTED_VALUE"""),0.0)</f>
        <v>0</v>
      </c>
      <c r="I183" s="6">
        <f>IFERROR(__xludf.DUMMYFUNCTION("""COMPUTED_VALUE"""),0.0)</f>
        <v>0</v>
      </c>
      <c r="J183" s="6">
        <f>IFERROR(__xludf.DUMMYFUNCTION("""COMPUTED_VALUE"""),1.0)</f>
        <v>1</v>
      </c>
      <c r="K183" s="6">
        <f>IFERROR(__xludf.DUMMYFUNCTION("""COMPUTED_VALUE"""),1.0)</f>
        <v>1</v>
      </c>
      <c r="L183" s="6">
        <f>IFERROR(__xludf.DUMMYFUNCTION("""COMPUTED_VALUE"""),1.0)</f>
        <v>1</v>
      </c>
      <c r="M183" s="6">
        <f>IFERROR(__xludf.DUMMYFUNCTION("""COMPUTED_VALUE"""),0.0)</f>
        <v>0</v>
      </c>
      <c r="N183" s="6">
        <f>IFERROR(__xludf.DUMMYFUNCTION("""COMPUTED_VALUE"""),1.0)</f>
        <v>1</v>
      </c>
      <c r="O183" s="6">
        <f>IFERROR(__xludf.DUMMYFUNCTION("""COMPUTED_VALUE"""),1.0)</f>
        <v>1</v>
      </c>
      <c r="P183" s="6">
        <f>IFERROR(__xludf.DUMMYFUNCTION("""COMPUTED_VALUE"""),0.0)</f>
        <v>0</v>
      </c>
      <c r="Q183" s="6">
        <f>IFERROR(__xludf.DUMMYFUNCTION("""COMPUTED_VALUE"""),0.0)</f>
        <v>0</v>
      </c>
      <c r="R183" s="6">
        <f>IFERROR(__xludf.DUMMYFUNCTION("""COMPUTED_VALUE"""),0.0)</f>
        <v>0</v>
      </c>
      <c r="S183" s="6">
        <f>IFERROR(__xludf.DUMMYFUNCTION("""COMPUTED_VALUE"""),0.0)</f>
        <v>0</v>
      </c>
      <c r="T183" s="6">
        <f>IFERROR(__xludf.DUMMYFUNCTION("""COMPUTED_VALUE"""),0.0)</f>
        <v>0</v>
      </c>
      <c r="U183" s="6">
        <f>IFERROR(__xludf.DUMMYFUNCTION("""COMPUTED_VALUE"""),0.0)</f>
        <v>0</v>
      </c>
      <c r="V183" s="4">
        <f t="shared" ref="V183:X183" si="182">SUM(D183, G183, J183, M183, P183, S183)</f>
        <v>1</v>
      </c>
      <c r="W183" s="4">
        <f t="shared" si="182"/>
        <v>2</v>
      </c>
      <c r="X183" s="4">
        <f t="shared" si="182"/>
        <v>2</v>
      </c>
    </row>
    <row r="184">
      <c r="A184" s="4" t="str">
        <f>IFERROR(__xludf.DUMMYFUNCTION("""COMPUTED_VALUE"""),"Школа 1384")</f>
        <v>Школа 1384</v>
      </c>
      <c r="B184" s="4" t="str">
        <f t="array" ref="B184">IFERROR(INDEX('Адреса школ'!F:F, MATCH(A184, 'Адреса школ'!E:E, 0)), "")</f>
        <v>55.798272, 37.515461</v>
      </c>
      <c r="C184" s="5" t="str">
        <f t="array" ref="C184">IFERROR(INDEX('Топ-400'!A:A, MATCH(A184, 'Топ-400'!E:E, 0)), "Вне рейтинга")</f>
        <v>252</v>
      </c>
      <c r="D184" s="6">
        <f>IFERROR(__xludf.DUMMYFUNCTION("""COMPUTED_VALUE"""),0.0)</f>
        <v>0</v>
      </c>
      <c r="E184" s="6">
        <f>IFERROR(__xludf.DUMMYFUNCTION("""COMPUTED_VALUE"""),0.0)</f>
        <v>0</v>
      </c>
      <c r="F184" s="6">
        <f>IFERROR(__xludf.DUMMYFUNCTION("""COMPUTED_VALUE"""),0.0)</f>
        <v>0</v>
      </c>
      <c r="G184" s="6">
        <f>IFERROR(__xludf.DUMMYFUNCTION("""COMPUTED_VALUE"""),0.0)</f>
        <v>0</v>
      </c>
      <c r="H184" s="6">
        <f>IFERROR(__xludf.DUMMYFUNCTION("""COMPUTED_VALUE"""),0.0)</f>
        <v>0</v>
      </c>
      <c r="I184" s="6">
        <f>IFERROR(__xludf.DUMMYFUNCTION("""COMPUTED_VALUE"""),0.0)</f>
        <v>0</v>
      </c>
      <c r="J184" s="6">
        <f>IFERROR(__xludf.DUMMYFUNCTION("""COMPUTED_VALUE"""),1.0)</f>
        <v>1</v>
      </c>
      <c r="K184" s="6">
        <f>IFERROR(__xludf.DUMMYFUNCTION("""COMPUTED_VALUE"""),1.0)</f>
        <v>1</v>
      </c>
      <c r="L184" s="6">
        <f>IFERROR(__xludf.DUMMYFUNCTION("""COMPUTED_VALUE"""),1.0)</f>
        <v>1</v>
      </c>
      <c r="M184" s="6">
        <f>IFERROR(__xludf.DUMMYFUNCTION("""COMPUTED_VALUE"""),0.0)</f>
        <v>0</v>
      </c>
      <c r="N184" s="6">
        <f>IFERROR(__xludf.DUMMYFUNCTION("""COMPUTED_VALUE"""),0.0)</f>
        <v>0</v>
      </c>
      <c r="O184" s="6">
        <f>IFERROR(__xludf.DUMMYFUNCTION("""COMPUTED_VALUE"""),1.0)</f>
        <v>1</v>
      </c>
      <c r="P184" s="6">
        <f>IFERROR(__xludf.DUMMYFUNCTION("""COMPUTED_VALUE"""),0.0)</f>
        <v>0</v>
      </c>
      <c r="Q184" s="6">
        <f>IFERROR(__xludf.DUMMYFUNCTION("""COMPUTED_VALUE"""),0.0)</f>
        <v>0</v>
      </c>
      <c r="R184" s="6">
        <f>IFERROR(__xludf.DUMMYFUNCTION("""COMPUTED_VALUE"""),0.0)</f>
        <v>0</v>
      </c>
      <c r="S184" s="6">
        <f>IFERROR(__xludf.DUMMYFUNCTION("""COMPUTED_VALUE"""),0.0)</f>
        <v>0</v>
      </c>
      <c r="T184" s="6">
        <f>IFERROR(__xludf.DUMMYFUNCTION("""COMPUTED_VALUE"""),0.0)</f>
        <v>0</v>
      </c>
      <c r="U184" s="6">
        <f>IFERROR(__xludf.DUMMYFUNCTION("""COMPUTED_VALUE"""),0.0)</f>
        <v>0</v>
      </c>
      <c r="V184" s="4">
        <f t="shared" ref="V184:X184" si="183">SUM(D184, G184, J184, M184, P184, S184)</f>
        <v>1</v>
      </c>
      <c r="W184" s="4">
        <f t="shared" si="183"/>
        <v>1</v>
      </c>
      <c r="X184" s="4">
        <f t="shared" si="183"/>
        <v>2</v>
      </c>
    </row>
    <row r="185">
      <c r="A185" s="4" t="str">
        <f>IFERROR(__xludf.DUMMYFUNCTION("""COMPUTED_VALUE"""),"Школа 1387")</f>
        <v>Школа 1387</v>
      </c>
      <c r="B185" s="4" t="str">
        <f t="array" ref="B185">IFERROR(INDEX('Адреса школ'!F:F, MATCH(A185, 'Адреса школ'!E:E, 0)), "")</f>
        <v>55.903978, 37.382834</v>
      </c>
      <c r="C185" s="5" t="str">
        <f t="array" ref="C185">IFERROR(INDEX('Топ-400'!A:A, MATCH(A185, 'Топ-400'!E:E, 0)), "Вне рейтинга")</f>
        <v>352</v>
      </c>
      <c r="D185" s="6">
        <f>IFERROR(__xludf.DUMMYFUNCTION("""COMPUTED_VALUE"""),1.0)</f>
        <v>1</v>
      </c>
      <c r="E185" s="6">
        <f>IFERROR(__xludf.DUMMYFUNCTION("""COMPUTED_VALUE"""),0.0)</f>
        <v>0</v>
      </c>
      <c r="F185" s="6">
        <f>IFERROR(__xludf.DUMMYFUNCTION("""COMPUTED_VALUE"""),1.0)</f>
        <v>1</v>
      </c>
      <c r="G185" s="6">
        <f>IFERROR(__xludf.DUMMYFUNCTION("""COMPUTED_VALUE"""),1.0)</f>
        <v>1</v>
      </c>
      <c r="H185" s="6">
        <f>IFERROR(__xludf.DUMMYFUNCTION("""COMPUTED_VALUE"""),0.0)</f>
        <v>0</v>
      </c>
      <c r="I185" s="6">
        <f>IFERROR(__xludf.DUMMYFUNCTION("""COMPUTED_VALUE"""),1.0)</f>
        <v>1</v>
      </c>
      <c r="J185" s="6">
        <f>IFERROR(__xludf.DUMMYFUNCTION("""COMPUTED_VALUE"""),0.0)</f>
        <v>0</v>
      </c>
      <c r="K185" s="6">
        <f>IFERROR(__xludf.DUMMYFUNCTION("""COMPUTED_VALUE"""),1.0)</f>
        <v>1</v>
      </c>
      <c r="L185" s="6">
        <f>IFERROR(__xludf.DUMMYFUNCTION("""COMPUTED_VALUE"""),1.0)</f>
        <v>1</v>
      </c>
      <c r="M185" s="6">
        <f>IFERROR(__xludf.DUMMYFUNCTION("""COMPUTED_VALUE"""),0.0)</f>
        <v>0</v>
      </c>
      <c r="N185" s="6">
        <f>IFERROR(__xludf.DUMMYFUNCTION("""COMPUTED_VALUE"""),0.0)</f>
        <v>0</v>
      </c>
      <c r="O185" s="6">
        <f>IFERROR(__xludf.DUMMYFUNCTION("""COMPUTED_VALUE"""),1.0)</f>
        <v>1</v>
      </c>
      <c r="P185" s="6">
        <f>IFERROR(__xludf.DUMMYFUNCTION("""COMPUTED_VALUE"""),1.0)</f>
        <v>1</v>
      </c>
      <c r="Q185" s="6">
        <f>IFERROR(__xludf.DUMMYFUNCTION("""COMPUTED_VALUE"""),1.0)</f>
        <v>1</v>
      </c>
      <c r="R185" s="6">
        <f>IFERROR(__xludf.DUMMYFUNCTION("""COMPUTED_VALUE"""),1.0)</f>
        <v>1</v>
      </c>
      <c r="S185" s="6">
        <f>IFERROR(__xludf.DUMMYFUNCTION("""COMPUTED_VALUE"""),0.0)</f>
        <v>0</v>
      </c>
      <c r="T185" s="6">
        <f>IFERROR(__xludf.DUMMYFUNCTION("""COMPUTED_VALUE"""),0.0)</f>
        <v>0</v>
      </c>
      <c r="U185" s="6">
        <f>IFERROR(__xludf.DUMMYFUNCTION("""COMPUTED_VALUE"""),0.0)</f>
        <v>0</v>
      </c>
      <c r="V185" s="4">
        <f t="shared" ref="V185:X185" si="184">SUM(D185, G185, J185, M185, P185, S185)</f>
        <v>3</v>
      </c>
      <c r="W185" s="4">
        <f t="shared" si="184"/>
        <v>2</v>
      </c>
      <c r="X185" s="4">
        <f t="shared" si="184"/>
        <v>5</v>
      </c>
    </row>
    <row r="186">
      <c r="A186" s="4" t="str">
        <f>IFERROR(__xludf.DUMMYFUNCTION("""COMPUTED_VALUE"""),"Школа 1391")</f>
        <v>Школа 1391</v>
      </c>
      <c r="B186" s="4" t="str">
        <f t="array" ref="B186">IFERROR(INDEX('Адреса школ'!F:F, MATCH(A186, 'Адреса школ'!E:E, 0)), "")</f>
        <v>55.430242, 36.870983</v>
      </c>
      <c r="C186" s="5" t="str">
        <f t="array" ref="C186">IFERROR(INDEX('Топ-400'!A:A, MATCH(A186, 'Топ-400'!E:E, 0)), "Вне рейтинга")</f>
        <v>Вне рейтинга</v>
      </c>
      <c r="D186" s="6">
        <f>IFERROR(__xludf.DUMMYFUNCTION("""COMPUTED_VALUE"""),1.0)</f>
        <v>1</v>
      </c>
      <c r="E186" s="6">
        <f>IFERROR(__xludf.DUMMYFUNCTION("""COMPUTED_VALUE"""),1.0)</f>
        <v>1</v>
      </c>
      <c r="F186" s="6">
        <f>IFERROR(__xludf.DUMMYFUNCTION("""COMPUTED_VALUE"""),1.0)</f>
        <v>1</v>
      </c>
      <c r="G186" s="6">
        <f>IFERROR(__xludf.DUMMYFUNCTION("""COMPUTED_VALUE"""),0.0)</f>
        <v>0</v>
      </c>
      <c r="H186" s="6">
        <f>IFERROR(__xludf.DUMMYFUNCTION("""COMPUTED_VALUE"""),0.0)</f>
        <v>0</v>
      </c>
      <c r="I186" s="6">
        <f>IFERROR(__xludf.DUMMYFUNCTION("""COMPUTED_VALUE"""),0.0)</f>
        <v>0</v>
      </c>
      <c r="J186" s="6">
        <f>IFERROR(__xludf.DUMMYFUNCTION("""COMPUTED_VALUE"""),1.0)</f>
        <v>1</v>
      </c>
      <c r="K186" s="6">
        <f>IFERROR(__xludf.DUMMYFUNCTION("""COMPUTED_VALUE"""),0.0)</f>
        <v>0</v>
      </c>
      <c r="L186" s="6">
        <f>IFERROR(__xludf.DUMMYFUNCTION("""COMPUTED_VALUE"""),0.0)</f>
        <v>0</v>
      </c>
      <c r="M186" s="6">
        <f>IFERROR(__xludf.DUMMYFUNCTION("""COMPUTED_VALUE"""),1.0)</f>
        <v>1</v>
      </c>
      <c r="N186" s="6">
        <f>IFERROR(__xludf.DUMMYFUNCTION("""COMPUTED_VALUE"""),1.0)</f>
        <v>1</v>
      </c>
      <c r="O186" s="6">
        <f>IFERROR(__xludf.DUMMYFUNCTION("""COMPUTED_VALUE"""),1.0)</f>
        <v>1</v>
      </c>
      <c r="P186" s="6">
        <f>IFERROR(__xludf.DUMMYFUNCTION("""COMPUTED_VALUE"""),1.0)</f>
        <v>1</v>
      </c>
      <c r="Q186" s="6">
        <f>IFERROR(__xludf.DUMMYFUNCTION("""COMPUTED_VALUE"""),0.0)</f>
        <v>0</v>
      </c>
      <c r="R186" s="6">
        <f>IFERROR(__xludf.DUMMYFUNCTION("""COMPUTED_VALUE"""),0.0)</f>
        <v>0</v>
      </c>
      <c r="S186" s="6">
        <f>IFERROR(__xludf.DUMMYFUNCTION("""COMPUTED_VALUE"""),0.0)</f>
        <v>0</v>
      </c>
      <c r="T186" s="6">
        <f>IFERROR(__xludf.DUMMYFUNCTION("""COMPUTED_VALUE"""),0.0)</f>
        <v>0</v>
      </c>
      <c r="U186" s="6">
        <f>IFERROR(__xludf.DUMMYFUNCTION("""COMPUTED_VALUE"""),0.0)</f>
        <v>0</v>
      </c>
      <c r="V186" s="4">
        <f t="shared" ref="V186:X186" si="185">SUM(D186, G186, J186, M186, P186, S186)</f>
        <v>4</v>
      </c>
      <c r="W186" s="4">
        <f t="shared" si="185"/>
        <v>2</v>
      </c>
      <c r="X186" s="4">
        <f t="shared" si="185"/>
        <v>2</v>
      </c>
    </row>
    <row r="187">
      <c r="A187" s="4" t="str">
        <f>IFERROR(__xludf.DUMMYFUNCTION("""COMPUTED_VALUE"""),"Школа 1392")</f>
        <v>Школа 1392</v>
      </c>
      <c r="B187" s="4" t="str">
        <f t="array" ref="B187">IFERROR(INDEX('Адреса школ'!F:F, MATCH(A187, 'Адреса школ'!E:E, 0)), "")</f>
        <v>55.499571, 37.366619</v>
      </c>
      <c r="C187" s="5" t="str">
        <f t="array" ref="C187">IFERROR(INDEX('Топ-400'!A:A, MATCH(A187, 'Топ-400'!E:E, 0)), "Вне рейтинга")</f>
        <v>277</v>
      </c>
      <c r="D187" s="6">
        <f>IFERROR(__xludf.DUMMYFUNCTION("""COMPUTED_VALUE"""),1.0)</f>
        <v>1</v>
      </c>
      <c r="E187" s="6">
        <f>IFERROR(__xludf.DUMMYFUNCTION("""COMPUTED_VALUE"""),1.0)</f>
        <v>1</v>
      </c>
      <c r="F187" s="6">
        <f>IFERROR(__xludf.DUMMYFUNCTION("""COMPUTED_VALUE"""),1.0)</f>
        <v>1</v>
      </c>
      <c r="G187" s="6">
        <f>IFERROR(__xludf.DUMMYFUNCTION("""COMPUTED_VALUE"""),1.0)</f>
        <v>1</v>
      </c>
      <c r="H187" s="6">
        <f>IFERROR(__xludf.DUMMYFUNCTION("""COMPUTED_VALUE"""),0.0)</f>
        <v>0</v>
      </c>
      <c r="I187" s="6">
        <f>IFERROR(__xludf.DUMMYFUNCTION("""COMPUTED_VALUE"""),1.0)</f>
        <v>1</v>
      </c>
      <c r="J187" s="6">
        <f>IFERROR(__xludf.DUMMYFUNCTION("""COMPUTED_VALUE"""),0.0)</f>
        <v>0</v>
      </c>
      <c r="K187" s="6">
        <f>IFERROR(__xludf.DUMMYFUNCTION("""COMPUTED_VALUE"""),0.0)</f>
        <v>0</v>
      </c>
      <c r="L187" s="6">
        <f>IFERROR(__xludf.DUMMYFUNCTION("""COMPUTED_VALUE"""),0.0)</f>
        <v>0</v>
      </c>
      <c r="M187" s="6">
        <f>IFERROR(__xludf.DUMMYFUNCTION("""COMPUTED_VALUE"""),1.0)</f>
        <v>1</v>
      </c>
      <c r="N187" s="6">
        <f>IFERROR(__xludf.DUMMYFUNCTION("""COMPUTED_VALUE"""),1.0)</f>
        <v>1</v>
      </c>
      <c r="O187" s="6">
        <f>IFERROR(__xludf.DUMMYFUNCTION("""COMPUTED_VALUE"""),1.0)</f>
        <v>1</v>
      </c>
      <c r="P187" s="6">
        <f>IFERROR(__xludf.DUMMYFUNCTION("""COMPUTED_VALUE"""),0.0)</f>
        <v>0</v>
      </c>
      <c r="Q187" s="6">
        <f>IFERROR(__xludf.DUMMYFUNCTION("""COMPUTED_VALUE"""),0.0)</f>
        <v>0</v>
      </c>
      <c r="R187" s="6">
        <f>IFERROR(__xludf.DUMMYFUNCTION("""COMPUTED_VALUE"""),0.0)</f>
        <v>0</v>
      </c>
      <c r="S187" s="6">
        <f>IFERROR(__xludf.DUMMYFUNCTION("""COMPUTED_VALUE"""),0.0)</f>
        <v>0</v>
      </c>
      <c r="T187" s="6">
        <f>IFERROR(__xludf.DUMMYFUNCTION("""COMPUTED_VALUE"""),0.0)</f>
        <v>0</v>
      </c>
      <c r="U187" s="6">
        <f>IFERROR(__xludf.DUMMYFUNCTION("""COMPUTED_VALUE"""),0.0)</f>
        <v>0</v>
      </c>
      <c r="V187" s="4">
        <f t="shared" ref="V187:X187" si="186">SUM(D187, G187, J187, M187, P187, S187)</f>
        <v>3</v>
      </c>
      <c r="W187" s="4">
        <f t="shared" si="186"/>
        <v>2</v>
      </c>
      <c r="X187" s="4">
        <f t="shared" si="186"/>
        <v>3</v>
      </c>
    </row>
    <row r="188">
      <c r="A188" s="4" t="str">
        <f>IFERROR(__xludf.DUMMYFUNCTION("""COMPUTED_VALUE"""),"Школа 1400")</f>
        <v>Школа 1400</v>
      </c>
      <c r="B188" s="4" t="str">
        <f t="array" ref="B188">IFERROR(INDEX('Адреса школ'!F:F, MATCH(A188, 'Адреса школ'!E:E, 0)), "")</f>
        <v>55.717558, 37.407304</v>
      </c>
      <c r="C188" s="5" t="str">
        <f t="array" ref="C188">IFERROR(INDEX('Топ-400'!A:A, MATCH(A188, 'Топ-400'!E:E, 0)), "Вне рейтинга")</f>
        <v>81</v>
      </c>
      <c r="D188" s="6">
        <f>IFERROR(__xludf.DUMMYFUNCTION("""COMPUTED_VALUE"""),1.0)</f>
        <v>1</v>
      </c>
      <c r="E188" s="6">
        <f>IFERROR(__xludf.DUMMYFUNCTION("""COMPUTED_VALUE"""),1.0)</f>
        <v>1</v>
      </c>
      <c r="F188" s="6">
        <f>IFERROR(__xludf.DUMMYFUNCTION("""COMPUTED_VALUE"""),1.0)</f>
        <v>1</v>
      </c>
      <c r="G188" s="6">
        <f>IFERROR(__xludf.DUMMYFUNCTION("""COMPUTED_VALUE"""),1.0)</f>
        <v>1</v>
      </c>
      <c r="H188" s="6">
        <f>IFERROR(__xludf.DUMMYFUNCTION("""COMPUTED_VALUE"""),0.0)</f>
        <v>0</v>
      </c>
      <c r="I188" s="6">
        <f>IFERROR(__xludf.DUMMYFUNCTION("""COMPUTED_VALUE"""),0.0)</f>
        <v>0</v>
      </c>
      <c r="J188" s="6">
        <f>IFERROR(__xludf.DUMMYFUNCTION("""COMPUTED_VALUE"""),1.0)</f>
        <v>1</v>
      </c>
      <c r="K188" s="6">
        <f>IFERROR(__xludf.DUMMYFUNCTION("""COMPUTED_VALUE"""),0.0)</f>
        <v>0</v>
      </c>
      <c r="L188" s="6">
        <f>IFERROR(__xludf.DUMMYFUNCTION("""COMPUTED_VALUE"""),1.0)</f>
        <v>1</v>
      </c>
      <c r="M188" s="6">
        <f>IFERROR(__xludf.DUMMYFUNCTION("""COMPUTED_VALUE"""),1.0)</f>
        <v>1</v>
      </c>
      <c r="N188" s="6">
        <f>IFERROR(__xludf.DUMMYFUNCTION("""COMPUTED_VALUE"""),1.0)</f>
        <v>1</v>
      </c>
      <c r="O188" s="6">
        <f>IFERROR(__xludf.DUMMYFUNCTION("""COMPUTED_VALUE"""),1.0)</f>
        <v>1</v>
      </c>
      <c r="P188" s="6">
        <f>IFERROR(__xludf.DUMMYFUNCTION("""COMPUTED_VALUE"""),1.0)</f>
        <v>1</v>
      </c>
      <c r="Q188" s="6">
        <f>IFERROR(__xludf.DUMMYFUNCTION("""COMPUTED_VALUE"""),1.0)</f>
        <v>1</v>
      </c>
      <c r="R188" s="6">
        <f>IFERROR(__xludf.DUMMYFUNCTION("""COMPUTED_VALUE"""),1.0)</f>
        <v>1</v>
      </c>
      <c r="S188" s="6">
        <f>IFERROR(__xludf.DUMMYFUNCTION("""COMPUTED_VALUE"""),0.0)</f>
        <v>0</v>
      </c>
      <c r="T188" s="6">
        <f>IFERROR(__xludf.DUMMYFUNCTION("""COMPUTED_VALUE"""),0.0)</f>
        <v>0</v>
      </c>
      <c r="U188" s="6">
        <f>IFERROR(__xludf.DUMMYFUNCTION("""COMPUTED_VALUE"""),0.0)</f>
        <v>0</v>
      </c>
      <c r="V188" s="4">
        <f t="shared" ref="V188:X188" si="187">SUM(D188, G188, J188, M188, P188, S188)</f>
        <v>5</v>
      </c>
      <c r="W188" s="4">
        <f t="shared" si="187"/>
        <v>3</v>
      </c>
      <c r="X188" s="4">
        <f t="shared" si="187"/>
        <v>4</v>
      </c>
    </row>
    <row r="189">
      <c r="A189" s="4" t="str">
        <f>IFERROR(__xludf.DUMMYFUNCTION("""COMPUTED_VALUE"""),"Школа 1409")</f>
        <v>Школа 1409</v>
      </c>
      <c r="B189" s="4" t="str">
        <f t="array" ref="B189">IFERROR(INDEX('Адреса школ'!F:F, MATCH(A189, 'Адреса школ'!E:E, 0)), "")</f>
        <v>55.784374, 37.531711</v>
      </c>
      <c r="C189" s="5" t="str">
        <f t="array" ref="C189">IFERROR(INDEX('Топ-400'!A:A, MATCH(A189, 'Топ-400'!E:E, 0)), "Вне рейтинга")</f>
        <v>105</v>
      </c>
      <c r="D189" s="6">
        <f>IFERROR(__xludf.DUMMYFUNCTION("""COMPUTED_VALUE"""),1.0)</f>
        <v>1</v>
      </c>
      <c r="E189" s="6">
        <f>IFERROR(__xludf.DUMMYFUNCTION("""COMPUTED_VALUE"""),0.0)</f>
        <v>0</v>
      </c>
      <c r="F189" s="6">
        <f>IFERROR(__xludf.DUMMYFUNCTION("""COMPUTED_VALUE"""),1.0)</f>
        <v>1</v>
      </c>
      <c r="G189" s="6">
        <f>IFERROR(__xludf.DUMMYFUNCTION("""COMPUTED_VALUE"""),1.0)</f>
        <v>1</v>
      </c>
      <c r="H189" s="6">
        <f>IFERROR(__xludf.DUMMYFUNCTION("""COMPUTED_VALUE"""),1.0)</f>
        <v>1</v>
      </c>
      <c r="I189" s="6">
        <f>IFERROR(__xludf.DUMMYFUNCTION("""COMPUTED_VALUE"""),1.0)</f>
        <v>1</v>
      </c>
      <c r="J189" s="6">
        <f>IFERROR(__xludf.DUMMYFUNCTION("""COMPUTED_VALUE"""),1.0)</f>
        <v>1</v>
      </c>
      <c r="K189" s="6">
        <f>IFERROR(__xludf.DUMMYFUNCTION("""COMPUTED_VALUE"""),1.0)</f>
        <v>1</v>
      </c>
      <c r="L189" s="6">
        <f>IFERROR(__xludf.DUMMYFUNCTION("""COMPUTED_VALUE"""),1.0)</f>
        <v>1</v>
      </c>
      <c r="M189" s="6">
        <f>IFERROR(__xludf.DUMMYFUNCTION("""COMPUTED_VALUE"""),1.0)</f>
        <v>1</v>
      </c>
      <c r="N189" s="6">
        <f>IFERROR(__xludf.DUMMYFUNCTION("""COMPUTED_VALUE"""),1.0)</f>
        <v>1</v>
      </c>
      <c r="O189" s="6">
        <f>IFERROR(__xludf.DUMMYFUNCTION("""COMPUTED_VALUE"""),1.0)</f>
        <v>1</v>
      </c>
      <c r="P189" s="6">
        <f>IFERROR(__xludf.DUMMYFUNCTION("""COMPUTED_VALUE"""),1.0)</f>
        <v>1</v>
      </c>
      <c r="Q189" s="6">
        <f>IFERROR(__xludf.DUMMYFUNCTION("""COMPUTED_VALUE"""),1.0)</f>
        <v>1</v>
      </c>
      <c r="R189" s="6">
        <f>IFERROR(__xludf.DUMMYFUNCTION("""COMPUTED_VALUE"""),1.0)</f>
        <v>1</v>
      </c>
      <c r="S189" s="6">
        <f>IFERROR(__xludf.DUMMYFUNCTION("""COMPUTED_VALUE"""),0.0)</f>
        <v>0</v>
      </c>
      <c r="T189" s="6">
        <f>IFERROR(__xludf.DUMMYFUNCTION("""COMPUTED_VALUE"""),0.0)</f>
        <v>0</v>
      </c>
      <c r="U189" s="6">
        <f>IFERROR(__xludf.DUMMYFUNCTION("""COMPUTED_VALUE"""),0.0)</f>
        <v>0</v>
      </c>
      <c r="V189" s="4">
        <f t="shared" ref="V189:X189" si="188">SUM(D189, G189, J189, M189, P189, S189)</f>
        <v>5</v>
      </c>
      <c r="W189" s="4">
        <f t="shared" si="188"/>
        <v>4</v>
      </c>
      <c r="X189" s="4">
        <f t="shared" si="188"/>
        <v>5</v>
      </c>
    </row>
    <row r="190">
      <c r="A190" s="4" t="str">
        <f>IFERROR(__xludf.DUMMYFUNCTION("""COMPUTED_VALUE"""),"Школа 1411")</f>
        <v>Школа 1411</v>
      </c>
      <c r="B190" s="4" t="str">
        <f t="array" ref="B190">IFERROR(INDEX('Адреса школ'!F:F, MATCH(A190, 'Адреса школ'!E:E, 0)), "")</f>
        <v>55.866723, 37.601546</v>
      </c>
      <c r="C190" s="5" t="str">
        <f t="array" ref="C190">IFERROR(INDEX('Топ-400'!A:A, MATCH(A190, 'Топ-400'!E:E, 0)), "Вне рейтинга")</f>
        <v>112</v>
      </c>
      <c r="D190" s="6">
        <f>IFERROR(__xludf.DUMMYFUNCTION("""COMPUTED_VALUE"""),1.0)</f>
        <v>1</v>
      </c>
      <c r="E190" s="6">
        <f>IFERROR(__xludf.DUMMYFUNCTION("""COMPUTED_VALUE"""),1.0)</f>
        <v>1</v>
      </c>
      <c r="F190" s="6">
        <f>IFERROR(__xludf.DUMMYFUNCTION("""COMPUTED_VALUE"""),1.0)</f>
        <v>1</v>
      </c>
      <c r="G190" s="6">
        <f>IFERROR(__xludf.DUMMYFUNCTION("""COMPUTED_VALUE"""),0.0)</f>
        <v>0</v>
      </c>
      <c r="H190" s="6">
        <f>IFERROR(__xludf.DUMMYFUNCTION("""COMPUTED_VALUE"""),0.0)</f>
        <v>0</v>
      </c>
      <c r="I190" s="6">
        <f>IFERROR(__xludf.DUMMYFUNCTION("""COMPUTED_VALUE"""),0.0)</f>
        <v>0</v>
      </c>
      <c r="J190" s="6">
        <f>IFERROR(__xludf.DUMMYFUNCTION("""COMPUTED_VALUE"""),0.0)</f>
        <v>0</v>
      </c>
      <c r="K190" s="6">
        <f>IFERROR(__xludf.DUMMYFUNCTION("""COMPUTED_VALUE"""),0.0)</f>
        <v>0</v>
      </c>
      <c r="L190" s="6">
        <f>IFERROR(__xludf.DUMMYFUNCTION("""COMPUTED_VALUE"""),0.0)</f>
        <v>0</v>
      </c>
      <c r="M190" s="6">
        <f>IFERROR(__xludf.DUMMYFUNCTION("""COMPUTED_VALUE"""),0.0)</f>
        <v>0</v>
      </c>
      <c r="N190" s="6">
        <f>IFERROR(__xludf.DUMMYFUNCTION("""COMPUTED_VALUE"""),0.0)</f>
        <v>0</v>
      </c>
      <c r="O190" s="6">
        <f>IFERROR(__xludf.DUMMYFUNCTION("""COMPUTED_VALUE"""),0.0)</f>
        <v>0</v>
      </c>
      <c r="P190" s="6">
        <f>IFERROR(__xludf.DUMMYFUNCTION("""COMPUTED_VALUE"""),0.0)</f>
        <v>0</v>
      </c>
      <c r="Q190" s="6">
        <f>IFERROR(__xludf.DUMMYFUNCTION("""COMPUTED_VALUE"""),0.0)</f>
        <v>0</v>
      </c>
      <c r="R190" s="6">
        <f>IFERROR(__xludf.DUMMYFUNCTION("""COMPUTED_VALUE"""),0.0)</f>
        <v>0</v>
      </c>
      <c r="S190" s="6">
        <f>IFERROR(__xludf.DUMMYFUNCTION("""COMPUTED_VALUE"""),0.0)</f>
        <v>0</v>
      </c>
      <c r="T190" s="6">
        <f>IFERROR(__xludf.DUMMYFUNCTION("""COMPUTED_VALUE"""),0.0)</f>
        <v>0</v>
      </c>
      <c r="U190" s="6">
        <f>IFERROR(__xludf.DUMMYFUNCTION("""COMPUTED_VALUE"""),0.0)</f>
        <v>0</v>
      </c>
      <c r="V190" s="4">
        <f t="shared" ref="V190:X190" si="189">SUM(D190, G190, J190, M190, P190, S190)</f>
        <v>1</v>
      </c>
      <c r="W190" s="4">
        <f t="shared" si="189"/>
        <v>1</v>
      </c>
      <c r="X190" s="4">
        <f t="shared" si="189"/>
        <v>1</v>
      </c>
    </row>
    <row r="191">
      <c r="A191" s="4" t="str">
        <f>IFERROR(__xludf.DUMMYFUNCTION("""COMPUTED_VALUE"""),"Школа 1412")</f>
        <v>Школа 1412</v>
      </c>
      <c r="B191" s="4" t="str">
        <f t="array" ref="B191">IFERROR(INDEX('Адреса школ'!F:F, MATCH(A191, 'Адреса школ'!E:E, 0)), "")</f>
        <v>55.890886, 37.601654</v>
      </c>
      <c r="C191" s="5" t="str">
        <f t="array" ref="C191">IFERROR(INDEX('Топ-400'!A:A, MATCH(A191, 'Топ-400'!E:E, 0)), "Вне рейтинга")</f>
        <v>343</v>
      </c>
      <c r="D191" s="6">
        <f>IFERROR(__xludf.DUMMYFUNCTION("""COMPUTED_VALUE"""),1.0)</f>
        <v>1</v>
      </c>
      <c r="E191" s="6">
        <f>IFERROR(__xludf.DUMMYFUNCTION("""COMPUTED_VALUE"""),1.0)</f>
        <v>1</v>
      </c>
      <c r="F191" s="6">
        <f>IFERROR(__xludf.DUMMYFUNCTION("""COMPUTED_VALUE"""),1.0)</f>
        <v>1</v>
      </c>
      <c r="G191" s="6">
        <f>IFERROR(__xludf.DUMMYFUNCTION("""COMPUTED_VALUE"""),1.0)</f>
        <v>1</v>
      </c>
      <c r="H191" s="6">
        <f>IFERROR(__xludf.DUMMYFUNCTION("""COMPUTED_VALUE"""),0.0)</f>
        <v>0</v>
      </c>
      <c r="I191" s="6">
        <f>IFERROR(__xludf.DUMMYFUNCTION("""COMPUTED_VALUE"""),1.0)</f>
        <v>1</v>
      </c>
      <c r="J191" s="6">
        <f>IFERROR(__xludf.DUMMYFUNCTION("""COMPUTED_VALUE"""),0.0)</f>
        <v>0</v>
      </c>
      <c r="K191" s="6">
        <f>IFERROR(__xludf.DUMMYFUNCTION("""COMPUTED_VALUE"""),0.0)</f>
        <v>0</v>
      </c>
      <c r="L191" s="6">
        <f>IFERROR(__xludf.DUMMYFUNCTION("""COMPUTED_VALUE"""),0.0)</f>
        <v>0</v>
      </c>
      <c r="M191" s="6">
        <f>IFERROR(__xludf.DUMMYFUNCTION("""COMPUTED_VALUE"""),0.0)</f>
        <v>0</v>
      </c>
      <c r="N191" s="6">
        <f>IFERROR(__xludf.DUMMYFUNCTION("""COMPUTED_VALUE"""),0.0)</f>
        <v>0</v>
      </c>
      <c r="O191" s="6">
        <f>IFERROR(__xludf.DUMMYFUNCTION("""COMPUTED_VALUE"""),0.0)</f>
        <v>0</v>
      </c>
      <c r="P191" s="6">
        <f>IFERROR(__xludf.DUMMYFUNCTION("""COMPUTED_VALUE"""),0.0)</f>
        <v>0</v>
      </c>
      <c r="Q191" s="6">
        <f>IFERROR(__xludf.DUMMYFUNCTION("""COMPUTED_VALUE"""),0.0)</f>
        <v>0</v>
      </c>
      <c r="R191" s="6">
        <f>IFERROR(__xludf.DUMMYFUNCTION("""COMPUTED_VALUE"""),0.0)</f>
        <v>0</v>
      </c>
      <c r="S191" s="6">
        <f>IFERROR(__xludf.DUMMYFUNCTION("""COMPUTED_VALUE"""),0.0)</f>
        <v>0</v>
      </c>
      <c r="T191" s="6">
        <f>IFERROR(__xludf.DUMMYFUNCTION("""COMPUTED_VALUE"""),0.0)</f>
        <v>0</v>
      </c>
      <c r="U191" s="6">
        <f>IFERROR(__xludf.DUMMYFUNCTION("""COMPUTED_VALUE"""),0.0)</f>
        <v>0</v>
      </c>
      <c r="V191" s="4">
        <f t="shared" ref="V191:X191" si="190">SUM(D191, G191, J191, M191, P191, S191)</f>
        <v>2</v>
      </c>
      <c r="W191" s="4">
        <f t="shared" si="190"/>
        <v>1</v>
      </c>
      <c r="X191" s="4">
        <f t="shared" si="190"/>
        <v>2</v>
      </c>
    </row>
    <row r="192">
      <c r="A192" s="4" t="str">
        <f>IFERROR(__xludf.DUMMYFUNCTION("""COMPUTED_VALUE"""),"Школа 1413")</f>
        <v>Школа 1413</v>
      </c>
      <c r="B192" s="4" t="str">
        <f t="array" ref="B192">IFERROR(INDEX('Адреса школ'!F:F, MATCH(A192, 'Адреса школ'!E:E, 0)), "")</f>
        <v>55.896852, 37.617554</v>
      </c>
      <c r="C192" s="5" t="str">
        <f t="array" ref="C192">IFERROR(INDEX('Топ-400'!A:A, MATCH(A192, 'Топ-400'!E:E, 0)), "Вне рейтинга")</f>
        <v>344</v>
      </c>
      <c r="D192" s="6">
        <f>IFERROR(__xludf.DUMMYFUNCTION("""COMPUTED_VALUE"""),1.0)</f>
        <v>1</v>
      </c>
      <c r="E192" s="6">
        <f>IFERROR(__xludf.DUMMYFUNCTION("""COMPUTED_VALUE"""),0.0)</f>
        <v>0</v>
      </c>
      <c r="F192" s="6">
        <f>IFERROR(__xludf.DUMMYFUNCTION("""COMPUTED_VALUE"""),0.0)</f>
        <v>0</v>
      </c>
      <c r="G192" s="6">
        <f>IFERROR(__xludf.DUMMYFUNCTION("""COMPUTED_VALUE"""),0.0)</f>
        <v>0</v>
      </c>
      <c r="H192" s="6">
        <f>IFERROR(__xludf.DUMMYFUNCTION("""COMPUTED_VALUE"""),0.0)</f>
        <v>0</v>
      </c>
      <c r="I192" s="6">
        <f>IFERROR(__xludf.DUMMYFUNCTION("""COMPUTED_VALUE"""),0.0)</f>
        <v>0</v>
      </c>
      <c r="J192" s="6">
        <f>IFERROR(__xludf.DUMMYFUNCTION("""COMPUTED_VALUE"""),0.0)</f>
        <v>0</v>
      </c>
      <c r="K192" s="6">
        <f>IFERROR(__xludf.DUMMYFUNCTION("""COMPUTED_VALUE"""),0.0)</f>
        <v>0</v>
      </c>
      <c r="L192" s="6">
        <f>IFERROR(__xludf.DUMMYFUNCTION("""COMPUTED_VALUE"""),0.0)</f>
        <v>0</v>
      </c>
      <c r="M192" s="6">
        <f>IFERROR(__xludf.DUMMYFUNCTION("""COMPUTED_VALUE"""),1.0)</f>
        <v>1</v>
      </c>
      <c r="N192" s="6">
        <f>IFERROR(__xludf.DUMMYFUNCTION("""COMPUTED_VALUE"""),0.0)</f>
        <v>0</v>
      </c>
      <c r="O192" s="6">
        <f>IFERROR(__xludf.DUMMYFUNCTION("""COMPUTED_VALUE"""),0.0)</f>
        <v>0</v>
      </c>
      <c r="P192" s="6">
        <f>IFERROR(__xludf.DUMMYFUNCTION("""COMPUTED_VALUE"""),1.0)</f>
        <v>1</v>
      </c>
      <c r="Q192" s="6">
        <f>IFERROR(__xludf.DUMMYFUNCTION("""COMPUTED_VALUE"""),1.0)</f>
        <v>1</v>
      </c>
      <c r="R192" s="6">
        <f>IFERROR(__xludf.DUMMYFUNCTION("""COMPUTED_VALUE"""),0.0)</f>
        <v>0</v>
      </c>
      <c r="S192" s="6">
        <f>IFERROR(__xludf.DUMMYFUNCTION("""COMPUTED_VALUE"""),0.0)</f>
        <v>0</v>
      </c>
      <c r="T192" s="6">
        <f>IFERROR(__xludf.DUMMYFUNCTION("""COMPUTED_VALUE"""),0.0)</f>
        <v>0</v>
      </c>
      <c r="U192" s="6">
        <f>IFERROR(__xludf.DUMMYFUNCTION("""COMPUTED_VALUE"""),0.0)</f>
        <v>0</v>
      </c>
      <c r="V192" s="4">
        <f t="shared" ref="V192:X192" si="191">SUM(D192, G192, J192, M192, P192, S192)</f>
        <v>3</v>
      </c>
      <c r="W192" s="4">
        <f t="shared" si="191"/>
        <v>1</v>
      </c>
      <c r="X192" s="4">
        <f t="shared" si="191"/>
        <v>0</v>
      </c>
    </row>
    <row r="193">
      <c r="A193" s="4" t="str">
        <f>IFERROR(__xludf.DUMMYFUNCTION("""COMPUTED_VALUE"""),"Школа 1415")</f>
        <v>Школа 1415</v>
      </c>
      <c r="B193" s="4" t="str">
        <f t="array" ref="B193">IFERROR(INDEX('Адреса школ'!F:F, MATCH(A193, 'Адреса школ'!E:E, 0)), "")</f>
        <v>55.824733, 37.624525</v>
      </c>
      <c r="C193" s="5" t="str">
        <f t="array" ref="C193">IFERROR(INDEX('Топ-400'!A:A, MATCH(A193, 'Топ-400'!E:E, 0)), "Вне рейтинга")</f>
        <v>191</v>
      </c>
      <c r="D193" s="6">
        <f>IFERROR(__xludf.DUMMYFUNCTION("""COMPUTED_VALUE"""),0.0)</f>
        <v>0</v>
      </c>
      <c r="E193" s="6">
        <f>IFERROR(__xludf.DUMMYFUNCTION("""COMPUTED_VALUE"""),0.0)</f>
        <v>0</v>
      </c>
      <c r="F193" s="6">
        <f>IFERROR(__xludf.DUMMYFUNCTION("""COMPUTED_VALUE"""),0.0)</f>
        <v>0</v>
      </c>
      <c r="G193" s="6">
        <f>IFERROR(__xludf.DUMMYFUNCTION("""COMPUTED_VALUE"""),0.0)</f>
        <v>0</v>
      </c>
      <c r="H193" s="6">
        <f>IFERROR(__xludf.DUMMYFUNCTION("""COMPUTED_VALUE"""),0.0)</f>
        <v>0</v>
      </c>
      <c r="I193" s="6">
        <f>IFERROR(__xludf.DUMMYFUNCTION("""COMPUTED_VALUE"""),0.0)</f>
        <v>0</v>
      </c>
      <c r="J193" s="6">
        <f>IFERROR(__xludf.DUMMYFUNCTION("""COMPUTED_VALUE"""),0.0)</f>
        <v>0</v>
      </c>
      <c r="K193" s="6">
        <f>IFERROR(__xludf.DUMMYFUNCTION("""COMPUTED_VALUE"""),0.0)</f>
        <v>0</v>
      </c>
      <c r="L193" s="6">
        <f>IFERROR(__xludf.DUMMYFUNCTION("""COMPUTED_VALUE"""),0.0)</f>
        <v>0</v>
      </c>
      <c r="M193" s="6">
        <f>IFERROR(__xludf.DUMMYFUNCTION("""COMPUTED_VALUE"""),1.0)</f>
        <v>1</v>
      </c>
      <c r="N193" s="6">
        <f>IFERROR(__xludf.DUMMYFUNCTION("""COMPUTED_VALUE"""),0.0)</f>
        <v>0</v>
      </c>
      <c r="O193" s="6">
        <f>IFERROR(__xludf.DUMMYFUNCTION("""COMPUTED_VALUE"""),0.0)</f>
        <v>0</v>
      </c>
      <c r="P193" s="6">
        <f>IFERROR(__xludf.DUMMYFUNCTION("""COMPUTED_VALUE"""),1.0)</f>
        <v>1</v>
      </c>
      <c r="Q193" s="6">
        <f>IFERROR(__xludf.DUMMYFUNCTION("""COMPUTED_VALUE"""),1.0)</f>
        <v>1</v>
      </c>
      <c r="R193" s="6">
        <f>IFERROR(__xludf.DUMMYFUNCTION("""COMPUTED_VALUE"""),1.0)</f>
        <v>1</v>
      </c>
      <c r="S193" s="6">
        <f>IFERROR(__xludf.DUMMYFUNCTION("""COMPUTED_VALUE"""),0.0)</f>
        <v>0</v>
      </c>
      <c r="T193" s="6">
        <f>IFERROR(__xludf.DUMMYFUNCTION("""COMPUTED_VALUE"""),0.0)</f>
        <v>0</v>
      </c>
      <c r="U193" s="6">
        <f>IFERROR(__xludf.DUMMYFUNCTION("""COMPUTED_VALUE"""),0.0)</f>
        <v>0</v>
      </c>
      <c r="V193" s="4">
        <f t="shared" ref="V193:X193" si="192">SUM(D193, G193, J193, M193, P193, S193)</f>
        <v>2</v>
      </c>
      <c r="W193" s="4">
        <f t="shared" si="192"/>
        <v>1</v>
      </c>
      <c r="X193" s="4">
        <f t="shared" si="192"/>
        <v>1</v>
      </c>
    </row>
    <row r="194">
      <c r="A194" s="4" t="str">
        <f>IFERROR(__xludf.DUMMYFUNCTION("""COMPUTED_VALUE"""),"Школа 1416")</f>
        <v>Школа 1416</v>
      </c>
      <c r="B194" s="4" t="str">
        <f t="array" ref="B194">IFERROR(INDEX('Адреса школ'!F:F, MATCH(A194, 'Адреса школ'!E:E, 0)), "")</f>
        <v>55.893349, 37.581352</v>
      </c>
      <c r="C194" s="5" t="str">
        <f t="array" ref="C194">IFERROR(INDEX('Топ-400'!A:A, MATCH(A194, 'Топ-400'!E:E, 0)), "Вне рейтинга")</f>
        <v>346</v>
      </c>
      <c r="D194" s="6">
        <f>IFERROR(__xludf.DUMMYFUNCTION("""COMPUTED_VALUE"""),0.0)</f>
        <v>0</v>
      </c>
      <c r="E194" s="6">
        <f>IFERROR(__xludf.DUMMYFUNCTION("""COMPUTED_VALUE"""),0.0)</f>
        <v>0</v>
      </c>
      <c r="F194" s="6">
        <f>IFERROR(__xludf.DUMMYFUNCTION("""COMPUTED_VALUE"""),0.0)</f>
        <v>0</v>
      </c>
      <c r="G194" s="6">
        <f>IFERROR(__xludf.DUMMYFUNCTION("""COMPUTED_VALUE"""),0.0)</f>
        <v>0</v>
      </c>
      <c r="H194" s="6">
        <f>IFERROR(__xludf.DUMMYFUNCTION("""COMPUTED_VALUE"""),0.0)</f>
        <v>0</v>
      </c>
      <c r="I194" s="6">
        <f>IFERROR(__xludf.DUMMYFUNCTION("""COMPUTED_VALUE"""),0.0)</f>
        <v>0</v>
      </c>
      <c r="J194" s="6">
        <f>IFERROR(__xludf.DUMMYFUNCTION("""COMPUTED_VALUE"""),0.0)</f>
        <v>0</v>
      </c>
      <c r="K194" s="6">
        <f>IFERROR(__xludf.DUMMYFUNCTION("""COMPUTED_VALUE"""),0.0)</f>
        <v>0</v>
      </c>
      <c r="L194" s="6">
        <f>IFERROR(__xludf.DUMMYFUNCTION("""COMPUTED_VALUE"""),0.0)</f>
        <v>0</v>
      </c>
      <c r="M194" s="6">
        <f>IFERROR(__xludf.DUMMYFUNCTION("""COMPUTED_VALUE"""),0.0)</f>
        <v>0</v>
      </c>
      <c r="N194" s="6">
        <f>IFERROR(__xludf.DUMMYFUNCTION("""COMPUTED_VALUE"""),0.0)</f>
        <v>0</v>
      </c>
      <c r="O194" s="6">
        <f>IFERROR(__xludf.DUMMYFUNCTION("""COMPUTED_VALUE"""),0.0)</f>
        <v>0</v>
      </c>
      <c r="P194" s="6">
        <f>IFERROR(__xludf.DUMMYFUNCTION("""COMPUTED_VALUE"""),1.0)</f>
        <v>1</v>
      </c>
      <c r="Q194" s="6">
        <f>IFERROR(__xludf.DUMMYFUNCTION("""COMPUTED_VALUE"""),1.0)</f>
        <v>1</v>
      </c>
      <c r="R194" s="6">
        <f>IFERROR(__xludf.DUMMYFUNCTION("""COMPUTED_VALUE"""),1.0)</f>
        <v>1</v>
      </c>
      <c r="S194" s="6">
        <f>IFERROR(__xludf.DUMMYFUNCTION("""COMPUTED_VALUE"""),0.0)</f>
        <v>0</v>
      </c>
      <c r="T194" s="6">
        <f>IFERROR(__xludf.DUMMYFUNCTION("""COMPUTED_VALUE"""),0.0)</f>
        <v>0</v>
      </c>
      <c r="U194" s="6">
        <f>IFERROR(__xludf.DUMMYFUNCTION("""COMPUTED_VALUE"""),0.0)</f>
        <v>0</v>
      </c>
      <c r="V194" s="4">
        <f t="shared" ref="V194:X194" si="193">SUM(D194, G194, J194, M194, P194, S194)</f>
        <v>1</v>
      </c>
      <c r="W194" s="4">
        <f t="shared" si="193"/>
        <v>1</v>
      </c>
      <c r="X194" s="4">
        <f t="shared" si="193"/>
        <v>1</v>
      </c>
    </row>
    <row r="195">
      <c r="A195" s="4" t="str">
        <f>IFERROR(__xludf.DUMMYFUNCTION("""COMPUTED_VALUE"""),"Школа 1420")</f>
        <v>Школа 1420</v>
      </c>
      <c r="B195" s="4" t="str">
        <f t="array" ref="B195">IFERROR(INDEX('Адреса школ'!F:F, MATCH(A195, 'Адреса школ'!E:E, 0)), "")</f>
        <v>55.700897, 37.815031</v>
      </c>
      <c r="C195" s="5" t="str">
        <f t="array" ref="C195">IFERROR(INDEX('Топ-400'!A:A, MATCH(A195, 'Топ-400'!E:E, 0)), "Вне рейтинга")</f>
        <v>136</v>
      </c>
      <c r="D195" s="6">
        <f>IFERROR(__xludf.DUMMYFUNCTION("""COMPUTED_VALUE"""),1.0)</f>
        <v>1</v>
      </c>
      <c r="E195" s="6">
        <f>IFERROR(__xludf.DUMMYFUNCTION("""COMPUTED_VALUE"""),0.0)</f>
        <v>0</v>
      </c>
      <c r="F195" s="6">
        <f>IFERROR(__xludf.DUMMYFUNCTION("""COMPUTED_VALUE"""),1.0)</f>
        <v>1</v>
      </c>
      <c r="G195" s="6">
        <f>IFERROR(__xludf.DUMMYFUNCTION("""COMPUTED_VALUE"""),1.0)</f>
        <v>1</v>
      </c>
      <c r="H195" s="6">
        <f>IFERROR(__xludf.DUMMYFUNCTION("""COMPUTED_VALUE"""),0.0)</f>
        <v>0</v>
      </c>
      <c r="I195" s="6">
        <f>IFERROR(__xludf.DUMMYFUNCTION("""COMPUTED_VALUE"""),0.0)</f>
        <v>0</v>
      </c>
      <c r="J195" s="6">
        <f>IFERROR(__xludf.DUMMYFUNCTION("""COMPUTED_VALUE"""),1.0)</f>
        <v>1</v>
      </c>
      <c r="K195" s="6">
        <f>IFERROR(__xludf.DUMMYFUNCTION("""COMPUTED_VALUE"""),0.0)</f>
        <v>0</v>
      </c>
      <c r="L195" s="6">
        <f>IFERROR(__xludf.DUMMYFUNCTION("""COMPUTED_VALUE"""),1.0)</f>
        <v>1</v>
      </c>
      <c r="M195" s="6">
        <f>IFERROR(__xludf.DUMMYFUNCTION("""COMPUTED_VALUE"""),0.0)</f>
        <v>0</v>
      </c>
      <c r="N195" s="6">
        <f>IFERROR(__xludf.DUMMYFUNCTION("""COMPUTED_VALUE"""),1.0)</f>
        <v>1</v>
      </c>
      <c r="O195" s="6">
        <f>IFERROR(__xludf.DUMMYFUNCTION("""COMPUTED_VALUE"""),1.0)</f>
        <v>1</v>
      </c>
      <c r="P195" s="6">
        <f>IFERROR(__xludf.DUMMYFUNCTION("""COMPUTED_VALUE"""),1.0)</f>
        <v>1</v>
      </c>
      <c r="Q195" s="6">
        <f>IFERROR(__xludf.DUMMYFUNCTION("""COMPUTED_VALUE"""),1.0)</f>
        <v>1</v>
      </c>
      <c r="R195" s="6">
        <f>IFERROR(__xludf.DUMMYFUNCTION("""COMPUTED_VALUE"""),1.0)</f>
        <v>1</v>
      </c>
      <c r="S195" s="6">
        <f>IFERROR(__xludf.DUMMYFUNCTION("""COMPUTED_VALUE"""),0.0)</f>
        <v>0</v>
      </c>
      <c r="T195" s="6">
        <f>IFERROR(__xludf.DUMMYFUNCTION("""COMPUTED_VALUE"""),0.0)</f>
        <v>0</v>
      </c>
      <c r="U195" s="6">
        <f>IFERROR(__xludf.DUMMYFUNCTION("""COMPUTED_VALUE"""),0.0)</f>
        <v>0</v>
      </c>
      <c r="V195" s="4">
        <f t="shared" ref="V195:X195" si="194">SUM(D195, G195, J195, M195, P195, S195)</f>
        <v>4</v>
      </c>
      <c r="W195" s="4">
        <f t="shared" si="194"/>
        <v>2</v>
      </c>
      <c r="X195" s="4">
        <f t="shared" si="194"/>
        <v>4</v>
      </c>
    </row>
    <row r="196">
      <c r="A196" s="4" t="str">
        <f>IFERROR(__xludf.DUMMYFUNCTION("""COMPUTED_VALUE"""),"Школа 1430")</f>
        <v>Школа 1430</v>
      </c>
      <c r="B196" s="4" t="str">
        <f t="array" ref="B196">IFERROR(INDEX('Адреса школ'!F:F, MATCH(A196, 'Адреса школ'!E:E, 0)), "")</f>
        <v>55.900824, 37.577984</v>
      </c>
      <c r="C196" s="5" t="str">
        <f t="array" ref="C196">IFERROR(INDEX('Топ-400'!A:A, MATCH(A196, 'Топ-400'!E:E, 0)), "Вне рейтинга")</f>
        <v>109</v>
      </c>
      <c r="D196" s="6">
        <f>IFERROR(__xludf.DUMMYFUNCTION("""COMPUTED_VALUE"""),1.0)</f>
        <v>1</v>
      </c>
      <c r="E196" s="6">
        <f>IFERROR(__xludf.DUMMYFUNCTION("""COMPUTED_VALUE"""),1.0)</f>
        <v>1</v>
      </c>
      <c r="F196" s="6">
        <f>IFERROR(__xludf.DUMMYFUNCTION("""COMPUTED_VALUE"""),1.0)</f>
        <v>1</v>
      </c>
      <c r="G196" s="6">
        <f>IFERROR(__xludf.DUMMYFUNCTION("""COMPUTED_VALUE"""),0.0)</f>
        <v>0</v>
      </c>
      <c r="H196" s="6">
        <f>IFERROR(__xludf.DUMMYFUNCTION("""COMPUTED_VALUE"""),0.0)</f>
        <v>0</v>
      </c>
      <c r="I196" s="6">
        <f>IFERROR(__xludf.DUMMYFUNCTION("""COMPUTED_VALUE"""),0.0)</f>
        <v>0</v>
      </c>
      <c r="J196" s="6">
        <f>IFERROR(__xludf.DUMMYFUNCTION("""COMPUTED_VALUE"""),0.0)</f>
        <v>0</v>
      </c>
      <c r="K196" s="6">
        <f>IFERROR(__xludf.DUMMYFUNCTION("""COMPUTED_VALUE"""),0.0)</f>
        <v>0</v>
      </c>
      <c r="L196" s="6">
        <f>IFERROR(__xludf.DUMMYFUNCTION("""COMPUTED_VALUE"""),0.0)</f>
        <v>0</v>
      </c>
      <c r="M196" s="6">
        <f>IFERROR(__xludf.DUMMYFUNCTION("""COMPUTED_VALUE"""),1.0)</f>
        <v>1</v>
      </c>
      <c r="N196" s="6">
        <f>IFERROR(__xludf.DUMMYFUNCTION("""COMPUTED_VALUE"""),0.0)</f>
        <v>0</v>
      </c>
      <c r="O196" s="6">
        <f>IFERROR(__xludf.DUMMYFUNCTION("""COMPUTED_VALUE"""),1.0)</f>
        <v>1</v>
      </c>
      <c r="P196" s="6">
        <f>IFERROR(__xludf.DUMMYFUNCTION("""COMPUTED_VALUE"""),1.0)</f>
        <v>1</v>
      </c>
      <c r="Q196" s="6">
        <f>IFERROR(__xludf.DUMMYFUNCTION("""COMPUTED_VALUE"""),1.0)</f>
        <v>1</v>
      </c>
      <c r="R196" s="6">
        <f>IFERROR(__xludf.DUMMYFUNCTION("""COMPUTED_VALUE"""),0.0)</f>
        <v>0</v>
      </c>
      <c r="S196" s="6">
        <f>IFERROR(__xludf.DUMMYFUNCTION("""COMPUTED_VALUE"""),0.0)</f>
        <v>0</v>
      </c>
      <c r="T196" s="6">
        <f>IFERROR(__xludf.DUMMYFUNCTION("""COMPUTED_VALUE"""),0.0)</f>
        <v>0</v>
      </c>
      <c r="U196" s="6">
        <f>IFERROR(__xludf.DUMMYFUNCTION("""COMPUTED_VALUE"""),0.0)</f>
        <v>0</v>
      </c>
      <c r="V196" s="4">
        <f t="shared" ref="V196:X196" si="195">SUM(D196, G196, J196, M196, P196, S196)</f>
        <v>3</v>
      </c>
      <c r="W196" s="4">
        <f t="shared" si="195"/>
        <v>2</v>
      </c>
      <c r="X196" s="4">
        <f t="shared" si="195"/>
        <v>2</v>
      </c>
    </row>
    <row r="197">
      <c r="A197" s="4" t="str">
        <f>IFERROR(__xludf.DUMMYFUNCTION("""COMPUTED_VALUE"""),"Школа 1434")</f>
        <v>Школа 1434</v>
      </c>
      <c r="B197" s="4" t="str">
        <f t="array" ref="B197">IFERROR(INDEX('Адреса школ'!F:F, MATCH(A197, 'Адреса школ'!E:E, 0)), "")</f>
        <v>55.69075, 37.499938</v>
      </c>
      <c r="C197" s="5" t="str">
        <f t="array" ref="C197">IFERROR(INDEX('Топ-400'!A:A, MATCH(A197, 'Топ-400'!E:E, 0)), "Вне рейтинга")</f>
        <v>182</v>
      </c>
      <c r="D197" s="6">
        <f>IFERROR(__xludf.DUMMYFUNCTION("""COMPUTED_VALUE"""),1.0)</f>
        <v>1</v>
      </c>
      <c r="E197" s="6">
        <f>IFERROR(__xludf.DUMMYFUNCTION("""COMPUTED_VALUE"""),1.0)</f>
        <v>1</v>
      </c>
      <c r="F197" s="6">
        <f>IFERROR(__xludf.DUMMYFUNCTION("""COMPUTED_VALUE"""),1.0)</f>
        <v>1</v>
      </c>
      <c r="G197" s="6">
        <f>IFERROR(__xludf.DUMMYFUNCTION("""COMPUTED_VALUE"""),1.0)</f>
        <v>1</v>
      </c>
      <c r="H197" s="6">
        <f>IFERROR(__xludf.DUMMYFUNCTION("""COMPUTED_VALUE"""),0.0)</f>
        <v>0</v>
      </c>
      <c r="I197" s="6">
        <f>IFERROR(__xludf.DUMMYFUNCTION("""COMPUTED_VALUE"""),1.0)</f>
        <v>1</v>
      </c>
      <c r="J197" s="6">
        <f>IFERROR(__xludf.DUMMYFUNCTION("""COMPUTED_VALUE"""),0.0)</f>
        <v>0</v>
      </c>
      <c r="K197" s="6">
        <f>IFERROR(__xludf.DUMMYFUNCTION("""COMPUTED_VALUE"""),0.0)</f>
        <v>0</v>
      </c>
      <c r="L197" s="6">
        <f>IFERROR(__xludf.DUMMYFUNCTION("""COMPUTED_VALUE"""),0.0)</f>
        <v>0</v>
      </c>
      <c r="M197" s="6">
        <f>IFERROR(__xludf.DUMMYFUNCTION("""COMPUTED_VALUE"""),0.0)</f>
        <v>0</v>
      </c>
      <c r="N197" s="6">
        <f>IFERROR(__xludf.DUMMYFUNCTION("""COMPUTED_VALUE"""),0.0)</f>
        <v>0</v>
      </c>
      <c r="O197" s="6">
        <f>IFERROR(__xludf.DUMMYFUNCTION("""COMPUTED_VALUE"""),1.0)</f>
        <v>1</v>
      </c>
      <c r="P197" s="6">
        <f>IFERROR(__xludf.DUMMYFUNCTION("""COMPUTED_VALUE"""),0.0)</f>
        <v>0</v>
      </c>
      <c r="Q197" s="6">
        <f>IFERROR(__xludf.DUMMYFUNCTION("""COMPUTED_VALUE"""),0.0)</f>
        <v>0</v>
      </c>
      <c r="R197" s="6">
        <f>IFERROR(__xludf.DUMMYFUNCTION("""COMPUTED_VALUE"""),0.0)</f>
        <v>0</v>
      </c>
      <c r="S197" s="6">
        <f>IFERROR(__xludf.DUMMYFUNCTION("""COMPUTED_VALUE"""),0.0)</f>
        <v>0</v>
      </c>
      <c r="T197" s="6">
        <f>IFERROR(__xludf.DUMMYFUNCTION("""COMPUTED_VALUE"""),0.0)</f>
        <v>0</v>
      </c>
      <c r="U197" s="6">
        <f>IFERROR(__xludf.DUMMYFUNCTION("""COMPUTED_VALUE"""),0.0)</f>
        <v>0</v>
      </c>
      <c r="V197" s="4">
        <f t="shared" ref="V197:X197" si="196">SUM(D197, G197, J197, M197, P197, S197)</f>
        <v>2</v>
      </c>
      <c r="W197" s="4">
        <f t="shared" si="196"/>
        <v>1</v>
      </c>
      <c r="X197" s="4">
        <f t="shared" si="196"/>
        <v>3</v>
      </c>
    </row>
    <row r="198">
      <c r="A198" s="4" t="str">
        <f>IFERROR(__xludf.DUMMYFUNCTION("""COMPUTED_VALUE"""),"Школа 1440")</f>
        <v>Школа 1440</v>
      </c>
      <c r="B198" s="4" t="str">
        <f t="array" ref="B198">IFERROR(INDEX('Адреса школ'!F:F, MATCH(A198, 'Адреса школ'!E:E, 0)), "")</f>
        <v>55.757541, 37.41273</v>
      </c>
      <c r="C198" s="5" t="str">
        <f t="array" ref="C198">IFERROR(INDEX('Топ-400'!A:A, MATCH(A198, 'Топ-400'!E:E, 0)), "Вне рейтинга")</f>
        <v>229</v>
      </c>
      <c r="D198" s="6">
        <f>IFERROR(__xludf.DUMMYFUNCTION("""COMPUTED_VALUE"""),1.0)</f>
        <v>1</v>
      </c>
      <c r="E198" s="6">
        <f>IFERROR(__xludf.DUMMYFUNCTION("""COMPUTED_VALUE"""),1.0)</f>
        <v>1</v>
      </c>
      <c r="F198" s="6">
        <f>IFERROR(__xludf.DUMMYFUNCTION("""COMPUTED_VALUE"""),1.0)</f>
        <v>1</v>
      </c>
      <c r="G198" s="6">
        <f>IFERROR(__xludf.DUMMYFUNCTION("""COMPUTED_VALUE"""),0.0)</f>
        <v>0</v>
      </c>
      <c r="H198" s="6">
        <f>IFERROR(__xludf.DUMMYFUNCTION("""COMPUTED_VALUE"""),0.0)</f>
        <v>0</v>
      </c>
      <c r="I198" s="6">
        <f>IFERROR(__xludf.DUMMYFUNCTION("""COMPUTED_VALUE"""),0.0)</f>
        <v>0</v>
      </c>
      <c r="J198" s="6">
        <f>IFERROR(__xludf.DUMMYFUNCTION("""COMPUTED_VALUE"""),0.0)</f>
        <v>0</v>
      </c>
      <c r="K198" s="6">
        <f>IFERROR(__xludf.DUMMYFUNCTION("""COMPUTED_VALUE"""),0.0)</f>
        <v>0</v>
      </c>
      <c r="L198" s="6">
        <f>IFERROR(__xludf.DUMMYFUNCTION("""COMPUTED_VALUE"""),0.0)</f>
        <v>0</v>
      </c>
      <c r="M198" s="6">
        <f>IFERROR(__xludf.DUMMYFUNCTION("""COMPUTED_VALUE"""),1.0)</f>
        <v>1</v>
      </c>
      <c r="N198" s="6">
        <f>IFERROR(__xludf.DUMMYFUNCTION("""COMPUTED_VALUE"""),1.0)</f>
        <v>1</v>
      </c>
      <c r="O198" s="6">
        <f>IFERROR(__xludf.DUMMYFUNCTION("""COMPUTED_VALUE"""),1.0)</f>
        <v>1</v>
      </c>
      <c r="P198" s="6">
        <f>IFERROR(__xludf.DUMMYFUNCTION("""COMPUTED_VALUE"""),1.0)</f>
        <v>1</v>
      </c>
      <c r="Q198" s="6">
        <f>IFERROR(__xludf.DUMMYFUNCTION("""COMPUTED_VALUE"""),1.0)</f>
        <v>1</v>
      </c>
      <c r="R198" s="6">
        <f>IFERROR(__xludf.DUMMYFUNCTION("""COMPUTED_VALUE"""),1.0)</f>
        <v>1</v>
      </c>
      <c r="S198" s="6">
        <f>IFERROR(__xludf.DUMMYFUNCTION("""COMPUTED_VALUE"""),0.0)</f>
        <v>0</v>
      </c>
      <c r="T198" s="6">
        <f>IFERROR(__xludf.DUMMYFUNCTION("""COMPUTED_VALUE"""),0.0)</f>
        <v>0</v>
      </c>
      <c r="U198" s="6">
        <f>IFERROR(__xludf.DUMMYFUNCTION("""COMPUTED_VALUE"""),0.0)</f>
        <v>0</v>
      </c>
      <c r="V198" s="4">
        <f t="shared" ref="V198:X198" si="197">SUM(D198, G198, J198, M198, P198, S198)</f>
        <v>3</v>
      </c>
      <c r="W198" s="4">
        <f t="shared" si="197"/>
        <v>3</v>
      </c>
      <c r="X198" s="4">
        <f t="shared" si="197"/>
        <v>3</v>
      </c>
    </row>
    <row r="199">
      <c r="A199" s="4" t="str">
        <f>IFERROR(__xludf.DUMMYFUNCTION("""COMPUTED_VALUE"""),"Школа 1448")</f>
        <v>Школа 1448</v>
      </c>
      <c r="B199" s="4" t="str">
        <f t="array" ref="B199">IFERROR(INDEX('Адреса школ'!F:F, MATCH(A199, 'Адреса школ'!E:E, 0)), "")</f>
        <v>55.7025, 37.512658</v>
      </c>
      <c r="C199" s="5" t="str">
        <f t="array" ref="C199">IFERROR(INDEX('Топ-400'!A:A, MATCH(A199, 'Топ-400'!E:E, 0)), "Вне рейтинга")</f>
        <v>25</v>
      </c>
      <c r="D199" s="6">
        <f>IFERROR(__xludf.DUMMYFUNCTION("""COMPUTED_VALUE"""),0.0)</f>
        <v>0</v>
      </c>
      <c r="E199" s="6">
        <f>IFERROR(__xludf.DUMMYFUNCTION("""COMPUTED_VALUE"""),0.0)</f>
        <v>0</v>
      </c>
      <c r="F199" s="6">
        <f>IFERROR(__xludf.DUMMYFUNCTION("""COMPUTED_VALUE"""),0.0)</f>
        <v>0</v>
      </c>
      <c r="G199" s="6">
        <f>IFERROR(__xludf.DUMMYFUNCTION("""COMPUTED_VALUE"""),0.0)</f>
        <v>0</v>
      </c>
      <c r="H199" s="6">
        <f>IFERROR(__xludf.DUMMYFUNCTION("""COMPUTED_VALUE"""),0.0)</f>
        <v>0</v>
      </c>
      <c r="I199" s="6">
        <f>IFERROR(__xludf.DUMMYFUNCTION("""COMPUTED_VALUE"""),0.0)</f>
        <v>0</v>
      </c>
      <c r="J199" s="6">
        <f>IFERROR(__xludf.DUMMYFUNCTION("""COMPUTED_VALUE"""),1.0)</f>
        <v>1</v>
      </c>
      <c r="K199" s="6">
        <f>IFERROR(__xludf.DUMMYFUNCTION("""COMPUTED_VALUE"""),1.0)</f>
        <v>1</v>
      </c>
      <c r="L199" s="6">
        <f>IFERROR(__xludf.DUMMYFUNCTION("""COMPUTED_VALUE"""),1.0)</f>
        <v>1</v>
      </c>
      <c r="M199" s="6">
        <f>IFERROR(__xludf.DUMMYFUNCTION("""COMPUTED_VALUE"""),1.0)</f>
        <v>1</v>
      </c>
      <c r="N199" s="6">
        <f>IFERROR(__xludf.DUMMYFUNCTION("""COMPUTED_VALUE"""),1.0)</f>
        <v>1</v>
      </c>
      <c r="O199" s="6">
        <f>IFERROR(__xludf.DUMMYFUNCTION("""COMPUTED_VALUE"""),1.0)</f>
        <v>1</v>
      </c>
      <c r="P199" s="6">
        <f>IFERROR(__xludf.DUMMYFUNCTION("""COMPUTED_VALUE"""),1.0)</f>
        <v>1</v>
      </c>
      <c r="Q199" s="6">
        <f>IFERROR(__xludf.DUMMYFUNCTION("""COMPUTED_VALUE"""),1.0)</f>
        <v>1</v>
      </c>
      <c r="R199" s="6">
        <f>IFERROR(__xludf.DUMMYFUNCTION("""COMPUTED_VALUE"""),1.0)</f>
        <v>1</v>
      </c>
      <c r="S199" s="6">
        <f>IFERROR(__xludf.DUMMYFUNCTION("""COMPUTED_VALUE"""),0.0)</f>
        <v>0</v>
      </c>
      <c r="T199" s="6">
        <f>IFERROR(__xludf.DUMMYFUNCTION("""COMPUTED_VALUE"""),0.0)</f>
        <v>0</v>
      </c>
      <c r="U199" s="6">
        <f>IFERROR(__xludf.DUMMYFUNCTION("""COMPUTED_VALUE"""),0.0)</f>
        <v>0</v>
      </c>
      <c r="V199" s="4">
        <f t="shared" ref="V199:X199" si="198">SUM(D199, G199, J199, M199, P199, S199)</f>
        <v>3</v>
      </c>
      <c r="W199" s="4">
        <f t="shared" si="198"/>
        <v>3</v>
      </c>
      <c r="X199" s="4">
        <f t="shared" si="198"/>
        <v>3</v>
      </c>
    </row>
    <row r="200">
      <c r="A200" s="4" t="str">
        <f>IFERROR(__xludf.DUMMYFUNCTION("""COMPUTED_VALUE"""),"Школа 1449")</f>
        <v>Школа 1449</v>
      </c>
      <c r="B200" s="4" t="str">
        <f t="array" ref="B200">IFERROR(INDEX('Адреса школ'!F:F, MATCH(A200, 'Адреса школ'!E:E, 0)), "")</f>
        <v>55.894641, 37.570159</v>
      </c>
      <c r="C200" s="5" t="str">
        <f t="array" ref="C200">IFERROR(INDEX('Топ-400'!A:A, MATCH(A200, 'Топ-400'!E:E, 0)), "Вне рейтинга")</f>
        <v>45</v>
      </c>
      <c r="D200" s="6">
        <f>IFERROR(__xludf.DUMMYFUNCTION("""COMPUTED_VALUE"""),1.0)</f>
        <v>1</v>
      </c>
      <c r="E200" s="6">
        <f>IFERROR(__xludf.DUMMYFUNCTION("""COMPUTED_VALUE"""),0.0)</f>
        <v>0</v>
      </c>
      <c r="F200" s="6">
        <f>IFERROR(__xludf.DUMMYFUNCTION("""COMPUTED_VALUE"""),1.0)</f>
        <v>1</v>
      </c>
      <c r="G200" s="6">
        <f>IFERROR(__xludf.DUMMYFUNCTION("""COMPUTED_VALUE"""),1.0)</f>
        <v>1</v>
      </c>
      <c r="H200" s="6">
        <f>IFERROR(__xludf.DUMMYFUNCTION("""COMPUTED_VALUE"""),1.0)</f>
        <v>1</v>
      </c>
      <c r="I200" s="6">
        <f>IFERROR(__xludf.DUMMYFUNCTION("""COMPUTED_VALUE"""),1.0)</f>
        <v>1</v>
      </c>
      <c r="J200" s="6">
        <f>IFERROR(__xludf.DUMMYFUNCTION("""COMPUTED_VALUE"""),1.0)</f>
        <v>1</v>
      </c>
      <c r="K200" s="6">
        <f>IFERROR(__xludf.DUMMYFUNCTION("""COMPUTED_VALUE"""),1.0)</f>
        <v>1</v>
      </c>
      <c r="L200" s="6">
        <f>IFERROR(__xludf.DUMMYFUNCTION("""COMPUTED_VALUE"""),1.0)</f>
        <v>1</v>
      </c>
      <c r="M200" s="6">
        <f>IFERROR(__xludf.DUMMYFUNCTION("""COMPUTED_VALUE"""),0.0)</f>
        <v>0</v>
      </c>
      <c r="N200" s="6">
        <f>IFERROR(__xludf.DUMMYFUNCTION("""COMPUTED_VALUE"""),0.0)</f>
        <v>0</v>
      </c>
      <c r="O200" s="6">
        <f>IFERROR(__xludf.DUMMYFUNCTION("""COMPUTED_VALUE"""),0.0)</f>
        <v>0</v>
      </c>
      <c r="P200" s="6">
        <f>IFERROR(__xludf.DUMMYFUNCTION("""COMPUTED_VALUE"""),1.0)</f>
        <v>1</v>
      </c>
      <c r="Q200" s="6">
        <f>IFERROR(__xludf.DUMMYFUNCTION("""COMPUTED_VALUE"""),1.0)</f>
        <v>1</v>
      </c>
      <c r="R200" s="6">
        <f>IFERROR(__xludf.DUMMYFUNCTION("""COMPUTED_VALUE"""),1.0)</f>
        <v>1</v>
      </c>
      <c r="S200" s="6">
        <f>IFERROR(__xludf.DUMMYFUNCTION("""COMPUTED_VALUE"""),0.0)</f>
        <v>0</v>
      </c>
      <c r="T200" s="6">
        <f>IFERROR(__xludf.DUMMYFUNCTION("""COMPUTED_VALUE"""),0.0)</f>
        <v>0</v>
      </c>
      <c r="U200" s="6">
        <f>IFERROR(__xludf.DUMMYFUNCTION("""COMPUTED_VALUE"""),0.0)</f>
        <v>0</v>
      </c>
      <c r="V200" s="4">
        <f t="shared" ref="V200:X200" si="199">SUM(D200, G200, J200, M200, P200, S200)</f>
        <v>4</v>
      </c>
      <c r="W200" s="4">
        <f t="shared" si="199"/>
        <v>3</v>
      </c>
      <c r="X200" s="4">
        <f t="shared" si="199"/>
        <v>4</v>
      </c>
    </row>
    <row r="201">
      <c r="A201" s="4" t="str">
        <f>IFERROR(__xludf.DUMMYFUNCTION("""COMPUTED_VALUE"""),"Школа 1450")</f>
        <v>Школа 1450</v>
      </c>
      <c r="B201" s="4" t="str">
        <f t="array" ref="B201">IFERROR(INDEX('Адреса школ'!F:F, MATCH(A201, 'Адреса школ'!E:E, 0)), "")</f>
        <v>55.658444, 37.612308</v>
      </c>
      <c r="C201" s="5" t="str">
        <f t="array" ref="C201">IFERROR(INDEX('Топ-400'!A:A, MATCH(A201, 'Топ-400'!E:E, 0)), "Вне рейтинга")</f>
        <v>396</v>
      </c>
      <c r="D201" s="6">
        <f>IFERROR(__xludf.DUMMYFUNCTION("""COMPUTED_VALUE"""),0.0)</f>
        <v>0</v>
      </c>
      <c r="E201" s="6">
        <f>IFERROR(__xludf.DUMMYFUNCTION("""COMPUTED_VALUE"""),0.0)</f>
        <v>0</v>
      </c>
      <c r="F201" s="6">
        <f>IFERROR(__xludf.DUMMYFUNCTION("""COMPUTED_VALUE"""),0.0)</f>
        <v>0</v>
      </c>
      <c r="G201" s="6">
        <f>IFERROR(__xludf.DUMMYFUNCTION("""COMPUTED_VALUE"""),0.0)</f>
        <v>0</v>
      </c>
      <c r="H201" s="6">
        <f>IFERROR(__xludf.DUMMYFUNCTION("""COMPUTED_VALUE"""),0.0)</f>
        <v>0</v>
      </c>
      <c r="I201" s="6">
        <f>IFERROR(__xludf.DUMMYFUNCTION("""COMPUTED_VALUE"""),0.0)</f>
        <v>0</v>
      </c>
      <c r="J201" s="6">
        <f>IFERROR(__xludf.DUMMYFUNCTION("""COMPUTED_VALUE"""),0.0)</f>
        <v>0</v>
      </c>
      <c r="K201" s="6">
        <f>IFERROR(__xludf.DUMMYFUNCTION("""COMPUTED_VALUE"""),0.0)</f>
        <v>0</v>
      </c>
      <c r="L201" s="6">
        <f>IFERROR(__xludf.DUMMYFUNCTION("""COMPUTED_VALUE"""),0.0)</f>
        <v>0</v>
      </c>
      <c r="M201" s="6">
        <f>IFERROR(__xludf.DUMMYFUNCTION("""COMPUTED_VALUE"""),0.0)</f>
        <v>0</v>
      </c>
      <c r="N201" s="6">
        <f>IFERROR(__xludf.DUMMYFUNCTION("""COMPUTED_VALUE"""),0.0)</f>
        <v>0</v>
      </c>
      <c r="O201" s="6">
        <f>IFERROR(__xludf.DUMMYFUNCTION("""COMPUTED_VALUE"""),1.0)</f>
        <v>1</v>
      </c>
      <c r="P201" s="6">
        <f>IFERROR(__xludf.DUMMYFUNCTION("""COMPUTED_VALUE"""),0.0)</f>
        <v>0</v>
      </c>
      <c r="Q201" s="6">
        <f>IFERROR(__xludf.DUMMYFUNCTION("""COMPUTED_VALUE"""),0.0)</f>
        <v>0</v>
      </c>
      <c r="R201" s="6">
        <f>IFERROR(__xludf.DUMMYFUNCTION("""COMPUTED_VALUE"""),0.0)</f>
        <v>0</v>
      </c>
      <c r="S201" s="6">
        <f>IFERROR(__xludf.DUMMYFUNCTION("""COMPUTED_VALUE"""),0.0)</f>
        <v>0</v>
      </c>
      <c r="T201" s="6">
        <f>IFERROR(__xludf.DUMMYFUNCTION("""COMPUTED_VALUE"""),0.0)</f>
        <v>0</v>
      </c>
      <c r="U201" s="6">
        <f>IFERROR(__xludf.DUMMYFUNCTION("""COMPUTED_VALUE"""),0.0)</f>
        <v>0</v>
      </c>
      <c r="V201" s="4">
        <f t="shared" ref="V201:X201" si="200">SUM(D201, G201, J201, M201, P201, S201)</f>
        <v>0</v>
      </c>
      <c r="W201" s="4">
        <f t="shared" si="200"/>
        <v>0</v>
      </c>
      <c r="X201" s="4">
        <f t="shared" si="200"/>
        <v>1</v>
      </c>
    </row>
    <row r="202">
      <c r="A202" s="4" t="str">
        <f>IFERROR(__xludf.DUMMYFUNCTION("""COMPUTED_VALUE"""),"Школа 1454")</f>
        <v>Школа 1454</v>
      </c>
      <c r="B202" s="4" t="str">
        <f t="array" ref="B202">IFERROR(INDEX('Адреса школ'!F:F, MATCH(A202, 'Адреса школ'!E:E, 0)), "")</f>
        <v>55.813334, 37.568938</v>
      </c>
      <c r="C202" s="5" t="str">
        <f t="array" ref="C202">IFERROR(INDEX('Топ-400'!A:A, MATCH(A202, 'Топ-400'!E:E, 0)), "Вне рейтинга")</f>
        <v>253</v>
      </c>
      <c r="D202" s="6">
        <f>IFERROR(__xludf.DUMMYFUNCTION("""COMPUTED_VALUE"""),1.0)</f>
        <v>1</v>
      </c>
      <c r="E202" s="6">
        <f>IFERROR(__xludf.DUMMYFUNCTION("""COMPUTED_VALUE"""),1.0)</f>
        <v>1</v>
      </c>
      <c r="F202" s="6">
        <f>IFERROR(__xludf.DUMMYFUNCTION("""COMPUTED_VALUE"""),0.0)</f>
        <v>0</v>
      </c>
      <c r="G202" s="6">
        <f>IFERROR(__xludf.DUMMYFUNCTION("""COMPUTED_VALUE"""),1.0)</f>
        <v>1</v>
      </c>
      <c r="H202" s="6">
        <f>IFERROR(__xludf.DUMMYFUNCTION("""COMPUTED_VALUE"""),1.0)</f>
        <v>1</v>
      </c>
      <c r="I202" s="6">
        <f>IFERROR(__xludf.DUMMYFUNCTION("""COMPUTED_VALUE"""),1.0)</f>
        <v>1</v>
      </c>
      <c r="J202" s="6">
        <f>IFERROR(__xludf.DUMMYFUNCTION("""COMPUTED_VALUE"""),0.0)</f>
        <v>0</v>
      </c>
      <c r="K202" s="6">
        <f>IFERROR(__xludf.DUMMYFUNCTION("""COMPUTED_VALUE"""),1.0)</f>
        <v>1</v>
      </c>
      <c r="L202" s="6">
        <f>IFERROR(__xludf.DUMMYFUNCTION("""COMPUTED_VALUE"""),1.0)</f>
        <v>1</v>
      </c>
      <c r="M202" s="6">
        <f>IFERROR(__xludf.DUMMYFUNCTION("""COMPUTED_VALUE"""),1.0)</f>
        <v>1</v>
      </c>
      <c r="N202" s="6">
        <f>IFERROR(__xludf.DUMMYFUNCTION("""COMPUTED_VALUE"""),0.0)</f>
        <v>0</v>
      </c>
      <c r="O202" s="6">
        <f>IFERROR(__xludf.DUMMYFUNCTION("""COMPUTED_VALUE"""),0.0)</f>
        <v>0</v>
      </c>
      <c r="P202" s="6">
        <f>IFERROR(__xludf.DUMMYFUNCTION("""COMPUTED_VALUE"""),1.0)</f>
        <v>1</v>
      </c>
      <c r="Q202" s="6">
        <f>IFERROR(__xludf.DUMMYFUNCTION("""COMPUTED_VALUE"""),1.0)</f>
        <v>1</v>
      </c>
      <c r="R202" s="6">
        <f>IFERROR(__xludf.DUMMYFUNCTION("""COMPUTED_VALUE"""),1.0)</f>
        <v>1</v>
      </c>
      <c r="S202" s="6">
        <f>IFERROR(__xludf.DUMMYFUNCTION("""COMPUTED_VALUE"""),0.0)</f>
        <v>0</v>
      </c>
      <c r="T202" s="6">
        <f>IFERROR(__xludf.DUMMYFUNCTION("""COMPUTED_VALUE"""),0.0)</f>
        <v>0</v>
      </c>
      <c r="U202" s="6">
        <f>IFERROR(__xludf.DUMMYFUNCTION("""COMPUTED_VALUE"""),0.0)</f>
        <v>0</v>
      </c>
      <c r="V202" s="4">
        <f t="shared" ref="V202:X202" si="201">SUM(D202, G202, J202, M202, P202, S202)</f>
        <v>4</v>
      </c>
      <c r="W202" s="4">
        <f t="shared" si="201"/>
        <v>4</v>
      </c>
      <c r="X202" s="4">
        <f t="shared" si="201"/>
        <v>3</v>
      </c>
    </row>
    <row r="203">
      <c r="A203" s="4" t="str">
        <f>IFERROR(__xludf.DUMMYFUNCTION("""COMPUTED_VALUE"""),"Школа 1465")</f>
        <v>Школа 1465</v>
      </c>
      <c r="B203" s="4" t="str">
        <f t="array" ref="B203">IFERROR(INDEX('Адреса школ'!F:F, MATCH(A203, 'Адреса школ'!E:E, 0)), "")</f>
        <v>55.745205, 37.559892</v>
      </c>
      <c r="C203" s="5" t="str">
        <f t="array" ref="C203">IFERROR(INDEX('Топ-400'!A:A, MATCH(A203, 'Топ-400'!E:E, 0)), "Вне рейтинга")</f>
        <v>Вне рейтинга</v>
      </c>
      <c r="D203" s="6">
        <f>IFERROR(__xludf.DUMMYFUNCTION("""COMPUTED_VALUE"""),0.0)</f>
        <v>0</v>
      </c>
      <c r="E203" s="6">
        <f>IFERROR(__xludf.DUMMYFUNCTION("""COMPUTED_VALUE"""),0.0)</f>
        <v>0</v>
      </c>
      <c r="F203" s="6">
        <f>IFERROR(__xludf.DUMMYFUNCTION("""COMPUTED_VALUE"""),0.0)</f>
        <v>0</v>
      </c>
      <c r="G203" s="6">
        <f>IFERROR(__xludf.DUMMYFUNCTION("""COMPUTED_VALUE"""),0.0)</f>
        <v>0</v>
      </c>
      <c r="H203" s="6">
        <f>IFERROR(__xludf.DUMMYFUNCTION("""COMPUTED_VALUE"""),0.0)</f>
        <v>0</v>
      </c>
      <c r="I203" s="6">
        <f>IFERROR(__xludf.DUMMYFUNCTION("""COMPUTED_VALUE"""),0.0)</f>
        <v>0</v>
      </c>
      <c r="J203" s="6">
        <f>IFERROR(__xludf.DUMMYFUNCTION("""COMPUTED_VALUE"""),0.0)</f>
        <v>0</v>
      </c>
      <c r="K203" s="6">
        <f>IFERROR(__xludf.DUMMYFUNCTION("""COMPUTED_VALUE"""),0.0)</f>
        <v>0</v>
      </c>
      <c r="L203" s="6">
        <f>IFERROR(__xludf.DUMMYFUNCTION("""COMPUTED_VALUE"""),0.0)</f>
        <v>0</v>
      </c>
      <c r="M203" s="6">
        <f>IFERROR(__xludf.DUMMYFUNCTION("""COMPUTED_VALUE"""),1.0)</f>
        <v>1</v>
      </c>
      <c r="N203" s="6">
        <f>IFERROR(__xludf.DUMMYFUNCTION("""COMPUTED_VALUE"""),0.0)</f>
        <v>0</v>
      </c>
      <c r="O203" s="6">
        <f>IFERROR(__xludf.DUMMYFUNCTION("""COMPUTED_VALUE"""),0.0)</f>
        <v>0</v>
      </c>
      <c r="P203" s="6">
        <f>IFERROR(__xludf.DUMMYFUNCTION("""COMPUTED_VALUE"""),0.0)</f>
        <v>0</v>
      </c>
      <c r="Q203" s="6">
        <f>IFERROR(__xludf.DUMMYFUNCTION("""COMPUTED_VALUE"""),0.0)</f>
        <v>0</v>
      </c>
      <c r="R203" s="6">
        <f>IFERROR(__xludf.DUMMYFUNCTION("""COMPUTED_VALUE"""),0.0)</f>
        <v>0</v>
      </c>
      <c r="S203" s="6">
        <f>IFERROR(__xludf.DUMMYFUNCTION("""COMPUTED_VALUE"""),0.0)</f>
        <v>0</v>
      </c>
      <c r="T203" s="6">
        <f>IFERROR(__xludf.DUMMYFUNCTION("""COMPUTED_VALUE"""),0.0)</f>
        <v>0</v>
      </c>
      <c r="U203" s="6">
        <f>IFERROR(__xludf.DUMMYFUNCTION("""COMPUTED_VALUE"""),0.0)</f>
        <v>0</v>
      </c>
      <c r="V203" s="4">
        <f t="shared" ref="V203:X203" si="202">SUM(D203, G203, J203, M203, P203, S203)</f>
        <v>1</v>
      </c>
      <c r="W203" s="4">
        <f t="shared" si="202"/>
        <v>0</v>
      </c>
      <c r="X203" s="4">
        <f t="shared" si="202"/>
        <v>0</v>
      </c>
    </row>
    <row r="204">
      <c r="A204" s="4" t="str">
        <f>IFERROR(__xludf.DUMMYFUNCTION("""COMPUTED_VALUE"""),"Школа 1466")</f>
        <v>Школа 1466</v>
      </c>
      <c r="B204" s="4" t="str">
        <f t="array" ref="B204">IFERROR(INDEX('Адреса школ'!F:F, MATCH(A204, 'Адреса школ'!E:E, 0)), "")</f>
        <v>55.628942, 37.674292</v>
      </c>
      <c r="C204" s="5" t="str">
        <f t="array" ref="C204">IFERROR(INDEX('Топ-400'!A:A, MATCH(A204, 'Топ-400'!E:E, 0)), "Вне рейтинга")</f>
        <v>398</v>
      </c>
      <c r="D204" s="6">
        <f>IFERROR(__xludf.DUMMYFUNCTION("""COMPUTED_VALUE"""),0.0)</f>
        <v>0</v>
      </c>
      <c r="E204" s="6">
        <f>IFERROR(__xludf.DUMMYFUNCTION("""COMPUTED_VALUE"""),0.0)</f>
        <v>0</v>
      </c>
      <c r="F204" s="6">
        <f>IFERROR(__xludf.DUMMYFUNCTION("""COMPUTED_VALUE"""),0.0)</f>
        <v>0</v>
      </c>
      <c r="G204" s="6">
        <f>IFERROR(__xludf.DUMMYFUNCTION("""COMPUTED_VALUE"""),0.0)</f>
        <v>0</v>
      </c>
      <c r="H204" s="6">
        <f>IFERROR(__xludf.DUMMYFUNCTION("""COMPUTED_VALUE"""),0.0)</f>
        <v>0</v>
      </c>
      <c r="I204" s="6">
        <f>IFERROR(__xludf.DUMMYFUNCTION("""COMPUTED_VALUE"""),0.0)</f>
        <v>0</v>
      </c>
      <c r="J204" s="6">
        <f>IFERROR(__xludf.DUMMYFUNCTION("""COMPUTED_VALUE"""),0.0)</f>
        <v>0</v>
      </c>
      <c r="K204" s="6">
        <f>IFERROR(__xludf.DUMMYFUNCTION("""COMPUTED_VALUE"""),0.0)</f>
        <v>0</v>
      </c>
      <c r="L204" s="6">
        <f>IFERROR(__xludf.DUMMYFUNCTION("""COMPUTED_VALUE"""),0.0)</f>
        <v>0</v>
      </c>
      <c r="M204" s="6">
        <f>IFERROR(__xludf.DUMMYFUNCTION("""COMPUTED_VALUE"""),1.0)</f>
        <v>1</v>
      </c>
      <c r="N204" s="6">
        <f>IFERROR(__xludf.DUMMYFUNCTION("""COMPUTED_VALUE"""),0.0)</f>
        <v>0</v>
      </c>
      <c r="O204" s="6">
        <f>IFERROR(__xludf.DUMMYFUNCTION("""COMPUTED_VALUE"""),1.0)</f>
        <v>1</v>
      </c>
      <c r="P204" s="6">
        <f>IFERROR(__xludf.DUMMYFUNCTION("""COMPUTED_VALUE"""),1.0)</f>
        <v>1</v>
      </c>
      <c r="Q204" s="6">
        <f>IFERROR(__xludf.DUMMYFUNCTION("""COMPUTED_VALUE"""),1.0)</f>
        <v>1</v>
      </c>
      <c r="R204" s="6">
        <f>IFERROR(__xludf.DUMMYFUNCTION("""COMPUTED_VALUE"""),1.0)</f>
        <v>1</v>
      </c>
      <c r="S204" s="6">
        <f>IFERROR(__xludf.DUMMYFUNCTION("""COMPUTED_VALUE"""),0.0)</f>
        <v>0</v>
      </c>
      <c r="T204" s="6">
        <f>IFERROR(__xludf.DUMMYFUNCTION("""COMPUTED_VALUE"""),0.0)</f>
        <v>0</v>
      </c>
      <c r="U204" s="6">
        <f>IFERROR(__xludf.DUMMYFUNCTION("""COMPUTED_VALUE"""),0.0)</f>
        <v>0</v>
      </c>
      <c r="V204" s="4">
        <f t="shared" ref="V204:X204" si="203">SUM(D204, G204, J204, M204, P204, S204)</f>
        <v>2</v>
      </c>
      <c r="W204" s="4">
        <f t="shared" si="203"/>
        <v>1</v>
      </c>
      <c r="X204" s="4">
        <f t="shared" si="203"/>
        <v>2</v>
      </c>
    </row>
    <row r="205">
      <c r="A205" s="4" t="str">
        <f>IFERROR(__xludf.DUMMYFUNCTION("""COMPUTED_VALUE"""),"Школа 1467")</f>
        <v>Школа 1467</v>
      </c>
      <c r="B205" s="4" t="str">
        <f t="array" ref="B205">IFERROR(INDEX('Адреса школ'!F:F, MATCH(A205, 'Адреса школ'!E:E, 0)), "")</f>
        <v>55.639278, 37.347449</v>
      </c>
      <c r="C205" s="5" t="str">
        <f t="array" ref="C205">IFERROR(INDEX('Топ-400'!A:A, MATCH(A205, 'Топ-400'!E:E, 0)), "Вне рейтинга")</f>
        <v>83</v>
      </c>
      <c r="D205" s="6">
        <f>IFERROR(__xludf.DUMMYFUNCTION("""COMPUTED_VALUE"""),1.0)</f>
        <v>1</v>
      </c>
      <c r="E205" s="6">
        <f>IFERROR(__xludf.DUMMYFUNCTION("""COMPUTED_VALUE"""),1.0)</f>
        <v>1</v>
      </c>
      <c r="F205" s="6">
        <f>IFERROR(__xludf.DUMMYFUNCTION("""COMPUTED_VALUE"""),1.0)</f>
        <v>1</v>
      </c>
      <c r="G205" s="6">
        <f>IFERROR(__xludf.DUMMYFUNCTION("""COMPUTED_VALUE"""),0.0)</f>
        <v>0</v>
      </c>
      <c r="H205" s="6">
        <f>IFERROR(__xludf.DUMMYFUNCTION("""COMPUTED_VALUE"""),0.0)</f>
        <v>0</v>
      </c>
      <c r="I205" s="6">
        <f>IFERROR(__xludf.DUMMYFUNCTION("""COMPUTED_VALUE"""),0.0)</f>
        <v>0</v>
      </c>
      <c r="J205" s="6">
        <f>IFERROR(__xludf.DUMMYFUNCTION("""COMPUTED_VALUE"""),0.0)</f>
        <v>0</v>
      </c>
      <c r="K205" s="6">
        <f>IFERROR(__xludf.DUMMYFUNCTION("""COMPUTED_VALUE"""),0.0)</f>
        <v>0</v>
      </c>
      <c r="L205" s="6">
        <f>IFERROR(__xludf.DUMMYFUNCTION("""COMPUTED_VALUE"""),0.0)</f>
        <v>0</v>
      </c>
      <c r="M205" s="6">
        <f>IFERROR(__xludf.DUMMYFUNCTION("""COMPUTED_VALUE"""),0.0)</f>
        <v>0</v>
      </c>
      <c r="N205" s="6">
        <f>IFERROR(__xludf.DUMMYFUNCTION("""COMPUTED_VALUE"""),0.0)</f>
        <v>0</v>
      </c>
      <c r="O205" s="6">
        <f>IFERROR(__xludf.DUMMYFUNCTION("""COMPUTED_VALUE"""),1.0)</f>
        <v>1</v>
      </c>
      <c r="P205" s="6">
        <f>IFERROR(__xludf.DUMMYFUNCTION("""COMPUTED_VALUE"""),0.0)</f>
        <v>0</v>
      </c>
      <c r="Q205" s="6">
        <f>IFERROR(__xludf.DUMMYFUNCTION("""COMPUTED_VALUE"""),0.0)</f>
        <v>0</v>
      </c>
      <c r="R205" s="6">
        <f>IFERROR(__xludf.DUMMYFUNCTION("""COMPUTED_VALUE"""),0.0)</f>
        <v>0</v>
      </c>
      <c r="S205" s="6">
        <f>IFERROR(__xludf.DUMMYFUNCTION("""COMPUTED_VALUE"""),0.0)</f>
        <v>0</v>
      </c>
      <c r="T205" s="6">
        <f>IFERROR(__xludf.DUMMYFUNCTION("""COMPUTED_VALUE"""),0.0)</f>
        <v>0</v>
      </c>
      <c r="U205" s="6">
        <f>IFERROR(__xludf.DUMMYFUNCTION("""COMPUTED_VALUE"""),0.0)</f>
        <v>0</v>
      </c>
      <c r="V205" s="4">
        <f t="shared" ref="V205:X205" si="204">SUM(D205, G205, J205, M205, P205, S205)</f>
        <v>1</v>
      </c>
      <c r="W205" s="4">
        <f t="shared" si="204"/>
        <v>1</v>
      </c>
      <c r="X205" s="4">
        <f t="shared" si="204"/>
        <v>2</v>
      </c>
    </row>
    <row r="206">
      <c r="A206" s="4" t="str">
        <f>IFERROR(__xludf.DUMMYFUNCTION("""COMPUTED_VALUE"""),"Школа 1468")</f>
        <v>Школа 1468</v>
      </c>
      <c r="B206" s="4" t="str">
        <f t="array" ref="B206">IFERROR(INDEX('Адреса школ'!F:F, MATCH(A206, 'Адреса школ'!E:E, 0)), "")</f>
        <v>55.73513, 37.672603</v>
      </c>
      <c r="C206" s="5" t="str">
        <f t="array" ref="C206">IFERROR(INDEX('Топ-400'!A:A, MATCH(A206, 'Топ-400'!E:E, 0)), "Вне рейтинга")</f>
        <v>200</v>
      </c>
      <c r="D206" s="6">
        <f>IFERROR(__xludf.DUMMYFUNCTION("""COMPUTED_VALUE"""),1.0)</f>
        <v>1</v>
      </c>
      <c r="E206" s="6">
        <f>IFERROR(__xludf.DUMMYFUNCTION("""COMPUTED_VALUE"""),1.0)</f>
        <v>1</v>
      </c>
      <c r="F206" s="6">
        <f>IFERROR(__xludf.DUMMYFUNCTION("""COMPUTED_VALUE"""),1.0)</f>
        <v>1</v>
      </c>
      <c r="G206" s="6">
        <f>IFERROR(__xludf.DUMMYFUNCTION("""COMPUTED_VALUE"""),1.0)</f>
        <v>1</v>
      </c>
      <c r="H206" s="6">
        <f>IFERROR(__xludf.DUMMYFUNCTION("""COMPUTED_VALUE"""),0.0)</f>
        <v>0</v>
      </c>
      <c r="I206" s="6">
        <f>IFERROR(__xludf.DUMMYFUNCTION("""COMPUTED_VALUE"""),1.0)</f>
        <v>1</v>
      </c>
      <c r="J206" s="6">
        <f>IFERROR(__xludf.DUMMYFUNCTION("""COMPUTED_VALUE"""),0.0)</f>
        <v>0</v>
      </c>
      <c r="K206" s="6">
        <f>IFERROR(__xludf.DUMMYFUNCTION("""COMPUTED_VALUE"""),0.0)</f>
        <v>0</v>
      </c>
      <c r="L206" s="6">
        <f>IFERROR(__xludf.DUMMYFUNCTION("""COMPUTED_VALUE"""),0.0)</f>
        <v>0</v>
      </c>
      <c r="M206" s="6">
        <f>IFERROR(__xludf.DUMMYFUNCTION("""COMPUTED_VALUE"""),1.0)</f>
        <v>1</v>
      </c>
      <c r="N206" s="6">
        <f>IFERROR(__xludf.DUMMYFUNCTION("""COMPUTED_VALUE"""),0.0)</f>
        <v>0</v>
      </c>
      <c r="O206" s="6">
        <f>IFERROR(__xludf.DUMMYFUNCTION("""COMPUTED_VALUE"""),1.0)</f>
        <v>1</v>
      </c>
      <c r="P206" s="6">
        <f>IFERROR(__xludf.DUMMYFUNCTION("""COMPUTED_VALUE"""),1.0)</f>
        <v>1</v>
      </c>
      <c r="Q206" s="6">
        <f>IFERROR(__xludf.DUMMYFUNCTION("""COMPUTED_VALUE"""),1.0)</f>
        <v>1</v>
      </c>
      <c r="R206" s="6">
        <f>IFERROR(__xludf.DUMMYFUNCTION("""COMPUTED_VALUE"""),1.0)</f>
        <v>1</v>
      </c>
      <c r="S206" s="6">
        <f>IFERROR(__xludf.DUMMYFUNCTION("""COMPUTED_VALUE"""),0.0)</f>
        <v>0</v>
      </c>
      <c r="T206" s="6">
        <f>IFERROR(__xludf.DUMMYFUNCTION("""COMPUTED_VALUE"""),0.0)</f>
        <v>0</v>
      </c>
      <c r="U206" s="6">
        <f>IFERROR(__xludf.DUMMYFUNCTION("""COMPUTED_VALUE"""),0.0)</f>
        <v>0</v>
      </c>
      <c r="V206" s="4">
        <f t="shared" ref="V206:X206" si="205">SUM(D206, G206, J206, M206, P206, S206)</f>
        <v>4</v>
      </c>
      <c r="W206" s="4">
        <f t="shared" si="205"/>
        <v>2</v>
      </c>
      <c r="X206" s="4">
        <f t="shared" si="205"/>
        <v>4</v>
      </c>
    </row>
    <row r="207">
      <c r="A207" s="4" t="str">
        <f>IFERROR(__xludf.DUMMYFUNCTION("""COMPUTED_VALUE"""),"Школа 1474")</f>
        <v>Школа 1474</v>
      </c>
      <c r="B207" s="4" t="str">
        <f t="array" ref="B207">IFERROR(INDEX('Адреса школ'!F:F, MATCH(A207, 'Адреса школ'!E:E, 0)), "")</f>
        <v>55.871299, 37.490676</v>
      </c>
      <c r="C207" s="5" t="str">
        <f t="array" ref="C207">IFERROR(INDEX('Топ-400'!A:A, MATCH(A207, 'Топ-400'!E:E, 0)), "Вне рейтинга")</f>
        <v>41</v>
      </c>
      <c r="D207" s="6">
        <f>IFERROR(__xludf.DUMMYFUNCTION("""COMPUTED_VALUE"""),1.0)</f>
        <v>1</v>
      </c>
      <c r="E207" s="6">
        <f>IFERROR(__xludf.DUMMYFUNCTION("""COMPUTED_VALUE"""),1.0)</f>
        <v>1</v>
      </c>
      <c r="F207" s="6">
        <f>IFERROR(__xludf.DUMMYFUNCTION("""COMPUTED_VALUE"""),1.0)</f>
        <v>1</v>
      </c>
      <c r="G207" s="6">
        <f>IFERROR(__xludf.DUMMYFUNCTION("""COMPUTED_VALUE"""),1.0)</f>
        <v>1</v>
      </c>
      <c r="H207" s="6">
        <f>IFERROR(__xludf.DUMMYFUNCTION("""COMPUTED_VALUE"""),1.0)</f>
        <v>1</v>
      </c>
      <c r="I207" s="6">
        <f>IFERROR(__xludf.DUMMYFUNCTION("""COMPUTED_VALUE"""),1.0)</f>
        <v>1</v>
      </c>
      <c r="J207" s="6">
        <f>IFERROR(__xludf.DUMMYFUNCTION("""COMPUTED_VALUE"""),1.0)</f>
        <v>1</v>
      </c>
      <c r="K207" s="6">
        <f>IFERROR(__xludf.DUMMYFUNCTION("""COMPUTED_VALUE"""),1.0)</f>
        <v>1</v>
      </c>
      <c r="L207" s="6">
        <f>IFERROR(__xludf.DUMMYFUNCTION("""COMPUTED_VALUE"""),1.0)</f>
        <v>1</v>
      </c>
      <c r="M207" s="6">
        <f>IFERROR(__xludf.DUMMYFUNCTION("""COMPUTED_VALUE"""),1.0)</f>
        <v>1</v>
      </c>
      <c r="N207" s="6">
        <f>IFERROR(__xludf.DUMMYFUNCTION("""COMPUTED_VALUE"""),1.0)</f>
        <v>1</v>
      </c>
      <c r="O207" s="6">
        <f>IFERROR(__xludf.DUMMYFUNCTION("""COMPUTED_VALUE"""),1.0)</f>
        <v>1</v>
      </c>
      <c r="P207" s="6">
        <f>IFERROR(__xludf.DUMMYFUNCTION("""COMPUTED_VALUE"""),1.0)</f>
        <v>1</v>
      </c>
      <c r="Q207" s="6">
        <f>IFERROR(__xludf.DUMMYFUNCTION("""COMPUTED_VALUE"""),1.0)</f>
        <v>1</v>
      </c>
      <c r="R207" s="6">
        <f>IFERROR(__xludf.DUMMYFUNCTION("""COMPUTED_VALUE"""),1.0)</f>
        <v>1</v>
      </c>
      <c r="S207" s="6">
        <f>IFERROR(__xludf.DUMMYFUNCTION("""COMPUTED_VALUE"""),0.0)</f>
        <v>0</v>
      </c>
      <c r="T207" s="6">
        <f>IFERROR(__xludf.DUMMYFUNCTION("""COMPUTED_VALUE"""),0.0)</f>
        <v>0</v>
      </c>
      <c r="U207" s="6">
        <f>IFERROR(__xludf.DUMMYFUNCTION("""COMPUTED_VALUE"""),0.0)</f>
        <v>0</v>
      </c>
      <c r="V207" s="4">
        <f t="shared" ref="V207:X207" si="206">SUM(D207, G207, J207, M207, P207, S207)</f>
        <v>5</v>
      </c>
      <c r="W207" s="4">
        <f t="shared" si="206"/>
        <v>5</v>
      </c>
      <c r="X207" s="4">
        <f t="shared" si="206"/>
        <v>5</v>
      </c>
    </row>
    <row r="208">
      <c r="A208" s="4" t="str">
        <f>IFERROR(__xludf.DUMMYFUNCTION("""COMPUTED_VALUE"""),"Школа 1492")</f>
        <v>Школа 1492</v>
      </c>
      <c r="B208" s="4" t="str">
        <f t="array" ref="B208">IFERROR(INDEX('Адреса школ'!F:F, MATCH(A208, 'Адреса школ'!E:E, 0)), "")</f>
        <v>55.537724, 37.508741</v>
      </c>
      <c r="C208" s="5" t="str">
        <f t="array" ref="C208">IFERROR(INDEX('Топ-400'!A:A, MATCH(A208, 'Топ-400'!E:E, 0)), "Вне рейтинга")</f>
        <v>212</v>
      </c>
      <c r="D208" s="6">
        <f>IFERROR(__xludf.DUMMYFUNCTION("""COMPUTED_VALUE"""),1.0)</f>
        <v>1</v>
      </c>
      <c r="E208" s="6">
        <f>IFERROR(__xludf.DUMMYFUNCTION("""COMPUTED_VALUE"""),1.0)</f>
        <v>1</v>
      </c>
      <c r="F208" s="6">
        <f>IFERROR(__xludf.DUMMYFUNCTION("""COMPUTED_VALUE"""),1.0)</f>
        <v>1</v>
      </c>
      <c r="G208" s="6">
        <f>IFERROR(__xludf.DUMMYFUNCTION("""COMPUTED_VALUE"""),0.0)</f>
        <v>0</v>
      </c>
      <c r="H208" s="6">
        <f>IFERROR(__xludf.DUMMYFUNCTION("""COMPUTED_VALUE"""),0.0)</f>
        <v>0</v>
      </c>
      <c r="I208" s="6">
        <f>IFERROR(__xludf.DUMMYFUNCTION("""COMPUTED_VALUE"""),0.0)</f>
        <v>0</v>
      </c>
      <c r="J208" s="6">
        <f>IFERROR(__xludf.DUMMYFUNCTION("""COMPUTED_VALUE"""),0.0)</f>
        <v>0</v>
      </c>
      <c r="K208" s="6">
        <f>IFERROR(__xludf.DUMMYFUNCTION("""COMPUTED_VALUE"""),0.0)</f>
        <v>0</v>
      </c>
      <c r="L208" s="6">
        <f>IFERROR(__xludf.DUMMYFUNCTION("""COMPUTED_VALUE"""),0.0)</f>
        <v>0</v>
      </c>
      <c r="M208" s="6">
        <f>IFERROR(__xludf.DUMMYFUNCTION("""COMPUTED_VALUE"""),0.0)</f>
        <v>0</v>
      </c>
      <c r="N208" s="6">
        <f>IFERROR(__xludf.DUMMYFUNCTION("""COMPUTED_VALUE"""),0.0)</f>
        <v>0</v>
      </c>
      <c r="O208" s="6">
        <f>IFERROR(__xludf.DUMMYFUNCTION("""COMPUTED_VALUE"""),0.0)</f>
        <v>0</v>
      </c>
      <c r="P208" s="6">
        <f>IFERROR(__xludf.DUMMYFUNCTION("""COMPUTED_VALUE"""),0.0)</f>
        <v>0</v>
      </c>
      <c r="Q208" s="6">
        <f>IFERROR(__xludf.DUMMYFUNCTION("""COMPUTED_VALUE"""),0.0)</f>
        <v>0</v>
      </c>
      <c r="R208" s="6">
        <f>IFERROR(__xludf.DUMMYFUNCTION("""COMPUTED_VALUE"""),0.0)</f>
        <v>0</v>
      </c>
      <c r="S208" s="6">
        <f>IFERROR(__xludf.DUMMYFUNCTION("""COMPUTED_VALUE"""),0.0)</f>
        <v>0</v>
      </c>
      <c r="T208" s="6">
        <f>IFERROR(__xludf.DUMMYFUNCTION("""COMPUTED_VALUE"""),0.0)</f>
        <v>0</v>
      </c>
      <c r="U208" s="6">
        <f>IFERROR(__xludf.DUMMYFUNCTION("""COMPUTED_VALUE"""),0.0)</f>
        <v>0</v>
      </c>
      <c r="V208" s="4">
        <f t="shared" ref="V208:X208" si="207">SUM(D208, G208, J208, M208, P208, S208)</f>
        <v>1</v>
      </c>
      <c r="W208" s="4">
        <f t="shared" si="207"/>
        <v>1</v>
      </c>
      <c r="X208" s="4">
        <f t="shared" si="207"/>
        <v>1</v>
      </c>
    </row>
    <row r="209">
      <c r="A209" s="4" t="str">
        <f>IFERROR(__xludf.DUMMYFUNCTION("""COMPUTED_VALUE"""),"Школа 1494")</f>
        <v>Школа 1494</v>
      </c>
      <c r="B209" s="4" t="str">
        <f t="array" ref="B209">IFERROR(INDEX('Адреса школ'!F:F, MATCH(A209, 'Адреса школ'!E:E, 0)), "")</f>
        <v>55.827808, 37.592087</v>
      </c>
      <c r="C209" s="5" t="str">
        <f t="array" ref="C209">IFERROR(INDEX('Топ-400'!A:A, MATCH(A209, 'Топ-400'!E:E, 0)), "Вне рейтинга")</f>
        <v>348</v>
      </c>
      <c r="D209" s="6">
        <f>IFERROR(__xludf.DUMMYFUNCTION("""COMPUTED_VALUE"""),1.0)</f>
        <v>1</v>
      </c>
      <c r="E209" s="6">
        <f>IFERROR(__xludf.DUMMYFUNCTION("""COMPUTED_VALUE"""),0.0)</f>
        <v>0</v>
      </c>
      <c r="F209" s="6">
        <f>IFERROR(__xludf.DUMMYFUNCTION("""COMPUTED_VALUE"""),0.0)</f>
        <v>0</v>
      </c>
      <c r="G209" s="6">
        <f>IFERROR(__xludf.DUMMYFUNCTION("""COMPUTED_VALUE"""),1.0)</f>
        <v>1</v>
      </c>
      <c r="H209" s="6">
        <f>IFERROR(__xludf.DUMMYFUNCTION("""COMPUTED_VALUE"""),0.0)</f>
        <v>0</v>
      </c>
      <c r="I209" s="6">
        <f>IFERROR(__xludf.DUMMYFUNCTION("""COMPUTED_VALUE"""),0.0)</f>
        <v>0</v>
      </c>
      <c r="J209" s="6">
        <f>IFERROR(__xludf.DUMMYFUNCTION("""COMPUTED_VALUE"""),1.0)</f>
        <v>1</v>
      </c>
      <c r="K209" s="6">
        <f>IFERROR(__xludf.DUMMYFUNCTION("""COMPUTED_VALUE"""),0.0)</f>
        <v>0</v>
      </c>
      <c r="L209" s="6">
        <f>IFERROR(__xludf.DUMMYFUNCTION("""COMPUTED_VALUE"""),0.0)</f>
        <v>0</v>
      </c>
      <c r="M209" s="6">
        <f>IFERROR(__xludf.DUMMYFUNCTION("""COMPUTED_VALUE"""),1.0)</f>
        <v>1</v>
      </c>
      <c r="N209" s="6">
        <f>IFERROR(__xludf.DUMMYFUNCTION("""COMPUTED_VALUE"""),1.0)</f>
        <v>1</v>
      </c>
      <c r="O209" s="6">
        <f>IFERROR(__xludf.DUMMYFUNCTION("""COMPUTED_VALUE"""),1.0)</f>
        <v>1</v>
      </c>
      <c r="P209" s="6">
        <f>IFERROR(__xludf.DUMMYFUNCTION("""COMPUTED_VALUE"""),1.0)</f>
        <v>1</v>
      </c>
      <c r="Q209" s="6">
        <f>IFERROR(__xludf.DUMMYFUNCTION("""COMPUTED_VALUE"""),0.0)</f>
        <v>0</v>
      </c>
      <c r="R209" s="6">
        <f>IFERROR(__xludf.DUMMYFUNCTION("""COMPUTED_VALUE"""),0.0)</f>
        <v>0</v>
      </c>
      <c r="S209" s="6">
        <f>IFERROR(__xludf.DUMMYFUNCTION("""COMPUTED_VALUE"""),0.0)</f>
        <v>0</v>
      </c>
      <c r="T209" s="6">
        <f>IFERROR(__xludf.DUMMYFUNCTION("""COMPUTED_VALUE"""),0.0)</f>
        <v>0</v>
      </c>
      <c r="U209" s="6">
        <f>IFERROR(__xludf.DUMMYFUNCTION("""COMPUTED_VALUE"""),0.0)</f>
        <v>0</v>
      </c>
      <c r="V209" s="4">
        <f t="shared" ref="V209:X209" si="208">SUM(D209, G209, J209, M209, P209, S209)</f>
        <v>5</v>
      </c>
      <c r="W209" s="4">
        <f t="shared" si="208"/>
        <v>1</v>
      </c>
      <c r="X209" s="4">
        <f t="shared" si="208"/>
        <v>1</v>
      </c>
    </row>
    <row r="210">
      <c r="A210" s="4" t="str">
        <f>IFERROR(__xludf.DUMMYFUNCTION("""COMPUTED_VALUE"""),"Школа 1498")</f>
        <v>Школа 1498</v>
      </c>
      <c r="B210" s="4" t="str">
        <f t="array" ref="B210">IFERROR(INDEX('Адреса школ'!F:F, MATCH(A210, 'Адреса школ'!E:E, 0)), "")</f>
        <v>55.694124, 37.507035</v>
      </c>
      <c r="C210" s="5" t="str">
        <f t="array" ref="C210">IFERROR(INDEX('Топ-400'!A:A, MATCH(A210, 'Топ-400'!E:E, 0)), "Вне рейтинга")</f>
        <v>236</v>
      </c>
      <c r="D210" s="6">
        <f>IFERROR(__xludf.DUMMYFUNCTION("""COMPUTED_VALUE"""),1.0)</f>
        <v>1</v>
      </c>
      <c r="E210" s="6">
        <f>IFERROR(__xludf.DUMMYFUNCTION("""COMPUTED_VALUE"""),0.0)</f>
        <v>0</v>
      </c>
      <c r="F210" s="6">
        <f>IFERROR(__xludf.DUMMYFUNCTION("""COMPUTED_VALUE"""),0.0)</f>
        <v>0</v>
      </c>
      <c r="G210" s="6">
        <f>IFERROR(__xludf.DUMMYFUNCTION("""COMPUTED_VALUE"""),0.0)</f>
        <v>0</v>
      </c>
      <c r="H210" s="6">
        <f>IFERROR(__xludf.DUMMYFUNCTION("""COMPUTED_VALUE"""),0.0)</f>
        <v>0</v>
      </c>
      <c r="I210" s="6">
        <f>IFERROR(__xludf.DUMMYFUNCTION("""COMPUTED_VALUE"""),0.0)</f>
        <v>0</v>
      </c>
      <c r="J210" s="6">
        <f>IFERROR(__xludf.DUMMYFUNCTION("""COMPUTED_VALUE"""),1.0)</f>
        <v>1</v>
      </c>
      <c r="K210" s="6">
        <f>IFERROR(__xludf.DUMMYFUNCTION("""COMPUTED_VALUE"""),0.0)</f>
        <v>0</v>
      </c>
      <c r="L210" s="6">
        <f>IFERROR(__xludf.DUMMYFUNCTION("""COMPUTED_VALUE"""),1.0)</f>
        <v>1</v>
      </c>
      <c r="M210" s="6">
        <f>IFERROR(__xludf.DUMMYFUNCTION("""COMPUTED_VALUE"""),1.0)</f>
        <v>1</v>
      </c>
      <c r="N210" s="6">
        <f>IFERROR(__xludf.DUMMYFUNCTION("""COMPUTED_VALUE"""),1.0)</f>
        <v>1</v>
      </c>
      <c r="O210" s="6">
        <f>IFERROR(__xludf.DUMMYFUNCTION("""COMPUTED_VALUE"""),1.0)</f>
        <v>1</v>
      </c>
      <c r="P210" s="6">
        <f>IFERROR(__xludf.DUMMYFUNCTION("""COMPUTED_VALUE"""),1.0)</f>
        <v>1</v>
      </c>
      <c r="Q210" s="6">
        <f>IFERROR(__xludf.DUMMYFUNCTION("""COMPUTED_VALUE"""),1.0)</f>
        <v>1</v>
      </c>
      <c r="R210" s="6">
        <f>IFERROR(__xludf.DUMMYFUNCTION("""COMPUTED_VALUE"""),1.0)</f>
        <v>1</v>
      </c>
      <c r="S210" s="6">
        <f>IFERROR(__xludf.DUMMYFUNCTION("""COMPUTED_VALUE"""),0.0)</f>
        <v>0</v>
      </c>
      <c r="T210" s="6">
        <f>IFERROR(__xludf.DUMMYFUNCTION("""COMPUTED_VALUE"""),0.0)</f>
        <v>0</v>
      </c>
      <c r="U210" s="6">
        <f>IFERROR(__xludf.DUMMYFUNCTION("""COMPUTED_VALUE"""),0.0)</f>
        <v>0</v>
      </c>
      <c r="V210" s="4">
        <f t="shared" ref="V210:X210" si="209">SUM(D210, G210, J210, M210, P210, S210)</f>
        <v>4</v>
      </c>
      <c r="W210" s="4">
        <f t="shared" si="209"/>
        <v>2</v>
      </c>
      <c r="X210" s="4">
        <f t="shared" si="209"/>
        <v>3</v>
      </c>
    </row>
    <row r="211">
      <c r="A211" s="4" t="str">
        <f>IFERROR(__xludf.DUMMYFUNCTION("""COMPUTED_VALUE"""),"Школа 1500")</f>
        <v>Школа 1500</v>
      </c>
      <c r="B211" s="4" t="str">
        <f t="array" ref="B211">IFERROR(INDEX('Адреса школ'!F:F, MATCH(A211, 'Адреса школ'!E:E, 0)), "")</f>
        <v>55.764764, 37.633634</v>
      </c>
      <c r="C211" s="5" t="str">
        <f t="array" ref="C211">IFERROR(INDEX('Топ-400'!A:A, MATCH(A211, 'Топ-400'!E:E, 0)), "Вне рейтинга")</f>
        <v>365</v>
      </c>
      <c r="D211" s="6">
        <f>IFERROR(__xludf.DUMMYFUNCTION("""COMPUTED_VALUE"""),1.0)</f>
        <v>1</v>
      </c>
      <c r="E211" s="6">
        <f>IFERROR(__xludf.DUMMYFUNCTION("""COMPUTED_VALUE"""),1.0)</f>
        <v>1</v>
      </c>
      <c r="F211" s="6">
        <f>IFERROR(__xludf.DUMMYFUNCTION("""COMPUTED_VALUE"""),1.0)</f>
        <v>1</v>
      </c>
      <c r="G211" s="6">
        <f>IFERROR(__xludf.DUMMYFUNCTION("""COMPUTED_VALUE"""),0.0)</f>
        <v>0</v>
      </c>
      <c r="H211" s="6">
        <f>IFERROR(__xludf.DUMMYFUNCTION("""COMPUTED_VALUE"""),0.0)</f>
        <v>0</v>
      </c>
      <c r="I211" s="6">
        <f>IFERROR(__xludf.DUMMYFUNCTION("""COMPUTED_VALUE"""),0.0)</f>
        <v>0</v>
      </c>
      <c r="J211" s="6">
        <f>IFERROR(__xludf.DUMMYFUNCTION("""COMPUTED_VALUE"""),0.0)</f>
        <v>0</v>
      </c>
      <c r="K211" s="6">
        <f>IFERROR(__xludf.DUMMYFUNCTION("""COMPUTED_VALUE"""),0.0)</f>
        <v>0</v>
      </c>
      <c r="L211" s="6">
        <f>IFERROR(__xludf.DUMMYFUNCTION("""COMPUTED_VALUE"""),0.0)</f>
        <v>0</v>
      </c>
      <c r="M211" s="6">
        <f>IFERROR(__xludf.DUMMYFUNCTION("""COMPUTED_VALUE"""),0.0)</f>
        <v>0</v>
      </c>
      <c r="N211" s="6">
        <f>IFERROR(__xludf.DUMMYFUNCTION("""COMPUTED_VALUE"""),0.0)</f>
        <v>0</v>
      </c>
      <c r="O211" s="6">
        <f>IFERROR(__xludf.DUMMYFUNCTION("""COMPUTED_VALUE"""),1.0)</f>
        <v>1</v>
      </c>
      <c r="P211" s="6">
        <f>IFERROR(__xludf.DUMMYFUNCTION("""COMPUTED_VALUE"""),0.0)</f>
        <v>0</v>
      </c>
      <c r="Q211" s="6">
        <f>IFERROR(__xludf.DUMMYFUNCTION("""COMPUTED_VALUE"""),1.0)</f>
        <v>1</v>
      </c>
      <c r="R211" s="6">
        <f>IFERROR(__xludf.DUMMYFUNCTION("""COMPUTED_VALUE"""),1.0)</f>
        <v>1</v>
      </c>
      <c r="S211" s="6">
        <f>IFERROR(__xludf.DUMMYFUNCTION("""COMPUTED_VALUE"""),0.0)</f>
        <v>0</v>
      </c>
      <c r="T211" s="6">
        <f>IFERROR(__xludf.DUMMYFUNCTION("""COMPUTED_VALUE"""),0.0)</f>
        <v>0</v>
      </c>
      <c r="U211" s="6">
        <f>IFERROR(__xludf.DUMMYFUNCTION("""COMPUTED_VALUE"""),0.0)</f>
        <v>0</v>
      </c>
      <c r="V211" s="4">
        <f t="shared" ref="V211:X211" si="210">SUM(D211, G211, J211, M211, P211, S211)</f>
        <v>1</v>
      </c>
      <c r="W211" s="4">
        <f t="shared" si="210"/>
        <v>2</v>
      </c>
      <c r="X211" s="4">
        <f t="shared" si="210"/>
        <v>3</v>
      </c>
    </row>
    <row r="212">
      <c r="A212" s="4" t="str">
        <f>IFERROR(__xludf.DUMMYFUNCTION("""COMPUTED_VALUE"""),"Школа 1501")</f>
        <v>Школа 1501</v>
      </c>
      <c r="B212" s="4" t="str">
        <f t="array" ref="B212">IFERROR(INDEX('Адреса школ'!F:F, MATCH(A212, 'Адреса школ'!E:E, 0)), "")</f>
        <v>55.787705, 37.59577</v>
      </c>
      <c r="C212" s="5" t="str">
        <f t="array" ref="C212">IFERROR(INDEX('Топ-400'!A:A, MATCH(A212, 'Топ-400'!E:E, 0)), "Вне рейтинга")</f>
        <v>10</v>
      </c>
      <c r="D212" s="6">
        <f>IFERROR(__xludf.DUMMYFUNCTION("""COMPUTED_VALUE"""),1.0)</f>
        <v>1</v>
      </c>
      <c r="E212" s="6">
        <f>IFERROR(__xludf.DUMMYFUNCTION("""COMPUTED_VALUE"""),1.0)</f>
        <v>1</v>
      </c>
      <c r="F212" s="6">
        <f>IFERROR(__xludf.DUMMYFUNCTION("""COMPUTED_VALUE"""),1.0)</f>
        <v>1</v>
      </c>
      <c r="G212" s="6">
        <f>IFERROR(__xludf.DUMMYFUNCTION("""COMPUTED_VALUE"""),1.0)</f>
        <v>1</v>
      </c>
      <c r="H212" s="6">
        <f>IFERROR(__xludf.DUMMYFUNCTION("""COMPUTED_VALUE"""),1.0)</f>
        <v>1</v>
      </c>
      <c r="I212" s="6">
        <f>IFERROR(__xludf.DUMMYFUNCTION("""COMPUTED_VALUE"""),1.0)</f>
        <v>1</v>
      </c>
      <c r="J212" s="6">
        <f>IFERROR(__xludf.DUMMYFUNCTION("""COMPUTED_VALUE"""),1.0)</f>
        <v>1</v>
      </c>
      <c r="K212" s="6">
        <f>IFERROR(__xludf.DUMMYFUNCTION("""COMPUTED_VALUE"""),1.0)</f>
        <v>1</v>
      </c>
      <c r="L212" s="6">
        <f>IFERROR(__xludf.DUMMYFUNCTION("""COMPUTED_VALUE"""),1.0)</f>
        <v>1</v>
      </c>
      <c r="M212" s="6">
        <f>IFERROR(__xludf.DUMMYFUNCTION("""COMPUTED_VALUE"""),1.0)</f>
        <v>1</v>
      </c>
      <c r="N212" s="6">
        <f>IFERROR(__xludf.DUMMYFUNCTION("""COMPUTED_VALUE"""),0.0)</f>
        <v>0</v>
      </c>
      <c r="O212" s="6">
        <f>IFERROR(__xludf.DUMMYFUNCTION("""COMPUTED_VALUE"""),1.0)</f>
        <v>1</v>
      </c>
      <c r="P212" s="6">
        <f>IFERROR(__xludf.DUMMYFUNCTION("""COMPUTED_VALUE"""),1.0)</f>
        <v>1</v>
      </c>
      <c r="Q212" s="6">
        <f>IFERROR(__xludf.DUMMYFUNCTION("""COMPUTED_VALUE"""),1.0)</f>
        <v>1</v>
      </c>
      <c r="R212" s="6">
        <f>IFERROR(__xludf.DUMMYFUNCTION("""COMPUTED_VALUE"""),1.0)</f>
        <v>1</v>
      </c>
      <c r="S212" s="6">
        <f>IFERROR(__xludf.DUMMYFUNCTION("""COMPUTED_VALUE"""),0.0)</f>
        <v>0</v>
      </c>
      <c r="T212" s="6">
        <f>IFERROR(__xludf.DUMMYFUNCTION("""COMPUTED_VALUE"""),0.0)</f>
        <v>0</v>
      </c>
      <c r="U212" s="6">
        <f>IFERROR(__xludf.DUMMYFUNCTION("""COMPUTED_VALUE"""),0.0)</f>
        <v>0</v>
      </c>
      <c r="V212" s="4">
        <f t="shared" ref="V212:X212" si="211">SUM(D212, G212, J212, M212, P212, S212)</f>
        <v>5</v>
      </c>
      <c r="W212" s="4">
        <f t="shared" si="211"/>
        <v>4</v>
      </c>
      <c r="X212" s="4">
        <f t="shared" si="211"/>
        <v>5</v>
      </c>
    </row>
    <row r="213">
      <c r="A213" s="4" t="str">
        <f>IFERROR(__xludf.DUMMYFUNCTION("""COMPUTED_VALUE"""),"Школа 1502")</f>
        <v>Школа 1502</v>
      </c>
      <c r="B213" s="4" t="str">
        <f t="array" ref="B213">IFERROR(INDEX('Адреса школ'!F:F, MATCH(A213, 'Адреса школ'!E:E, 0)), "")</f>
        <v>55.760287, 37.830213</v>
      </c>
      <c r="C213" s="5" t="str">
        <f t="array" ref="C213">IFERROR(INDEX('Топ-400'!A:A, MATCH(A213, 'Топ-400'!E:E, 0)), "Вне рейтинга")</f>
        <v>1</v>
      </c>
      <c r="D213" s="6">
        <f>IFERROR(__xludf.DUMMYFUNCTION("""COMPUTED_VALUE"""),1.0)</f>
        <v>1</v>
      </c>
      <c r="E213" s="6">
        <f>IFERROR(__xludf.DUMMYFUNCTION("""COMPUTED_VALUE"""),1.0)</f>
        <v>1</v>
      </c>
      <c r="F213" s="6">
        <f>IFERROR(__xludf.DUMMYFUNCTION("""COMPUTED_VALUE"""),1.0)</f>
        <v>1</v>
      </c>
      <c r="G213" s="6">
        <f>IFERROR(__xludf.DUMMYFUNCTION("""COMPUTED_VALUE"""),1.0)</f>
        <v>1</v>
      </c>
      <c r="H213" s="6">
        <f>IFERROR(__xludf.DUMMYFUNCTION("""COMPUTED_VALUE"""),1.0)</f>
        <v>1</v>
      </c>
      <c r="I213" s="6">
        <f>IFERROR(__xludf.DUMMYFUNCTION("""COMPUTED_VALUE"""),1.0)</f>
        <v>1</v>
      </c>
      <c r="J213" s="6">
        <f>IFERROR(__xludf.DUMMYFUNCTION("""COMPUTED_VALUE"""),1.0)</f>
        <v>1</v>
      </c>
      <c r="K213" s="6">
        <f>IFERROR(__xludf.DUMMYFUNCTION("""COMPUTED_VALUE"""),1.0)</f>
        <v>1</v>
      </c>
      <c r="L213" s="6">
        <f>IFERROR(__xludf.DUMMYFUNCTION("""COMPUTED_VALUE"""),1.0)</f>
        <v>1</v>
      </c>
      <c r="M213" s="6">
        <f>IFERROR(__xludf.DUMMYFUNCTION("""COMPUTED_VALUE"""),0.0)</f>
        <v>0</v>
      </c>
      <c r="N213" s="6">
        <f>IFERROR(__xludf.DUMMYFUNCTION("""COMPUTED_VALUE"""),0.0)</f>
        <v>0</v>
      </c>
      <c r="O213" s="6">
        <f>IFERROR(__xludf.DUMMYFUNCTION("""COMPUTED_VALUE"""),0.0)</f>
        <v>0</v>
      </c>
      <c r="P213" s="6">
        <f>IFERROR(__xludf.DUMMYFUNCTION("""COMPUTED_VALUE"""),1.0)</f>
        <v>1</v>
      </c>
      <c r="Q213" s="6">
        <f>IFERROR(__xludf.DUMMYFUNCTION("""COMPUTED_VALUE"""),1.0)</f>
        <v>1</v>
      </c>
      <c r="R213" s="6">
        <f>IFERROR(__xludf.DUMMYFUNCTION("""COMPUTED_VALUE"""),0.0)</f>
        <v>0</v>
      </c>
      <c r="S213" s="6">
        <f>IFERROR(__xludf.DUMMYFUNCTION("""COMPUTED_VALUE"""),0.0)</f>
        <v>0</v>
      </c>
      <c r="T213" s="6">
        <f>IFERROR(__xludf.DUMMYFUNCTION("""COMPUTED_VALUE"""),0.0)</f>
        <v>0</v>
      </c>
      <c r="U213" s="6">
        <f>IFERROR(__xludf.DUMMYFUNCTION("""COMPUTED_VALUE"""),0.0)</f>
        <v>0</v>
      </c>
      <c r="V213" s="4">
        <f t="shared" ref="V213:X213" si="212">SUM(D213, G213, J213, M213, P213, S213)</f>
        <v>4</v>
      </c>
      <c r="W213" s="4">
        <f t="shared" si="212"/>
        <v>4</v>
      </c>
      <c r="X213" s="4">
        <f t="shared" si="212"/>
        <v>3</v>
      </c>
    </row>
    <row r="214">
      <c r="A214" s="4" t="str">
        <f>IFERROR(__xludf.DUMMYFUNCTION("""COMPUTED_VALUE"""),"Школа 1503")</f>
        <v>Школа 1503</v>
      </c>
      <c r="B214" s="4" t="str">
        <f t="array" ref="B214">IFERROR(INDEX('Адреса школ'!F:F, MATCH(A214, 'Адреса школ'!E:E, 0)), "")</f>
        <v>55.818012, 37.662803</v>
      </c>
      <c r="C214" s="5" t="str">
        <f t="array" ref="C214">IFERROR(INDEX('Топ-400'!A:A, MATCH(A214, 'Топ-400'!E:E, 0)), "Вне рейтинга")</f>
        <v>340</v>
      </c>
      <c r="D214" s="6">
        <f>IFERROR(__xludf.DUMMYFUNCTION("""COMPUTED_VALUE"""),0.0)</f>
        <v>0</v>
      </c>
      <c r="E214" s="6">
        <f>IFERROR(__xludf.DUMMYFUNCTION("""COMPUTED_VALUE"""),0.0)</f>
        <v>0</v>
      </c>
      <c r="F214" s="6">
        <f>IFERROR(__xludf.DUMMYFUNCTION("""COMPUTED_VALUE"""),0.0)</f>
        <v>0</v>
      </c>
      <c r="G214" s="6">
        <f>IFERROR(__xludf.DUMMYFUNCTION("""COMPUTED_VALUE"""),0.0)</f>
        <v>0</v>
      </c>
      <c r="H214" s="6">
        <f>IFERROR(__xludf.DUMMYFUNCTION("""COMPUTED_VALUE"""),0.0)</f>
        <v>0</v>
      </c>
      <c r="I214" s="6">
        <f>IFERROR(__xludf.DUMMYFUNCTION("""COMPUTED_VALUE"""),0.0)</f>
        <v>0</v>
      </c>
      <c r="J214" s="6">
        <f>IFERROR(__xludf.DUMMYFUNCTION("""COMPUTED_VALUE"""),1.0)</f>
        <v>1</v>
      </c>
      <c r="K214" s="6">
        <f>IFERROR(__xludf.DUMMYFUNCTION("""COMPUTED_VALUE"""),1.0)</f>
        <v>1</v>
      </c>
      <c r="L214" s="6">
        <f>IFERROR(__xludf.DUMMYFUNCTION("""COMPUTED_VALUE"""),1.0)</f>
        <v>1</v>
      </c>
      <c r="M214" s="6">
        <f>IFERROR(__xludf.DUMMYFUNCTION("""COMPUTED_VALUE"""),1.0)</f>
        <v>1</v>
      </c>
      <c r="N214" s="6">
        <f>IFERROR(__xludf.DUMMYFUNCTION("""COMPUTED_VALUE"""),0.0)</f>
        <v>0</v>
      </c>
      <c r="O214" s="6">
        <f>IFERROR(__xludf.DUMMYFUNCTION("""COMPUTED_VALUE"""),0.0)</f>
        <v>0</v>
      </c>
      <c r="P214" s="6">
        <f>IFERROR(__xludf.DUMMYFUNCTION("""COMPUTED_VALUE"""),0.0)</f>
        <v>0</v>
      </c>
      <c r="Q214" s="6">
        <f>IFERROR(__xludf.DUMMYFUNCTION("""COMPUTED_VALUE"""),0.0)</f>
        <v>0</v>
      </c>
      <c r="R214" s="6">
        <f>IFERROR(__xludf.DUMMYFUNCTION("""COMPUTED_VALUE"""),0.0)</f>
        <v>0</v>
      </c>
      <c r="S214" s="6">
        <f>IFERROR(__xludf.DUMMYFUNCTION("""COMPUTED_VALUE"""),0.0)</f>
        <v>0</v>
      </c>
      <c r="T214" s="6">
        <f>IFERROR(__xludf.DUMMYFUNCTION("""COMPUTED_VALUE"""),0.0)</f>
        <v>0</v>
      </c>
      <c r="U214" s="6">
        <f>IFERROR(__xludf.DUMMYFUNCTION("""COMPUTED_VALUE"""),0.0)</f>
        <v>0</v>
      </c>
      <c r="V214" s="4">
        <f t="shared" ref="V214:X214" si="213">SUM(D214, G214, J214, M214, P214, S214)</f>
        <v>2</v>
      </c>
      <c r="W214" s="4">
        <f t="shared" si="213"/>
        <v>1</v>
      </c>
      <c r="X214" s="4">
        <f t="shared" si="213"/>
        <v>1</v>
      </c>
    </row>
    <row r="215">
      <c r="A215" s="4" t="str">
        <f>IFERROR(__xludf.DUMMYFUNCTION("""COMPUTED_VALUE"""),"Школа 1504")</f>
        <v>Школа 1504</v>
      </c>
      <c r="B215" s="4" t="str">
        <f t="array" ref="B215">IFERROR(INDEX('Адреса школ'!F:F, MATCH(A215, 'Адреса школ'!E:E, 0)), "")</f>
        <v>55.76209, 37.838001</v>
      </c>
      <c r="C215" s="5" t="str">
        <f t="array" ref="C215">IFERROR(INDEX('Топ-400'!A:A, MATCH(A215, 'Топ-400'!E:E, 0)), "Вне рейтинга")</f>
        <v>21</v>
      </c>
      <c r="D215" s="6">
        <f>IFERROR(__xludf.DUMMYFUNCTION("""COMPUTED_VALUE"""),0.0)</f>
        <v>0</v>
      </c>
      <c r="E215" s="6">
        <f>IFERROR(__xludf.DUMMYFUNCTION("""COMPUTED_VALUE"""),0.0)</f>
        <v>0</v>
      </c>
      <c r="F215" s="6">
        <f>IFERROR(__xludf.DUMMYFUNCTION("""COMPUTED_VALUE"""),0.0)</f>
        <v>0</v>
      </c>
      <c r="G215" s="6">
        <f>IFERROR(__xludf.DUMMYFUNCTION("""COMPUTED_VALUE"""),0.0)</f>
        <v>0</v>
      </c>
      <c r="H215" s="6">
        <f>IFERROR(__xludf.DUMMYFUNCTION("""COMPUTED_VALUE"""),0.0)</f>
        <v>0</v>
      </c>
      <c r="I215" s="6">
        <f>IFERROR(__xludf.DUMMYFUNCTION("""COMPUTED_VALUE"""),0.0)</f>
        <v>0</v>
      </c>
      <c r="J215" s="6">
        <f>IFERROR(__xludf.DUMMYFUNCTION("""COMPUTED_VALUE"""),1.0)</f>
        <v>1</v>
      </c>
      <c r="K215" s="6">
        <f>IFERROR(__xludf.DUMMYFUNCTION("""COMPUTED_VALUE"""),1.0)</f>
        <v>1</v>
      </c>
      <c r="L215" s="6">
        <f>IFERROR(__xludf.DUMMYFUNCTION("""COMPUTED_VALUE"""),1.0)</f>
        <v>1</v>
      </c>
      <c r="M215" s="6">
        <f>IFERROR(__xludf.DUMMYFUNCTION("""COMPUTED_VALUE"""),0.0)</f>
        <v>0</v>
      </c>
      <c r="N215" s="6">
        <f>IFERROR(__xludf.DUMMYFUNCTION("""COMPUTED_VALUE"""),0.0)</f>
        <v>0</v>
      </c>
      <c r="O215" s="6">
        <f>IFERROR(__xludf.DUMMYFUNCTION("""COMPUTED_VALUE"""),0.0)</f>
        <v>0</v>
      </c>
      <c r="P215" s="6">
        <f>IFERROR(__xludf.DUMMYFUNCTION("""COMPUTED_VALUE"""),0.0)</f>
        <v>0</v>
      </c>
      <c r="Q215" s="6">
        <f>IFERROR(__xludf.DUMMYFUNCTION("""COMPUTED_VALUE"""),0.0)</f>
        <v>0</v>
      </c>
      <c r="R215" s="6">
        <f>IFERROR(__xludf.DUMMYFUNCTION("""COMPUTED_VALUE"""),0.0)</f>
        <v>0</v>
      </c>
      <c r="S215" s="6">
        <f>IFERROR(__xludf.DUMMYFUNCTION("""COMPUTED_VALUE"""),0.0)</f>
        <v>0</v>
      </c>
      <c r="T215" s="6">
        <f>IFERROR(__xludf.DUMMYFUNCTION("""COMPUTED_VALUE"""),0.0)</f>
        <v>0</v>
      </c>
      <c r="U215" s="6">
        <f>IFERROR(__xludf.DUMMYFUNCTION("""COMPUTED_VALUE"""),0.0)</f>
        <v>0</v>
      </c>
      <c r="V215" s="4">
        <f t="shared" ref="V215:X215" si="214">SUM(D215, G215, J215, M215, P215, S215)</f>
        <v>1</v>
      </c>
      <c r="W215" s="4">
        <f t="shared" si="214"/>
        <v>1</v>
      </c>
      <c r="X215" s="4">
        <f t="shared" si="214"/>
        <v>1</v>
      </c>
    </row>
    <row r="216">
      <c r="A216" s="4" t="str">
        <f>IFERROR(__xludf.DUMMYFUNCTION("""COMPUTED_VALUE"""),"Школа 1505")</f>
        <v>Школа 1505</v>
      </c>
      <c r="B216" s="4" t="str">
        <f t="array" ref="B216">IFERROR(INDEX('Адреса школ'!F:F, MATCH(A216, 'Адреса школ'!E:E, 0)), "")</f>
        <v>55.795605, 37.728595</v>
      </c>
      <c r="C216" s="5" t="str">
        <f t="array" ref="C216">IFERROR(INDEX('Топ-400'!A:A, MATCH(A216, 'Топ-400'!E:E, 0)), "Вне рейтинга")</f>
        <v>77</v>
      </c>
      <c r="D216" s="6">
        <f>IFERROR(__xludf.DUMMYFUNCTION("""COMPUTED_VALUE"""),1.0)</f>
        <v>1</v>
      </c>
      <c r="E216" s="6">
        <f>IFERROR(__xludf.DUMMYFUNCTION("""COMPUTED_VALUE"""),1.0)</f>
        <v>1</v>
      </c>
      <c r="F216" s="6">
        <f>IFERROR(__xludf.DUMMYFUNCTION("""COMPUTED_VALUE"""),1.0)</f>
        <v>1</v>
      </c>
      <c r="G216" s="6">
        <f>IFERROR(__xludf.DUMMYFUNCTION("""COMPUTED_VALUE"""),1.0)</f>
        <v>1</v>
      </c>
      <c r="H216" s="6">
        <f>IFERROR(__xludf.DUMMYFUNCTION("""COMPUTED_VALUE"""),1.0)</f>
        <v>1</v>
      </c>
      <c r="I216" s="6">
        <f>IFERROR(__xludf.DUMMYFUNCTION("""COMPUTED_VALUE"""),1.0)</f>
        <v>1</v>
      </c>
      <c r="J216" s="6">
        <f>IFERROR(__xludf.DUMMYFUNCTION("""COMPUTED_VALUE"""),1.0)</f>
        <v>1</v>
      </c>
      <c r="K216" s="6">
        <f>IFERROR(__xludf.DUMMYFUNCTION("""COMPUTED_VALUE"""),1.0)</f>
        <v>1</v>
      </c>
      <c r="L216" s="6">
        <f>IFERROR(__xludf.DUMMYFUNCTION("""COMPUTED_VALUE"""),1.0)</f>
        <v>1</v>
      </c>
      <c r="M216" s="6">
        <f>IFERROR(__xludf.DUMMYFUNCTION("""COMPUTED_VALUE"""),0.0)</f>
        <v>0</v>
      </c>
      <c r="N216" s="6">
        <f>IFERROR(__xludf.DUMMYFUNCTION("""COMPUTED_VALUE"""),0.0)</f>
        <v>0</v>
      </c>
      <c r="O216" s="6">
        <f>IFERROR(__xludf.DUMMYFUNCTION("""COMPUTED_VALUE"""),0.0)</f>
        <v>0</v>
      </c>
      <c r="P216" s="6">
        <f>IFERROR(__xludf.DUMMYFUNCTION("""COMPUTED_VALUE"""),1.0)</f>
        <v>1</v>
      </c>
      <c r="Q216" s="6">
        <f>IFERROR(__xludf.DUMMYFUNCTION("""COMPUTED_VALUE"""),1.0)</f>
        <v>1</v>
      </c>
      <c r="R216" s="6">
        <f>IFERROR(__xludf.DUMMYFUNCTION("""COMPUTED_VALUE"""),1.0)</f>
        <v>1</v>
      </c>
      <c r="S216" s="6">
        <f>IFERROR(__xludf.DUMMYFUNCTION("""COMPUTED_VALUE"""),0.0)</f>
        <v>0</v>
      </c>
      <c r="T216" s="6">
        <f>IFERROR(__xludf.DUMMYFUNCTION("""COMPUTED_VALUE"""),0.0)</f>
        <v>0</v>
      </c>
      <c r="U216" s="6">
        <f>IFERROR(__xludf.DUMMYFUNCTION("""COMPUTED_VALUE"""),0.0)</f>
        <v>0</v>
      </c>
      <c r="V216" s="4">
        <f t="shared" ref="V216:X216" si="215">SUM(D216, G216, J216, M216, P216, S216)</f>
        <v>4</v>
      </c>
      <c r="W216" s="4">
        <f t="shared" si="215"/>
        <v>4</v>
      </c>
      <c r="X216" s="4">
        <f t="shared" si="215"/>
        <v>4</v>
      </c>
    </row>
    <row r="217">
      <c r="A217" s="4" t="str">
        <f>IFERROR(__xludf.DUMMYFUNCTION("""COMPUTED_VALUE"""),"Школа 1506")</f>
        <v>Школа 1506</v>
      </c>
      <c r="B217" s="4" t="str">
        <f t="array" ref="B217">IFERROR(INDEX('Адреса школ'!F:F, MATCH(A217, 'Адреса школ'!E:E, 0)), "")</f>
        <v>55.889775, 37.650657</v>
      </c>
      <c r="C217" s="5" t="str">
        <f t="array" ref="C217">IFERROR(INDEX('Топ-400'!A:A, MATCH(A217, 'Топ-400'!E:E, 0)), "Вне рейтинга")</f>
        <v>114</v>
      </c>
      <c r="D217" s="6">
        <f>IFERROR(__xludf.DUMMYFUNCTION("""COMPUTED_VALUE"""),1.0)</f>
        <v>1</v>
      </c>
      <c r="E217" s="6">
        <f>IFERROR(__xludf.DUMMYFUNCTION("""COMPUTED_VALUE"""),1.0)</f>
        <v>1</v>
      </c>
      <c r="F217" s="6">
        <f>IFERROR(__xludf.DUMMYFUNCTION("""COMPUTED_VALUE"""),1.0)</f>
        <v>1</v>
      </c>
      <c r="G217" s="6">
        <f>IFERROR(__xludf.DUMMYFUNCTION("""COMPUTED_VALUE"""),1.0)</f>
        <v>1</v>
      </c>
      <c r="H217" s="6">
        <f>IFERROR(__xludf.DUMMYFUNCTION("""COMPUTED_VALUE"""),1.0)</f>
        <v>1</v>
      </c>
      <c r="I217" s="6">
        <f>IFERROR(__xludf.DUMMYFUNCTION("""COMPUTED_VALUE"""),1.0)</f>
        <v>1</v>
      </c>
      <c r="J217" s="6">
        <f>IFERROR(__xludf.DUMMYFUNCTION("""COMPUTED_VALUE"""),0.0)</f>
        <v>0</v>
      </c>
      <c r="K217" s="6">
        <f>IFERROR(__xludf.DUMMYFUNCTION("""COMPUTED_VALUE"""),0.0)</f>
        <v>0</v>
      </c>
      <c r="L217" s="6">
        <f>IFERROR(__xludf.DUMMYFUNCTION("""COMPUTED_VALUE"""),0.0)</f>
        <v>0</v>
      </c>
      <c r="M217" s="6">
        <f>IFERROR(__xludf.DUMMYFUNCTION("""COMPUTED_VALUE"""),1.0)</f>
        <v>1</v>
      </c>
      <c r="N217" s="6">
        <f>IFERROR(__xludf.DUMMYFUNCTION("""COMPUTED_VALUE"""),1.0)</f>
        <v>1</v>
      </c>
      <c r="O217" s="6">
        <f>IFERROR(__xludf.DUMMYFUNCTION("""COMPUTED_VALUE"""),1.0)</f>
        <v>1</v>
      </c>
      <c r="P217" s="6">
        <f>IFERROR(__xludf.DUMMYFUNCTION("""COMPUTED_VALUE"""),0.0)</f>
        <v>0</v>
      </c>
      <c r="Q217" s="6">
        <f>IFERROR(__xludf.DUMMYFUNCTION("""COMPUTED_VALUE"""),0.0)</f>
        <v>0</v>
      </c>
      <c r="R217" s="6">
        <f>IFERROR(__xludf.DUMMYFUNCTION("""COMPUTED_VALUE"""),0.0)</f>
        <v>0</v>
      </c>
      <c r="S217" s="6">
        <f>IFERROR(__xludf.DUMMYFUNCTION("""COMPUTED_VALUE"""),0.0)</f>
        <v>0</v>
      </c>
      <c r="T217" s="6">
        <f>IFERROR(__xludf.DUMMYFUNCTION("""COMPUTED_VALUE"""),0.0)</f>
        <v>0</v>
      </c>
      <c r="U217" s="6">
        <f>IFERROR(__xludf.DUMMYFUNCTION("""COMPUTED_VALUE"""),0.0)</f>
        <v>0</v>
      </c>
      <c r="V217" s="4">
        <f t="shared" ref="V217:X217" si="216">SUM(D217, G217, J217, M217, P217, S217)</f>
        <v>3</v>
      </c>
      <c r="W217" s="4">
        <f t="shared" si="216"/>
        <v>3</v>
      </c>
      <c r="X217" s="4">
        <f t="shared" si="216"/>
        <v>3</v>
      </c>
    </row>
    <row r="218">
      <c r="A218" s="4" t="str">
        <f>IFERROR(__xludf.DUMMYFUNCTION("""COMPUTED_VALUE"""),"Школа 1507")</f>
        <v>Школа 1507</v>
      </c>
      <c r="B218" s="4" t="str">
        <f t="array" ref="B218">IFERROR(INDEX('Адреса школ'!F:F, MATCH(A218, 'Адреса школ'!E:E, 0)), "")</f>
        <v>55.630873, 37.507304</v>
      </c>
      <c r="C218" s="5" t="str">
        <f t="array" ref="C218">IFERROR(INDEX('Топ-400'!A:A, MATCH(A218, 'Топ-400'!E:E, 0)), "Вне рейтинга")</f>
        <v>157</v>
      </c>
      <c r="D218" s="6">
        <f>IFERROR(__xludf.DUMMYFUNCTION("""COMPUTED_VALUE"""),1.0)</f>
        <v>1</v>
      </c>
      <c r="E218" s="6">
        <f>IFERROR(__xludf.DUMMYFUNCTION("""COMPUTED_VALUE"""),0.0)</f>
        <v>0</v>
      </c>
      <c r="F218" s="6">
        <f>IFERROR(__xludf.DUMMYFUNCTION("""COMPUTED_VALUE"""),1.0)</f>
        <v>1</v>
      </c>
      <c r="G218" s="6">
        <f>IFERROR(__xludf.DUMMYFUNCTION("""COMPUTED_VALUE"""),0.0)</f>
        <v>0</v>
      </c>
      <c r="H218" s="6">
        <f>IFERROR(__xludf.DUMMYFUNCTION("""COMPUTED_VALUE"""),0.0)</f>
        <v>0</v>
      </c>
      <c r="I218" s="6">
        <f>IFERROR(__xludf.DUMMYFUNCTION("""COMPUTED_VALUE"""),0.0)</f>
        <v>0</v>
      </c>
      <c r="J218" s="6">
        <f>IFERROR(__xludf.DUMMYFUNCTION("""COMPUTED_VALUE"""),0.0)</f>
        <v>0</v>
      </c>
      <c r="K218" s="6">
        <f>IFERROR(__xludf.DUMMYFUNCTION("""COMPUTED_VALUE"""),0.0)</f>
        <v>0</v>
      </c>
      <c r="L218" s="6">
        <f>IFERROR(__xludf.DUMMYFUNCTION("""COMPUTED_VALUE"""),0.0)</f>
        <v>0</v>
      </c>
      <c r="M218" s="6">
        <f>IFERROR(__xludf.DUMMYFUNCTION("""COMPUTED_VALUE"""),1.0)</f>
        <v>1</v>
      </c>
      <c r="N218" s="6">
        <f>IFERROR(__xludf.DUMMYFUNCTION("""COMPUTED_VALUE"""),0.0)</f>
        <v>0</v>
      </c>
      <c r="O218" s="6">
        <f>IFERROR(__xludf.DUMMYFUNCTION("""COMPUTED_VALUE"""),0.0)</f>
        <v>0</v>
      </c>
      <c r="P218" s="6">
        <f>IFERROR(__xludf.DUMMYFUNCTION("""COMPUTED_VALUE"""),1.0)</f>
        <v>1</v>
      </c>
      <c r="Q218" s="6">
        <f>IFERROR(__xludf.DUMMYFUNCTION("""COMPUTED_VALUE"""),1.0)</f>
        <v>1</v>
      </c>
      <c r="R218" s="6">
        <f>IFERROR(__xludf.DUMMYFUNCTION("""COMPUTED_VALUE"""),0.0)</f>
        <v>0</v>
      </c>
      <c r="S218" s="6">
        <f>IFERROR(__xludf.DUMMYFUNCTION("""COMPUTED_VALUE"""),0.0)</f>
        <v>0</v>
      </c>
      <c r="T218" s="6">
        <f>IFERROR(__xludf.DUMMYFUNCTION("""COMPUTED_VALUE"""),0.0)</f>
        <v>0</v>
      </c>
      <c r="U218" s="6">
        <f>IFERROR(__xludf.DUMMYFUNCTION("""COMPUTED_VALUE"""),0.0)</f>
        <v>0</v>
      </c>
      <c r="V218" s="4">
        <f t="shared" ref="V218:X218" si="217">SUM(D218, G218, J218, M218, P218, S218)</f>
        <v>3</v>
      </c>
      <c r="W218" s="4">
        <f t="shared" si="217"/>
        <v>1</v>
      </c>
      <c r="X218" s="4">
        <f t="shared" si="217"/>
        <v>1</v>
      </c>
    </row>
    <row r="219">
      <c r="A219" s="4" t="str">
        <f>IFERROR(__xludf.DUMMYFUNCTION("""COMPUTED_VALUE"""),"Школа 1508")</f>
        <v>Школа 1508</v>
      </c>
      <c r="B219" s="4" t="str">
        <f t="array" ref="B219">IFERROR(INDEX('Адреса школ'!F:F, MATCH(A219, 'Адреса школ'!E:E, 0)), "")</f>
        <v>55.793743, 37.795753</v>
      </c>
      <c r="C219" s="5" t="str">
        <f t="array" ref="C219">IFERROR(INDEX('Топ-400'!A:A, MATCH(A219, 'Топ-400'!E:E, 0)), "Вне рейтинга")</f>
        <v>173</v>
      </c>
      <c r="D219" s="6">
        <f>IFERROR(__xludf.DUMMYFUNCTION("""COMPUTED_VALUE"""),0.0)</f>
        <v>0</v>
      </c>
      <c r="E219" s="6">
        <f>IFERROR(__xludf.DUMMYFUNCTION("""COMPUTED_VALUE"""),0.0)</f>
        <v>0</v>
      </c>
      <c r="F219" s="6">
        <f>IFERROR(__xludf.DUMMYFUNCTION("""COMPUTED_VALUE"""),0.0)</f>
        <v>0</v>
      </c>
      <c r="G219" s="6">
        <f>IFERROR(__xludf.DUMMYFUNCTION("""COMPUTED_VALUE"""),0.0)</f>
        <v>0</v>
      </c>
      <c r="H219" s="6">
        <f>IFERROR(__xludf.DUMMYFUNCTION("""COMPUTED_VALUE"""),0.0)</f>
        <v>0</v>
      </c>
      <c r="I219" s="6">
        <f>IFERROR(__xludf.DUMMYFUNCTION("""COMPUTED_VALUE"""),0.0)</f>
        <v>0</v>
      </c>
      <c r="J219" s="6">
        <f>IFERROR(__xludf.DUMMYFUNCTION("""COMPUTED_VALUE"""),1.0)</f>
        <v>1</v>
      </c>
      <c r="K219" s="6">
        <f>IFERROR(__xludf.DUMMYFUNCTION("""COMPUTED_VALUE"""),1.0)</f>
        <v>1</v>
      </c>
      <c r="L219" s="6">
        <f>IFERROR(__xludf.DUMMYFUNCTION("""COMPUTED_VALUE"""),1.0)</f>
        <v>1</v>
      </c>
      <c r="M219" s="6">
        <f>IFERROR(__xludf.DUMMYFUNCTION("""COMPUTED_VALUE"""),1.0)</f>
        <v>1</v>
      </c>
      <c r="N219" s="6">
        <f>IFERROR(__xludf.DUMMYFUNCTION("""COMPUTED_VALUE"""),1.0)</f>
        <v>1</v>
      </c>
      <c r="O219" s="6">
        <f>IFERROR(__xludf.DUMMYFUNCTION("""COMPUTED_VALUE"""),1.0)</f>
        <v>1</v>
      </c>
      <c r="P219" s="6">
        <f>IFERROR(__xludf.DUMMYFUNCTION("""COMPUTED_VALUE"""),1.0)</f>
        <v>1</v>
      </c>
      <c r="Q219" s="6">
        <f>IFERROR(__xludf.DUMMYFUNCTION("""COMPUTED_VALUE"""),1.0)</f>
        <v>1</v>
      </c>
      <c r="R219" s="6">
        <f>IFERROR(__xludf.DUMMYFUNCTION("""COMPUTED_VALUE"""),1.0)</f>
        <v>1</v>
      </c>
      <c r="S219" s="6">
        <f>IFERROR(__xludf.DUMMYFUNCTION("""COMPUTED_VALUE"""),0.0)</f>
        <v>0</v>
      </c>
      <c r="T219" s="6">
        <f>IFERROR(__xludf.DUMMYFUNCTION("""COMPUTED_VALUE"""),0.0)</f>
        <v>0</v>
      </c>
      <c r="U219" s="6">
        <f>IFERROR(__xludf.DUMMYFUNCTION("""COMPUTED_VALUE"""),0.0)</f>
        <v>0</v>
      </c>
      <c r="V219" s="4">
        <f t="shared" ref="V219:X219" si="218">SUM(D219, G219, J219, M219, P219, S219)</f>
        <v>3</v>
      </c>
      <c r="W219" s="4">
        <f t="shared" si="218"/>
        <v>3</v>
      </c>
      <c r="X219" s="4">
        <f t="shared" si="218"/>
        <v>3</v>
      </c>
    </row>
    <row r="220">
      <c r="A220" s="4" t="str">
        <f>IFERROR(__xludf.DUMMYFUNCTION("""COMPUTED_VALUE"""),"Школа 1512")</f>
        <v>Школа 1512</v>
      </c>
      <c r="B220" s="4" t="str">
        <f t="array" ref="B220">IFERROR(INDEX('Адреса школ'!F:F, MATCH(A220, 'Адреса школ'!E:E, 0)), "")</f>
        <v>55.718456, 37.829557</v>
      </c>
      <c r="C220" s="5" t="str">
        <f t="array" ref="C220">IFERROR(INDEX('Топ-400'!A:A, MATCH(A220, 'Топ-400'!E:E, 0)), "Вне рейтинга")</f>
        <v>73</v>
      </c>
      <c r="D220" s="6">
        <f>IFERROR(__xludf.DUMMYFUNCTION("""COMPUTED_VALUE"""),1.0)</f>
        <v>1</v>
      </c>
      <c r="E220" s="6">
        <f>IFERROR(__xludf.DUMMYFUNCTION("""COMPUTED_VALUE"""),1.0)</f>
        <v>1</v>
      </c>
      <c r="F220" s="6">
        <f>IFERROR(__xludf.DUMMYFUNCTION("""COMPUTED_VALUE"""),1.0)</f>
        <v>1</v>
      </c>
      <c r="G220" s="6">
        <f>IFERROR(__xludf.DUMMYFUNCTION("""COMPUTED_VALUE"""),0.0)</f>
        <v>0</v>
      </c>
      <c r="H220" s="6">
        <f>IFERROR(__xludf.DUMMYFUNCTION("""COMPUTED_VALUE"""),0.0)</f>
        <v>0</v>
      </c>
      <c r="I220" s="6">
        <f>IFERROR(__xludf.DUMMYFUNCTION("""COMPUTED_VALUE"""),0.0)</f>
        <v>0</v>
      </c>
      <c r="J220" s="6">
        <f>IFERROR(__xludf.DUMMYFUNCTION("""COMPUTED_VALUE"""),0.0)</f>
        <v>0</v>
      </c>
      <c r="K220" s="6">
        <f>IFERROR(__xludf.DUMMYFUNCTION("""COMPUTED_VALUE"""),0.0)</f>
        <v>0</v>
      </c>
      <c r="L220" s="6">
        <f>IFERROR(__xludf.DUMMYFUNCTION("""COMPUTED_VALUE"""),0.0)</f>
        <v>0</v>
      </c>
      <c r="M220" s="6">
        <f>IFERROR(__xludf.DUMMYFUNCTION("""COMPUTED_VALUE"""),0.0)</f>
        <v>0</v>
      </c>
      <c r="N220" s="6">
        <f>IFERROR(__xludf.DUMMYFUNCTION("""COMPUTED_VALUE"""),0.0)</f>
        <v>0</v>
      </c>
      <c r="O220" s="6">
        <f>IFERROR(__xludf.DUMMYFUNCTION("""COMPUTED_VALUE"""),0.0)</f>
        <v>0</v>
      </c>
      <c r="P220" s="6">
        <f>IFERROR(__xludf.DUMMYFUNCTION("""COMPUTED_VALUE"""),1.0)</f>
        <v>1</v>
      </c>
      <c r="Q220" s="6">
        <f>IFERROR(__xludf.DUMMYFUNCTION("""COMPUTED_VALUE"""),0.0)</f>
        <v>0</v>
      </c>
      <c r="R220" s="6">
        <f>IFERROR(__xludf.DUMMYFUNCTION("""COMPUTED_VALUE"""),1.0)</f>
        <v>1</v>
      </c>
      <c r="S220" s="6">
        <f>IFERROR(__xludf.DUMMYFUNCTION("""COMPUTED_VALUE"""),0.0)</f>
        <v>0</v>
      </c>
      <c r="T220" s="6">
        <f>IFERROR(__xludf.DUMMYFUNCTION("""COMPUTED_VALUE"""),0.0)</f>
        <v>0</v>
      </c>
      <c r="U220" s="6">
        <f>IFERROR(__xludf.DUMMYFUNCTION("""COMPUTED_VALUE"""),0.0)</f>
        <v>0</v>
      </c>
      <c r="V220" s="4">
        <f t="shared" ref="V220:X220" si="219">SUM(D220, G220, J220, M220, P220, S220)</f>
        <v>2</v>
      </c>
      <c r="W220" s="4">
        <f t="shared" si="219"/>
        <v>1</v>
      </c>
      <c r="X220" s="4">
        <f t="shared" si="219"/>
        <v>2</v>
      </c>
    </row>
    <row r="221">
      <c r="A221" s="4" t="str">
        <f>IFERROR(__xludf.DUMMYFUNCTION("""COMPUTED_VALUE"""),"Школа 1514")</f>
        <v>Школа 1514</v>
      </c>
      <c r="B221" s="4" t="str">
        <f t="array" ref="B221">IFERROR(INDEX('Адреса школ'!F:F, MATCH(A221, 'Адреса школ'!E:E, 0)), "")</f>
        <v>55.685077, 37.526887</v>
      </c>
      <c r="C221" s="5" t="str">
        <f t="array" ref="C221">IFERROR(INDEX('Топ-400'!A:A, MATCH(A221, 'Топ-400'!E:E, 0)), "Вне рейтинга")</f>
        <v>65</v>
      </c>
      <c r="D221" s="6">
        <f>IFERROR(__xludf.DUMMYFUNCTION("""COMPUTED_VALUE"""),1.0)</f>
        <v>1</v>
      </c>
      <c r="E221" s="6">
        <f>IFERROR(__xludf.DUMMYFUNCTION("""COMPUTED_VALUE"""),0.0)</f>
        <v>0</v>
      </c>
      <c r="F221" s="6">
        <f>IFERROR(__xludf.DUMMYFUNCTION("""COMPUTED_VALUE"""),0.0)</f>
        <v>0</v>
      </c>
      <c r="G221" s="6">
        <f>IFERROR(__xludf.DUMMYFUNCTION("""COMPUTED_VALUE"""),0.0)</f>
        <v>0</v>
      </c>
      <c r="H221" s="6">
        <f>IFERROR(__xludf.DUMMYFUNCTION("""COMPUTED_VALUE"""),0.0)</f>
        <v>0</v>
      </c>
      <c r="I221" s="6">
        <f>IFERROR(__xludf.DUMMYFUNCTION("""COMPUTED_VALUE"""),0.0)</f>
        <v>0</v>
      </c>
      <c r="J221" s="6">
        <f>IFERROR(__xludf.DUMMYFUNCTION("""COMPUTED_VALUE"""),0.0)</f>
        <v>0</v>
      </c>
      <c r="K221" s="6">
        <f>IFERROR(__xludf.DUMMYFUNCTION("""COMPUTED_VALUE"""),0.0)</f>
        <v>0</v>
      </c>
      <c r="L221" s="6">
        <f>IFERROR(__xludf.DUMMYFUNCTION("""COMPUTED_VALUE"""),0.0)</f>
        <v>0</v>
      </c>
      <c r="M221" s="6">
        <f>IFERROR(__xludf.DUMMYFUNCTION("""COMPUTED_VALUE"""),0.0)</f>
        <v>0</v>
      </c>
      <c r="N221" s="6">
        <f>IFERROR(__xludf.DUMMYFUNCTION("""COMPUTED_VALUE"""),0.0)</f>
        <v>0</v>
      </c>
      <c r="O221" s="6">
        <f>IFERROR(__xludf.DUMMYFUNCTION("""COMPUTED_VALUE"""),1.0)</f>
        <v>1</v>
      </c>
      <c r="P221" s="6">
        <f>IFERROR(__xludf.DUMMYFUNCTION("""COMPUTED_VALUE"""),0.0)</f>
        <v>0</v>
      </c>
      <c r="Q221" s="6">
        <f>IFERROR(__xludf.DUMMYFUNCTION("""COMPUTED_VALUE"""),0.0)</f>
        <v>0</v>
      </c>
      <c r="R221" s="6">
        <f>IFERROR(__xludf.DUMMYFUNCTION("""COMPUTED_VALUE"""),0.0)</f>
        <v>0</v>
      </c>
      <c r="S221" s="6">
        <f>IFERROR(__xludf.DUMMYFUNCTION("""COMPUTED_VALUE"""),0.0)</f>
        <v>0</v>
      </c>
      <c r="T221" s="6">
        <f>IFERROR(__xludf.DUMMYFUNCTION("""COMPUTED_VALUE"""),0.0)</f>
        <v>0</v>
      </c>
      <c r="U221" s="6">
        <f>IFERROR(__xludf.DUMMYFUNCTION("""COMPUTED_VALUE"""),0.0)</f>
        <v>0</v>
      </c>
      <c r="V221" s="4">
        <f t="shared" ref="V221:X221" si="220">SUM(D221, G221, J221, M221, P221, S221)</f>
        <v>1</v>
      </c>
      <c r="W221" s="4">
        <f t="shared" si="220"/>
        <v>0</v>
      </c>
      <c r="X221" s="4">
        <f t="shared" si="220"/>
        <v>1</v>
      </c>
    </row>
    <row r="222">
      <c r="A222" s="4" t="str">
        <f>IFERROR(__xludf.DUMMYFUNCTION("""COMPUTED_VALUE"""),"Школа 1515")</f>
        <v>Школа 1515</v>
      </c>
      <c r="B222" s="4" t="str">
        <f t="array" ref="B222">IFERROR(INDEX('Адреса школ'!F:F, MATCH(A222, 'Адреса школ'!E:E, 0)), "")</f>
        <v>55.780436, 37.477256</v>
      </c>
      <c r="C222" s="5" t="str">
        <f t="array" ref="C222">IFERROR(INDEX('Топ-400'!A:A, MATCH(A222, 'Топ-400'!E:E, 0)), "Вне рейтинга")</f>
        <v>Вне рейтинга</v>
      </c>
      <c r="D222" s="6">
        <f>IFERROR(__xludf.DUMMYFUNCTION("""COMPUTED_VALUE"""),0.0)</f>
        <v>0</v>
      </c>
      <c r="E222" s="6">
        <f>IFERROR(__xludf.DUMMYFUNCTION("""COMPUTED_VALUE"""),0.0)</f>
        <v>0</v>
      </c>
      <c r="F222" s="6">
        <f>IFERROR(__xludf.DUMMYFUNCTION("""COMPUTED_VALUE"""),0.0)</f>
        <v>0</v>
      </c>
      <c r="G222" s="6">
        <f>IFERROR(__xludf.DUMMYFUNCTION("""COMPUTED_VALUE"""),0.0)</f>
        <v>0</v>
      </c>
      <c r="H222" s="6">
        <f>IFERROR(__xludf.DUMMYFUNCTION("""COMPUTED_VALUE"""),0.0)</f>
        <v>0</v>
      </c>
      <c r="I222" s="6">
        <f>IFERROR(__xludf.DUMMYFUNCTION("""COMPUTED_VALUE"""),0.0)</f>
        <v>0</v>
      </c>
      <c r="J222" s="6">
        <f>IFERROR(__xludf.DUMMYFUNCTION("""COMPUTED_VALUE"""),0.0)</f>
        <v>0</v>
      </c>
      <c r="K222" s="6">
        <f>IFERROR(__xludf.DUMMYFUNCTION("""COMPUTED_VALUE"""),0.0)</f>
        <v>0</v>
      </c>
      <c r="L222" s="6">
        <f>IFERROR(__xludf.DUMMYFUNCTION("""COMPUTED_VALUE"""),0.0)</f>
        <v>0</v>
      </c>
      <c r="M222" s="6">
        <f>IFERROR(__xludf.DUMMYFUNCTION("""COMPUTED_VALUE"""),1.0)</f>
        <v>1</v>
      </c>
      <c r="N222" s="6">
        <f>IFERROR(__xludf.DUMMYFUNCTION("""COMPUTED_VALUE"""),0.0)</f>
        <v>0</v>
      </c>
      <c r="O222" s="6">
        <f>IFERROR(__xludf.DUMMYFUNCTION("""COMPUTED_VALUE"""),0.0)</f>
        <v>0</v>
      </c>
      <c r="P222" s="6">
        <f>IFERROR(__xludf.DUMMYFUNCTION("""COMPUTED_VALUE"""),1.0)</f>
        <v>1</v>
      </c>
      <c r="Q222" s="6">
        <f>IFERROR(__xludf.DUMMYFUNCTION("""COMPUTED_VALUE"""),0.0)</f>
        <v>0</v>
      </c>
      <c r="R222" s="6">
        <f>IFERROR(__xludf.DUMMYFUNCTION("""COMPUTED_VALUE"""),0.0)</f>
        <v>0</v>
      </c>
      <c r="S222" s="6">
        <f>IFERROR(__xludf.DUMMYFUNCTION("""COMPUTED_VALUE"""),0.0)</f>
        <v>0</v>
      </c>
      <c r="T222" s="6">
        <f>IFERROR(__xludf.DUMMYFUNCTION("""COMPUTED_VALUE"""),0.0)</f>
        <v>0</v>
      </c>
      <c r="U222" s="6">
        <f>IFERROR(__xludf.DUMMYFUNCTION("""COMPUTED_VALUE"""),0.0)</f>
        <v>0</v>
      </c>
      <c r="V222" s="4">
        <f t="shared" ref="V222:X222" si="221">SUM(D222, G222, J222, M222, P222, S222)</f>
        <v>2</v>
      </c>
      <c r="W222" s="4">
        <f t="shared" si="221"/>
        <v>0</v>
      </c>
      <c r="X222" s="4">
        <f t="shared" si="221"/>
        <v>0</v>
      </c>
    </row>
    <row r="223">
      <c r="A223" s="4" t="str">
        <f>IFERROR(__xludf.DUMMYFUNCTION("""COMPUTED_VALUE"""),"Школа 1516")</f>
        <v>Школа 1516</v>
      </c>
      <c r="B223" s="4" t="str">
        <f t="array" ref="B223">IFERROR(INDEX('Адреса школ'!F:F, MATCH(A223, 'Адреса школ'!E:E, 0)), "")</f>
        <v>55.816525, 37.831767</v>
      </c>
      <c r="C223" s="5" t="str">
        <f t="array" ref="C223">IFERROR(INDEX('Топ-400'!A:A, MATCH(A223, 'Топ-400'!E:E, 0)), "Вне рейтинга")</f>
        <v>221</v>
      </c>
      <c r="D223" s="6">
        <f>IFERROR(__xludf.DUMMYFUNCTION("""COMPUTED_VALUE"""),1.0)</f>
        <v>1</v>
      </c>
      <c r="E223" s="6">
        <f>IFERROR(__xludf.DUMMYFUNCTION("""COMPUTED_VALUE"""),1.0)</f>
        <v>1</v>
      </c>
      <c r="F223" s="6">
        <f>IFERROR(__xludf.DUMMYFUNCTION("""COMPUTED_VALUE"""),1.0)</f>
        <v>1</v>
      </c>
      <c r="G223" s="6">
        <f>IFERROR(__xludf.DUMMYFUNCTION("""COMPUTED_VALUE"""),1.0)</f>
        <v>1</v>
      </c>
      <c r="H223" s="6">
        <f>IFERROR(__xludf.DUMMYFUNCTION("""COMPUTED_VALUE"""),1.0)</f>
        <v>1</v>
      </c>
      <c r="I223" s="6">
        <f>IFERROR(__xludf.DUMMYFUNCTION("""COMPUTED_VALUE"""),1.0)</f>
        <v>1</v>
      </c>
      <c r="J223" s="6">
        <f>IFERROR(__xludf.DUMMYFUNCTION("""COMPUTED_VALUE"""),0.0)</f>
        <v>0</v>
      </c>
      <c r="K223" s="6">
        <f>IFERROR(__xludf.DUMMYFUNCTION("""COMPUTED_VALUE"""),0.0)</f>
        <v>0</v>
      </c>
      <c r="L223" s="6">
        <f>IFERROR(__xludf.DUMMYFUNCTION("""COMPUTED_VALUE"""),0.0)</f>
        <v>0</v>
      </c>
      <c r="M223" s="6">
        <f>IFERROR(__xludf.DUMMYFUNCTION("""COMPUTED_VALUE"""),0.0)</f>
        <v>0</v>
      </c>
      <c r="N223" s="6">
        <f>IFERROR(__xludf.DUMMYFUNCTION("""COMPUTED_VALUE"""),0.0)</f>
        <v>0</v>
      </c>
      <c r="O223" s="6">
        <f>IFERROR(__xludf.DUMMYFUNCTION("""COMPUTED_VALUE"""),1.0)</f>
        <v>1</v>
      </c>
      <c r="P223" s="6">
        <f>IFERROR(__xludf.DUMMYFUNCTION("""COMPUTED_VALUE"""),0.0)</f>
        <v>0</v>
      </c>
      <c r="Q223" s="6">
        <f>IFERROR(__xludf.DUMMYFUNCTION("""COMPUTED_VALUE"""),0.0)</f>
        <v>0</v>
      </c>
      <c r="R223" s="6">
        <f>IFERROR(__xludf.DUMMYFUNCTION("""COMPUTED_VALUE"""),1.0)</f>
        <v>1</v>
      </c>
      <c r="S223" s="6">
        <f>IFERROR(__xludf.DUMMYFUNCTION("""COMPUTED_VALUE"""),0.0)</f>
        <v>0</v>
      </c>
      <c r="T223" s="6">
        <f>IFERROR(__xludf.DUMMYFUNCTION("""COMPUTED_VALUE"""),0.0)</f>
        <v>0</v>
      </c>
      <c r="U223" s="6">
        <f>IFERROR(__xludf.DUMMYFUNCTION("""COMPUTED_VALUE"""),0.0)</f>
        <v>0</v>
      </c>
      <c r="V223" s="4">
        <f t="shared" ref="V223:X223" si="222">SUM(D223, G223, J223, M223, P223, S223)</f>
        <v>2</v>
      </c>
      <c r="W223" s="4">
        <f t="shared" si="222"/>
        <v>2</v>
      </c>
      <c r="X223" s="4">
        <f t="shared" si="222"/>
        <v>4</v>
      </c>
    </row>
    <row r="224">
      <c r="A224" s="4" t="str">
        <f>IFERROR(__xludf.DUMMYFUNCTION("""COMPUTED_VALUE"""),"Школа 1517")</f>
        <v>Школа 1517</v>
      </c>
      <c r="B224" s="4" t="str">
        <f t="array" ref="B224">IFERROR(INDEX('Адреса школ'!F:F, MATCH(A224, 'Адреса школ'!E:E, 0)), "")</f>
        <v>55.785078, 37.453163</v>
      </c>
      <c r="C224" s="5" t="str">
        <f t="array" ref="C224">IFERROR(INDEX('Топ-400'!A:A, MATCH(A224, 'Топ-400'!E:E, 0)), "Вне рейтинга")</f>
        <v>52</v>
      </c>
      <c r="D224" s="6">
        <f>IFERROR(__xludf.DUMMYFUNCTION("""COMPUTED_VALUE"""),1.0)</f>
        <v>1</v>
      </c>
      <c r="E224" s="6">
        <f>IFERROR(__xludf.DUMMYFUNCTION("""COMPUTED_VALUE"""),1.0)</f>
        <v>1</v>
      </c>
      <c r="F224" s="6">
        <f>IFERROR(__xludf.DUMMYFUNCTION("""COMPUTED_VALUE"""),1.0)</f>
        <v>1</v>
      </c>
      <c r="G224" s="6">
        <f>IFERROR(__xludf.DUMMYFUNCTION("""COMPUTED_VALUE"""),1.0)</f>
        <v>1</v>
      </c>
      <c r="H224" s="6">
        <f>IFERROR(__xludf.DUMMYFUNCTION("""COMPUTED_VALUE"""),1.0)</f>
        <v>1</v>
      </c>
      <c r="I224" s="6">
        <f>IFERROR(__xludf.DUMMYFUNCTION("""COMPUTED_VALUE"""),1.0)</f>
        <v>1</v>
      </c>
      <c r="J224" s="6">
        <f>IFERROR(__xludf.DUMMYFUNCTION("""COMPUTED_VALUE"""),1.0)</f>
        <v>1</v>
      </c>
      <c r="K224" s="6">
        <f>IFERROR(__xludf.DUMMYFUNCTION("""COMPUTED_VALUE"""),1.0)</f>
        <v>1</v>
      </c>
      <c r="L224" s="6">
        <f>IFERROR(__xludf.DUMMYFUNCTION("""COMPUTED_VALUE"""),1.0)</f>
        <v>1</v>
      </c>
      <c r="M224" s="6">
        <f>IFERROR(__xludf.DUMMYFUNCTION("""COMPUTED_VALUE"""),1.0)</f>
        <v>1</v>
      </c>
      <c r="N224" s="6">
        <f>IFERROR(__xludf.DUMMYFUNCTION("""COMPUTED_VALUE"""),1.0)</f>
        <v>1</v>
      </c>
      <c r="O224" s="6">
        <f>IFERROR(__xludf.DUMMYFUNCTION("""COMPUTED_VALUE"""),1.0)</f>
        <v>1</v>
      </c>
      <c r="P224" s="6">
        <f>IFERROR(__xludf.DUMMYFUNCTION("""COMPUTED_VALUE"""),1.0)</f>
        <v>1</v>
      </c>
      <c r="Q224" s="6">
        <f>IFERROR(__xludf.DUMMYFUNCTION("""COMPUTED_VALUE"""),1.0)</f>
        <v>1</v>
      </c>
      <c r="R224" s="6">
        <f>IFERROR(__xludf.DUMMYFUNCTION("""COMPUTED_VALUE"""),1.0)</f>
        <v>1</v>
      </c>
      <c r="S224" s="6">
        <f>IFERROR(__xludf.DUMMYFUNCTION("""COMPUTED_VALUE"""),0.0)</f>
        <v>0</v>
      </c>
      <c r="T224" s="6">
        <f>IFERROR(__xludf.DUMMYFUNCTION("""COMPUTED_VALUE"""),0.0)</f>
        <v>0</v>
      </c>
      <c r="U224" s="6">
        <f>IFERROR(__xludf.DUMMYFUNCTION("""COMPUTED_VALUE"""),0.0)</f>
        <v>0</v>
      </c>
      <c r="V224" s="4">
        <f t="shared" ref="V224:X224" si="223">SUM(D224, G224, J224, M224, P224, S224)</f>
        <v>5</v>
      </c>
      <c r="W224" s="4">
        <f t="shared" si="223"/>
        <v>5</v>
      </c>
      <c r="X224" s="4">
        <f t="shared" si="223"/>
        <v>5</v>
      </c>
    </row>
    <row r="225">
      <c r="A225" s="4" t="str">
        <f>IFERROR(__xludf.DUMMYFUNCTION("""COMPUTED_VALUE"""),"Школа 1518")</f>
        <v>Школа 1518</v>
      </c>
      <c r="B225" s="4" t="str">
        <f t="array" ref="B225">IFERROR(INDEX('Адреса школ'!F:F, MATCH(A225, 'Адреса школ'!E:E, 0)), "")</f>
        <v>55.803646, 37.635107</v>
      </c>
      <c r="C225" s="5" t="str">
        <f t="array" ref="C225">IFERROR(INDEX('Топ-400'!A:A, MATCH(A225, 'Топ-400'!E:E, 0)), "Вне рейтинга")</f>
        <v>47</v>
      </c>
      <c r="D225" s="6">
        <f>IFERROR(__xludf.DUMMYFUNCTION("""COMPUTED_VALUE"""),0.0)</f>
        <v>0</v>
      </c>
      <c r="E225" s="6">
        <f>IFERROR(__xludf.DUMMYFUNCTION("""COMPUTED_VALUE"""),0.0)</f>
        <v>0</v>
      </c>
      <c r="F225" s="6">
        <f>IFERROR(__xludf.DUMMYFUNCTION("""COMPUTED_VALUE"""),0.0)</f>
        <v>0</v>
      </c>
      <c r="G225" s="6">
        <f>IFERROR(__xludf.DUMMYFUNCTION("""COMPUTED_VALUE"""),0.0)</f>
        <v>0</v>
      </c>
      <c r="H225" s="6">
        <f>IFERROR(__xludf.DUMMYFUNCTION("""COMPUTED_VALUE"""),0.0)</f>
        <v>0</v>
      </c>
      <c r="I225" s="6">
        <f>IFERROR(__xludf.DUMMYFUNCTION("""COMPUTED_VALUE"""),0.0)</f>
        <v>0</v>
      </c>
      <c r="J225" s="6">
        <f>IFERROR(__xludf.DUMMYFUNCTION("""COMPUTED_VALUE"""),1.0)</f>
        <v>1</v>
      </c>
      <c r="K225" s="6">
        <f>IFERROR(__xludf.DUMMYFUNCTION("""COMPUTED_VALUE"""),1.0)</f>
        <v>1</v>
      </c>
      <c r="L225" s="6">
        <f>IFERROR(__xludf.DUMMYFUNCTION("""COMPUTED_VALUE"""),1.0)</f>
        <v>1</v>
      </c>
      <c r="M225" s="6">
        <f>IFERROR(__xludf.DUMMYFUNCTION("""COMPUTED_VALUE"""),1.0)</f>
        <v>1</v>
      </c>
      <c r="N225" s="6">
        <f>IFERROR(__xludf.DUMMYFUNCTION("""COMPUTED_VALUE"""),1.0)</f>
        <v>1</v>
      </c>
      <c r="O225" s="6">
        <f>IFERROR(__xludf.DUMMYFUNCTION("""COMPUTED_VALUE"""),1.0)</f>
        <v>1</v>
      </c>
      <c r="P225" s="6">
        <f>IFERROR(__xludf.DUMMYFUNCTION("""COMPUTED_VALUE"""),1.0)</f>
        <v>1</v>
      </c>
      <c r="Q225" s="6">
        <f>IFERROR(__xludf.DUMMYFUNCTION("""COMPUTED_VALUE"""),1.0)</f>
        <v>1</v>
      </c>
      <c r="R225" s="6">
        <f>IFERROR(__xludf.DUMMYFUNCTION("""COMPUTED_VALUE"""),0.0)</f>
        <v>0</v>
      </c>
      <c r="S225" s="6">
        <f>IFERROR(__xludf.DUMMYFUNCTION("""COMPUTED_VALUE"""),0.0)</f>
        <v>0</v>
      </c>
      <c r="T225" s="6">
        <f>IFERROR(__xludf.DUMMYFUNCTION("""COMPUTED_VALUE"""),0.0)</f>
        <v>0</v>
      </c>
      <c r="U225" s="6">
        <f>IFERROR(__xludf.DUMMYFUNCTION("""COMPUTED_VALUE"""),0.0)</f>
        <v>0</v>
      </c>
      <c r="V225" s="4">
        <f t="shared" ref="V225:X225" si="224">SUM(D225, G225, J225, M225, P225, S225)</f>
        <v>3</v>
      </c>
      <c r="W225" s="4">
        <f t="shared" si="224"/>
        <v>3</v>
      </c>
      <c r="X225" s="4">
        <f t="shared" si="224"/>
        <v>2</v>
      </c>
    </row>
    <row r="226">
      <c r="A226" s="4" t="str">
        <f>IFERROR(__xludf.DUMMYFUNCTION("""COMPUTED_VALUE"""),"Школа 1519")</f>
        <v>Школа 1519</v>
      </c>
      <c r="B226" s="4" t="str">
        <f t="array" ref="B226">IFERROR(INDEX('Адреса школ'!F:F, MATCH(A226, 'Адреса школ'!E:E, 0)), "")</f>
        <v>55.80739, 37.412496</v>
      </c>
      <c r="C226" s="5" t="str">
        <f t="array" ref="C226">IFERROR(INDEX('Топ-400'!A:A, MATCH(A226, 'Топ-400'!E:E, 0)), "Вне рейтинга")</f>
        <v>271</v>
      </c>
      <c r="D226" s="6">
        <f>IFERROR(__xludf.DUMMYFUNCTION("""COMPUTED_VALUE"""),1.0)</f>
        <v>1</v>
      </c>
      <c r="E226" s="6">
        <f>IFERROR(__xludf.DUMMYFUNCTION("""COMPUTED_VALUE"""),1.0)</f>
        <v>1</v>
      </c>
      <c r="F226" s="6">
        <f>IFERROR(__xludf.DUMMYFUNCTION("""COMPUTED_VALUE"""),1.0)</f>
        <v>1</v>
      </c>
      <c r="G226" s="6">
        <f>IFERROR(__xludf.DUMMYFUNCTION("""COMPUTED_VALUE"""),0.0)</f>
        <v>0</v>
      </c>
      <c r="H226" s="6">
        <f>IFERROR(__xludf.DUMMYFUNCTION("""COMPUTED_VALUE"""),0.0)</f>
        <v>0</v>
      </c>
      <c r="I226" s="6">
        <f>IFERROR(__xludf.DUMMYFUNCTION("""COMPUTED_VALUE"""),0.0)</f>
        <v>0</v>
      </c>
      <c r="J226" s="6">
        <f>IFERROR(__xludf.DUMMYFUNCTION("""COMPUTED_VALUE"""),0.0)</f>
        <v>0</v>
      </c>
      <c r="K226" s="6">
        <f>IFERROR(__xludf.DUMMYFUNCTION("""COMPUTED_VALUE"""),0.0)</f>
        <v>0</v>
      </c>
      <c r="L226" s="6">
        <f>IFERROR(__xludf.DUMMYFUNCTION("""COMPUTED_VALUE"""),0.0)</f>
        <v>0</v>
      </c>
      <c r="M226" s="6">
        <f>IFERROR(__xludf.DUMMYFUNCTION("""COMPUTED_VALUE"""),1.0)</f>
        <v>1</v>
      </c>
      <c r="N226" s="6">
        <f>IFERROR(__xludf.DUMMYFUNCTION("""COMPUTED_VALUE"""),1.0)</f>
        <v>1</v>
      </c>
      <c r="O226" s="6">
        <f>IFERROR(__xludf.DUMMYFUNCTION("""COMPUTED_VALUE"""),1.0)</f>
        <v>1</v>
      </c>
      <c r="P226" s="6">
        <f>IFERROR(__xludf.DUMMYFUNCTION("""COMPUTED_VALUE"""),0.0)</f>
        <v>0</v>
      </c>
      <c r="Q226" s="6">
        <f>IFERROR(__xludf.DUMMYFUNCTION("""COMPUTED_VALUE"""),0.0)</f>
        <v>0</v>
      </c>
      <c r="R226" s="6">
        <f>IFERROR(__xludf.DUMMYFUNCTION("""COMPUTED_VALUE"""),0.0)</f>
        <v>0</v>
      </c>
      <c r="S226" s="6">
        <f>IFERROR(__xludf.DUMMYFUNCTION("""COMPUTED_VALUE"""),0.0)</f>
        <v>0</v>
      </c>
      <c r="T226" s="6">
        <f>IFERROR(__xludf.DUMMYFUNCTION("""COMPUTED_VALUE"""),0.0)</f>
        <v>0</v>
      </c>
      <c r="U226" s="6">
        <f>IFERROR(__xludf.DUMMYFUNCTION("""COMPUTED_VALUE"""),0.0)</f>
        <v>0</v>
      </c>
      <c r="V226" s="4">
        <f t="shared" ref="V226:X226" si="225">SUM(D226, G226, J226, M226, P226, S226)</f>
        <v>2</v>
      </c>
      <c r="W226" s="4">
        <f t="shared" si="225"/>
        <v>2</v>
      </c>
      <c r="X226" s="4">
        <f t="shared" si="225"/>
        <v>2</v>
      </c>
    </row>
    <row r="227">
      <c r="A227" s="4" t="str">
        <f>IFERROR(__xludf.DUMMYFUNCTION("""COMPUTED_VALUE"""),"Школа 1520")</f>
        <v>Школа 1520</v>
      </c>
      <c r="B227" s="4" t="str">
        <f t="array" ref="B227">IFERROR(INDEX('Адреса школ'!F:F, MATCH(A227, 'Адреса школ'!E:E, 0)), "")</f>
        <v>55.760631, 37.604906</v>
      </c>
      <c r="C227" s="5" t="str">
        <f t="array" ref="C227">IFERROR(INDEX('Топ-400'!A:A, MATCH(A227, 'Топ-400'!E:E, 0)), "Вне рейтинга")</f>
        <v>128</v>
      </c>
      <c r="D227" s="6">
        <f>IFERROR(__xludf.DUMMYFUNCTION("""COMPUTED_VALUE"""),0.0)</f>
        <v>0</v>
      </c>
      <c r="E227" s="6">
        <f>IFERROR(__xludf.DUMMYFUNCTION("""COMPUTED_VALUE"""),0.0)</f>
        <v>0</v>
      </c>
      <c r="F227" s="6">
        <f>IFERROR(__xludf.DUMMYFUNCTION("""COMPUTED_VALUE"""),0.0)</f>
        <v>0</v>
      </c>
      <c r="G227" s="6">
        <f>IFERROR(__xludf.DUMMYFUNCTION("""COMPUTED_VALUE"""),0.0)</f>
        <v>0</v>
      </c>
      <c r="H227" s="6">
        <f>IFERROR(__xludf.DUMMYFUNCTION("""COMPUTED_VALUE"""),0.0)</f>
        <v>0</v>
      </c>
      <c r="I227" s="6">
        <f>IFERROR(__xludf.DUMMYFUNCTION("""COMPUTED_VALUE"""),0.0)</f>
        <v>0</v>
      </c>
      <c r="J227" s="6">
        <f>IFERROR(__xludf.DUMMYFUNCTION("""COMPUTED_VALUE"""),1.0)</f>
        <v>1</v>
      </c>
      <c r="K227" s="6">
        <f>IFERROR(__xludf.DUMMYFUNCTION("""COMPUTED_VALUE"""),0.0)</f>
        <v>0</v>
      </c>
      <c r="L227" s="6">
        <f>IFERROR(__xludf.DUMMYFUNCTION("""COMPUTED_VALUE"""),0.0)</f>
        <v>0</v>
      </c>
      <c r="M227" s="6">
        <f>IFERROR(__xludf.DUMMYFUNCTION("""COMPUTED_VALUE"""),1.0)</f>
        <v>1</v>
      </c>
      <c r="N227" s="6">
        <f>IFERROR(__xludf.DUMMYFUNCTION("""COMPUTED_VALUE"""),0.0)</f>
        <v>0</v>
      </c>
      <c r="O227" s="6">
        <f>IFERROR(__xludf.DUMMYFUNCTION("""COMPUTED_VALUE"""),1.0)</f>
        <v>1</v>
      </c>
      <c r="P227" s="6">
        <f>IFERROR(__xludf.DUMMYFUNCTION("""COMPUTED_VALUE"""),0.0)</f>
        <v>0</v>
      </c>
      <c r="Q227" s="6">
        <f>IFERROR(__xludf.DUMMYFUNCTION("""COMPUTED_VALUE"""),0.0)</f>
        <v>0</v>
      </c>
      <c r="R227" s="6">
        <f>IFERROR(__xludf.DUMMYFUNCTION("""COMPUTED_VALUE"""),0.0)</f>
        <v>0</v>
      </c>
      <c r="S227" s="6">
        <f>IFERROR(__xludf.DUMMYFUNCTION("""COMPUTED_VALUE"""),0.0)</f>
        <v>0</v>
      </c>
      <c r="T227" s="6">
        <f>IFERROR(__xludf.DUMMYFUNCTION("""COMPUTED_VALUE"""),0.0)</f>
        <v>0</v>
      </c>
      <c r="U227" s="6">
        <f>IFERROR(__xludf.DUMMYFUNCTION("""COMPUTED_VALUE"""),0.0)</f>
        <v>0</v>
      </c>
      <c r="V227" s="4">
        <f t="shared" ref="V227:X227" si="226">SUM(D227, G227, J227, M227, P227, S227)</f>
        <v>2</v>
      </c>
      <c r="W227" s="4">
        <f t="shared" si="226"/>
        <v>0</v>
      </c>
      <c r="X227" s="4">
        <f t="shared" si="226"/>
        <v>1</v>
      </c>
    </row>
    <row r="228">
      <c r="A228" s="4" t="str">
        <f>IFERROR(__xludf.DUMMYFUNCTION("""COMPUTED_VALUE"""),"Школа 1522")</f>
        <v>Школа 1522</v>
      </c>
      <c r="B228" s="4" t="str">
        <f t="array" ref="B228">IFERROR(INDEX('Адреса школ'!F:F, MATCH(A228, 'Адреса школ'!E:E, 0)), "")</f>
        <v>55.772846, 37.482214</v>
      </c>
      <c r="C228" s="5" t="str">
        <f t="array" ref="C228">IFERROR(INDEX('Топ-400'!A:A, MATCH(A228, 'Топ-400'!E:E, 0)), "Вне рейтинга")</f>
        <v>195</v>
      </c>
      <c r="D228" s="6">
        <f>IFERROR(__xludf.DUMMYFUNCTION("""COMPUTED_VALUE"""),0.0)</f>
        <v>0</v>
      </c>
      <c r="E228" s="6">
        <f>IFERROR(__xludf.DUMMYFUNCTION("""COMPUTED_VALUE"""),0.0)</f>
        <v>0</v>
      </c>
      <c r="F228" s="6">
        <f>IFERROR(__xludf.DUMMYFUNCTION("""COMPUTED_VALUE"""),0.0)</f>
        <v>0</v>
      </c>
      <c r="G228" s="6">
        <f>IFERROR(__xludf.DUMMYFUNCTION("""COMPUTED_VALUE"""),0.0)</f>
        <v>0</v>
      </c>
      <c r="H228" s="6">
        <f>IFERROR(__xludf.DUMMYFUNCTION("""COMPUTED_VALUE"""),0.0)</f>
        <v>0</v>
      </c>
      <c r="I228" s="6">
        <f>IFERROR(__xludf.DUMMYFUNCTION("""COMPUTED_VALUE"""),0.0)</f>
        <v>0</v>
      </c>
      <c r="J228" s="6">
        <f>IFERROR(__xludf.DUMMYFUNCTION("""COMPUTED_VALUE"""),0.0)</f>
        <v>0</v>
      </c>
      <c r="K228" s="6">
        <f>IFERROR(__xludf.DUMMYFUNCTION("""COMPUTED_VALUE"""),0.0)</f>
        <v>0</v>
      </c>
      <c r="L228" s="6">
        <f>IFERROR(__xludf.DUMMYFUNCTION("""COMPUTED_VALUE"""),0.0)</f>
        <v>0</v>
      </c>
      <c r="M228" s="6">
        <f>IFERROR(__xludf.DUMMYFUNCTION("""COMPUTED_VALUE"""),1.0)</f>
        <v>1</v>
      </c>
      <c r="N228" s="6">
        <f>IFERROR(__xludf.DUMMYFUNCTION("""COMPUTED_VALUE"""),0.0)</f>
        <v>0</v>
      </c>
      <c r="O228" s="6">
        <f>IFERROR(__xludf.DUMMYFUNCTION("""COMPUTED_VALUE"""),0.0)</f>
        <v>0</v>
      </c>
      <c r="P228" s="6">
        <f>IFERROR(__xludf.DUMMYFUNCTION("""COMPUTED_VALUE"""),0.0)</f>
        <v>0</v>
      </c>
      <c r="Q228" s="6">
        <f>IFERROR(__xludf.DUMMYFUNCTION("""COMPUTED_VALUE"""),0.0)</f>
        <v>0</v>
      </c>
      <c r="R228" s="6">
        <f>IFERROR(__xludf.DUMMYFUNCTION("""COMPUTED_VALUE"""),0.0)</f>
        <v>0</v>
      </c>
      <c r="S228" s="6">
        <f>IFERROR(__xludf.DUMMYFUNCTION("""COMPUTED_VALUE"""),0.0)</f>
        <v>0</v>
      </c>
      <c r="T228" s="6">
        <f>IFERROR(__xludf.DUMMYFUNCTION("""COMPUTED_VALUE"""),0.0)</f>
        <v>0</v>
      </c>
      <c r="U228" s="6">
        <f>IFERROR(__xludf.DUMMYFUNCTION("""COMPUTED_VALUE"""),0.0)</f>
        <v>0</v>
      </c>
      <c r="V228" s="4">
        <f t="shared" ref="V228:X228" si="227">SUM(D228, G228, J228, M228, P228, S228)</f>
        <v>1</v>
      </c>
      <c r="W228" s="4">
        <f t="shared" si="227"/>
        <v>0</v>
      </c>
      <c r="X228" s="4">
        <f t="shared" si="227"/>
        <v>0</v>
      </c>
    </row>
    <row r="229">
      <c r="A229" s="4" t="str">
        <f>IFERROR(__xludf.DUMMYFUNCTION("""COMPUTED_VALUE"""),"Школа 1524")</f>
        <v>Школа 1524</v>
      </c>
      <c r="B229" s="4" t="str">
        <f t="array" ref="B229">IFERROR(INDEX('Адреса школ'!F:F, MATCH(A229, 'Адреса школ'!E:E, 0)), "")</f>
        <v>55.690872, 37.719989</v>
      </c>
      <c r="C229" s="5" t="str">
        <f t="array" ref="C229">IFERROR(INDEX('Топ-400'!A:A, MATCH(A229, 'Топ-400'!E:E, 0)), "Вне рейтинга")</f>
        <v>Вне рейтинга</v>
      </c>
      <c r="D229" s="6">
        <f>IFERROR(__xludf.DUMMYFUNCTION("""COMPUTED_VALUE"""),1.0)</f>
        <v>1</v>
      </c>
      <c r="E229" s="6">
        <f>IFERROR(__xludf.DUMMYFUNCTION("""COMPUTED_VALUE"""),1.0)</f>
        <v>1</v>
      </c>
      <c r="F229" s="6">
        <f>IFERROR(__xludf.DUMMYFUNCTION("""COMPUTED_VALUE"""),1.0)</f>
        <v>1</v>
      </c>
      <c r="G229" s="6">
        <f>IFERROR(__xludf.DUMMYFUNCTION("""COMPUTED_VALUE"""),0.0)</f>
        <v>0</v>
      </c>
      <c r="H229" s="6">
        <f>IFERROR(__xludf.DUMMYFUNCTION("""COMPUTED_VALUE"""),0.0)</f>
        <v>0</v>
      </c>
      <c r="I229" s="6">
        <f>IFERROR(__xludf.DUMMYFUNCTION("""COMPUTED_VALUE"""),0.0)</f>
        <v>0</v>
      </c>
      <c r="J229" s="6">
        <f>IFERROR(__xludf.DUMMYFUNCTION("""COMPUTED_VALUE"""),0.0)</f>
        <v>0</v>
      </c>
      <c r="K229" s="6">
        <f>IFERROR(__xludf.DUMMYFUNCTION("""COMPUTED_VALUE"""),0.0)</f>
        <v>0</v>
      </c>
      <c r="L229" s="6">
        <f>IFERROR(__xludf.DUMMYFUNCTION("""COMPUTED_VALUE"""),0.0)</f>
        <v>0</v>
      </c>
      <c r="M229" s="6">
        <f>IFERROR(__xludf.DUMMYFUNCTION("""COMPUTED_VALUE"""),1.0)</f>
        <v>1</v>
      </c>
      <c r="N229" s="6">
        <f>IFERROR(__xludf.DUMMYFUNCTION("""COMPUTED_VALUE"""),0.0)</f>
        <v>0</v>
      </c>
      <c r="O229" s="6">
        <f>IFERROR(__xludf.DUMMYFUNCTION("""COMPUTED_VALUE"""),1.0)</f>
        <v>1</v>
      </c>
      <c r="P229" s="6">
        <f>IFERROR(__xludf.DUMMYFUNCTION("""COMPUTED_VALUE"""),1.0)</f>
        <v>1</v>
      </c>
      <c r="Q229" s="6">
        <f>IFERROR(__xludf.DUMMYFUNCTION("""COMPUTED_VALUE"""),1.0)</f>
        <v>1</v>
      </c>
      <c r="R229" s="6">
        <f>IFERROR(__xludf.DUMMYFUNCTION("""COMPUTED_VALUE"""),0.0)</f>
        <v>0</v>
      </c>
      <c r="S229" s="6">
        <f>IFERROR(__xludf.DUMMYFUNCTION("""COMPUTED_VALUE"""),0.0)</f>
        <v>0</v>
      </c>
      <c r="T229" s="6">
        <f>IFERROR(__xludf.DUMMYFUNCTION("""COMPUTED_VALUE"""),0.0)</f>
        <v>0</v>
      </c>
      <c r="U229" s="6">
        <f>IFERROR(__xludf.DUMMYFUNCTION("""COMPUTED_VALUE"""),0.0)</f>
        <v>0</v>
      </c>
      <c r="V229" s="4">
        <f t="shared" ref="V229:X229" si="228">SUM(D229, G229, J229, M229, P229, S229)</f>
        <v>3</v>
      </c>
      <c r="W229" s="4">
        <f t="shared" si="228"/>
        <v>2</v>
      </c>
      <c r="X229" s="4">
        <f t="shared" si="228"/>
        <v>2</v>
      </c>
    </row>
    <row r="230">
      <c r="A230" s="4" t="str">
        <f>IFERROR(__xludf.DUMMYFUNCTION("""COMPUTED_VALUE"""),"Школа 1527")</f>
        <v>Школа 1527</v>
      </c>
      <c r="B230" s="4" t="str">
        <f t="array" ref="B230">IFERROR(INDEX('Адреса школ'!F:F, MATCH(A230, 'Адреса школ'!E:E, 0)), "")</f>
        <v>55.682595, 37.668615</v>
      </c>
      <c r="C230" s="5" t="str">
        <f t="array" ref="C230">IFERROR(INDEX('Топ-400'!A:A, MATCH(A230, 'Топ-400'!E:E, 0)), "Вне рейтинга")</f>
        <v>Вне рейтинга</v>
      </c>
      <c r="D230" s="6">
        <f>IFERROR(__xludf.DUMMYFUNCTION("""COMPUTED_VALUE"""),0.0)</f>
        <v>0</v>
      </c>
      <c r="E230" s="6">
        <f>IFERROR(__xludf.DUMMYFUNCTION("""COMPUTED_VALUE"""),0.0)</f>
        <v>0</v>
      </c>
      <c r="F230" s="6">
        <f>IFERROR(__xludf.DUMMYFUNCTION("""COMPUTED_VALUE"""),0.0)</f>
        <v>0</v>
      </c>
      <c r="G230" s="6">
        <f>IFERROR(__xludf.DUMMYFUNCTION("""COMPUTED_VALUE"""),1.0)</f>
        <v>1</v>
      </c>
      <c r="H230" s="6">
        <f>IFERROR(__xludf.DUMMYFUNCTION("""COMPUTED_VALUE"""),0.0)</f>
        <v>0</v>
      </c>
      <c r="I230" s="6">
        <f>IFERROR(__xludf.DUMMYFUNCTION("""COMPUTED_VALUE"""),1.0)</f>
        <v>1</v>
      </c>
      <c r="J230" s="6">
        <f>IFERROR(__xludf.DUMMYFUNCTION("""COMPUTED_VALUE"""),0.0)</f>
        <v>0</v>
      </c>
      <c r="K230" s="6">
        <f>IFERROR(__xludf.DUMMYFUNCTION("""COMPUTED_VALUE"""),0.0)</f>
        <v>0</v>
      </c>
      <c r="L230" s="6">
        <f>IFERROR(__xludf.DUMMYFUNCTION("""COMPUTED_VALUE"""),0.0)</f>
        <v>0</v>
      </c>
      <c r="M230" s="6">
        <f>IFERROR(__xludf.DUMMYFUNCTION("""COMPUTED_VALUE"""),1.0)</f>
        <v>1</v>
      </c>
      <c r="N230" s="6">
        <f>IFERROR(__xludf.DUMMYFUNCTION("""COMPUTED_VALUE"""),1.0)</f>
        <v>1</v>
      </c>
      <c r="O230" s="6">
        <f>IFERROR(__xludf.DUMMYFUNCTION("""COMPUTED_VALUE"""),1.0)</f>
        <v>1</v>
      </c>
      <c r="P230" s="6">
        <f>IFERROR(__xludf.DUMMYFUNCTION("""COMPUTED_VALUE"""),1.0)</f>
        <v>1</v>
      </c>
      <c r="Q230" s="6">
        <f>IFERROR(__xludf.DUMMYFUNCTION("""COMPUTED_VALUE"""),1.0)</f>
        <v>1</v>
      </c>
      <c r="R230" s="6">
        <f>IFERROR(__xludf.DUMMYFUNCTION("""COMPUTED_VALUE"""),1.0)</f>
        <v>1</v>
      </c>
      <c r="S230" s="6">
        <f>IFERROR(__xludf.DUMMYFUNCTION("""COMPUTED_VALUE"""),0.0)</f>
        <v>0</v>
      </c>
      <c r="T230" s="6">
        <f>IFERROR(__xludf.DUMMYFUNCTION("""COMPUTED_VALUE"""),0.0)</f>
        <v>0</v>
      </c>
      <c r="U230" s="6">
        <f>IFERROR(__xludf.DUMMYFUNCTION("""COMPUTED_VALUE"""),0.0)</f>
        <v>0</v>
      </c>
      <c r="V230" s="4">
        <f t="shared" ref="V230:X230" si="229">SUM(D230, G230, J230, M230, P230, S230)</f>
        <v>3</v>
      </c>
      <c r="W230" s="4">
        <f t="shared" si="229"/>
        <v>2</v>
      </c>
      <c r="X230" s="4">
        <f t="shared" si="229"/>
        <v>3</v>
      </c>
    </row>
    <row r="231">
      <c r="A231" s="4" t="str">
        <f>IFERROR(__xludf.DUMMYFUNCTION("""COMPUTED_VALUE"""),"Школа 1528")</f>
        <v>Школа 1528</v>
      </c>
      <c r="B231" s="4" t="str">
        <f t="array" ref="B231">IFERROR(INDEX('Адреса школ'!F:F, MATCH(A231, 'Адреса школ'!E:E, 0)), "")</f>
        <v>55.976307, 37.190765</v>
      </c>
      <c r="C231" s="5" t="str">
        <f t="array" ref="C231">IFERROR(INDEX('Топ-400'!A:A, MATCH(A231, 'Топ-400'!E:E, 0)), "Вне рейтинга")</f>
        <v>Вне рейтинга</v>
      </c>
      <c r="D231" s="6">
        <f>IFERROR(__xludf.DUMMYFUNCTION("""COMPUTED_VALUE"""),1.0)</f>
        <v>1</v>
      </c>
      <c r="E231" s="6">
        <f>IFERROR(__xludf.DUMMYFUNCTION("""COMPUTED_VALUE"""),1.0)</f>
        <v>1</v>
      </c>
      <c r="F231" s="6">
        <f>IFERROR(__xludf.DUMMYFUNCTION("""COMPUTED_VALUE"""),1.0)</f>
        <v>1</v>
      </c>
      <c r="G231" s="6">
        <f>IFERROR(__xludf.DUMMYFUNCTION("""COMPUTED_VALUE"""),0.0)</f>
        <v>0</v>
      </c>
      <c r="H231" s="6">
        <f>IFERROR(__xludf.DUMMYFUNCTION("""COMPUTED_VALUE"""),0.0)</f>
        <v>0</v>
      </c>
      <c r="I231" s="6">
        <f>IFERROR(__xludf.DUMMYFUNCTION("""COMPUTED_VALUE"""),0.0)</f>
        <v>0</v>
      </c>
      <c r="J231" s="6">
        <f>IFERROR(__xludf.DUMMYFUNCTION("""COMPUTED_VALUE"""),0.0)</f>
        <v>0</v>
      </c>
      <c r="K231" s="6">
        <f>IFERROR(__xludf.DUMMYFUNCTION("""COMPUTED_VALUE"""),0.0)</f>
        <v>0</v>
      </c>
      <c r="L231" s="6">
        <f>IFERROR(__xludf.DUMMYFUNCTION("""COMPUTED_VALUE"""),0.0)</f>
        <v>0</v>
      </c>
      <c r="M231" s="6">
        <f>IFERROR(__xludf.DUMMYFUNCTION("""COMPUTED_VALUE"""),0.0)</f>
        <v>0</v>
      </c>
      <c r="N231" s="6">
        <f>IFERROR(__xludf.DUMMYFUNCTION("""COMPUTED_VALUE"""),0.0)</f>
        <v>0</v>
      </c>
      <c r="O231" s="6">
        <f>IFERROR(__xludf.DUMMYFUNCTION("""COMPUTED_VALUE"""),0.0)</f>
        <v>0</v>
      </c>
      <c r="P231" s="6">
        <f>IFERROR(__xludf.DUMMYFUNCTION("""COMPUTED_VALUE"""),1.0)</f>
        <v>1</v>
      </c>
      <c r="Q231" s="6">
        <f>IFERROR(__xludf.DUMMYFUNCTION("""COMPUTED_VALUE"""),0.0)</f>
        <v>0</v>
      </c>
      <c r="R231" s="6">
        <f>IFERROR(__xludf.DUMMYFUNCTION("""COMPUTED_VALUE"""),0.0)</f>
        <v>0</v>
      </c>
      <c r="S231" s="6">
        <f>IFERROR(__xludf.DUMMYFUNCTION("""COMPUTED_VALUE"""),0.0)</f>
        <v>0</v>
      </c>
      <c r="T231" s="6">
        <f>IFERROR(__xludf.DUMMYFUNCTION("""COMPUTED_VALUE"""),0.0)</f>
        <v>0</v>
      </c>
      <c r="U231" s="6">
        <f>IFERROR(__xludf.DUMMYFUNCTION("""COMPUTED_VALUE"""),0.0)</f>
        <v>0</v>
      </c>
      <c r="V231" s="4">
        <f t="shared" ref="V231:X231" si="230">SUM(D231, G231, J231, M231, P231, S231)</f>
        <v>2</v>
      </c>
      <c r="W231" s="4">
        <f t="shared" si="230"/>
        <v>1</v>
      </c>
      <c r="X231" s="4">
        <f t="shared" si="230"/>
        <v>1</v>
      </c>
    </row>
    <row r="232">
      <c r="A232" s="4" t="str">
        <f>IFERROR(__xludf.DUMMYFUNCTION("""COMPUTED_VALUE"""),"Школа 1529")</f>
        <v>Школа 1529</v>
      </c>
      <c r="B232" s="4" t="str">
        <f t="array" ref="B232">IFERROR(INDEX('Адреса школ'!F:F, MATCH(A232, 'Адреса школ'!E:E, 0)), "")</f>
        <v>55.74147, 37.603136</v>
      </c>
      <c r="C232" s="5" t="str">
        <f t="array" ref="C232">IFERROR(INDEX('Топ-400'!A:A, MATCH(A232, 'Топ-400'!E:E, 0)), "Вне рейтинга")</f>
        <v>56</v>
      </c>
      <c r="D232" s="6">
        <f>IFERROR(__xludf.DUMMYFUNCTION("""COMPUTED_VALUE"""),0.0)</f>
        <v>0</v>
      </c>
      <c r="E232" s="6">
        <f>IFERROR(__xludf.DUMMYFUNCTION("""COMPUTED_VALUE"""),0.0)</f>
        <v>0</v>
      </c>
      <c r="F232" s="6">
        <f>IFERROR(__xludf.DUMMYFUNCTION("""COMPUTED_VALUE"""),0.0)</f>
        <v>0</v>
      </c>
      <c r="G232" s="6">
        <f>IFERROR(__xludf.DUMMYFUNCTION("""COMPUTED_VALUE"""),1.0)</f>
        <v>1</v>
      </c>
      <c r="H232" s="6">
        <f>IFERROR(__xludf.DUMMYFUNCTION("""COMPUTED_VALUE"""),0.0)</f>
        <v>0</v>
      </c>
      <c r="I232" s="6">
        <f>IFERROR(__xludf.DUMMYFUNCTION("""COMPUTED_VALUE"""),0.0)</f>
        <v>0</v>
      </c>
      <c r="J232" s="6">
        <f>IFERROR(__xludf.DUMMYFUNCTION("""COMPUTED_VALUE"""),0.0)</f>
        <v>0</v>
      </c>
      <c r="K232" s="6">
        <f>IFERROR(__xludf.DUMMYFUNCTION("""COMPUTED_VALUE"""),0.0)</f>
        <v>0</v>
      </c>
      <c r="L232" s="6">
        <f>IFERROR(__xludf.DUMMYFUNCTION("""COMPUTED_VALUE"""),0.0)</f>
        <v>0</v>
      </c>
      <c r="M232" s="6">
        <f>IFERROR(__xludf.DUMMYFUNCTION("""COMPUTED_VALUE"""),0.0)</f>
        <v>0</v>
      </c>
      <c r="N232" s="6">
        <f>IFERROR(__xludf.DUMMYFUNCTION("""COMPUTED_VALUE"""),0.0)</f>
        <v>0</v>
      </c>
      <c r="O232" s="6">
        <f>IFERROR(__xludf.DUMMYFUNCTION("""COMPUTED_VALUE"""),0.0)</f>
        <v>0</v>
      </c>
      <c r="P232" s="6">
        <f>IFERROR(__xludf.DUMMYFUNCTION("""COMPUTED_VALUE"""),0.0)</f>
        <v>0</v>
      </c>
      <c r="Q232" s="6">
        <f>IFERROR(__xludf.DUMMYFUNCTION("""COMPUTED_VALUE"""),0.0)</f>
        <v>0</v>
      </c>
      <c r="R232" s="6">
        <f>IFERROR(__xludf.DUMMYFUNCTION("""COMPUTED_VALUE"""),0.0)</f>
        <v>0</v>
      </c>
      <c r="S232" s="6">
        <f>IFERROR(__xludf.DUMMYFUNCTION("""COMPUTED_VALUE"""),0.0)</f>
        <v>0</v>
      </c>
      <c r="T232" s="6">
        <f>IFERROR(__xludf.DUMMYFUNCTION("""COMPUTED_VALUE"""),0.0)</f>
        <v>0</v>
      </c>
      <c r="U232" s="6">
        <f>IFERROR(__xludf.DUMMYFUNCTION("""COMPUTED_VALUE"""),0.0)</f>
        <v>0</v>
      </c>
      <c r="V232" s="4">
        <f t="shared" ref="V232:X232" si="231">SUM(D232, G232, J232, M232, P232, S232)</f>
        <v>1</v>
      </c>
      <c r="W232" s="4">
        <f t="shared" si="231"/>
        <v>0</v>
      </c>
      <c r="X232" s="4">
        <f t="shared" si="231"/>
        <v>0</v>
      </c>
    </row>
    <row r="233">
      <c r="A233" s="4" t="str">
        <f>IFERROR(__xludf.DUMMYFUNCTION("""COMPUTED_VALUE"""),"Школа 1530")</f>
        <v>Школа 1530</v>
      </c>
      <c r="B233" s="4" t="str">
        <f t="array" ref="B233">IFERROR(INDEX('Адреса школ'!F:F, MATCH(A233, 'Адреса школ'!E:E, 0)), "")</f>
        <v>55.793358, 37.684685</v>
      </c>
      <c r="C233" s="5" t="str">
        <f t="array" ref="C233">IFERROR(INDEX('Топ-400'!A:A, MATCH(A233, 'Топ-400'!E:E, 0)), "Вне рейтинга")</f>
        <v>228</v>
      </c>
      <c r="D233" s="6">
        <f>IFERROR(__xludf.DUMMYFUNCTION("""COMPUTED_VALUE"""),1.0)</f>
        <v>1</v>
      </c>
      <c r="E233" s="6">
        <f>IFERROR(__xludf.DUMMYFUNCTION("""COMPUTED_VALUE"""),0.0)</f>
        <v>0</v>
      </c>
      <c r="F233" s="6">
        <f>IFERROR(__xludf.DUMMYFUNCTION("""COMPUTED_VALUE"""),0.0)</f>
        <v>0</v>
      </c>
      <c r="G233" s="6">
        <f>IFERROR(__xludf.DUMMYFUNCTION("""COMPUTED_VALUE"""),1.0)</f>
        <v>1</v>
      </c>
      <c r="H233" s="6">
        <f>IFERROR(__xludf.DUMMYFUNCTION("""COMPUTED_VALUE"""),0.0)</f>
        <v>0</v>
      </c>
      <c r="I233" s="6">
        <f>IFERROR(__xludf.DUMMYFUNCTION("""COMPUTED_VALUE"""),1.0)</f>
        <v>1</v>
      </c>
      <c r="J233" s="6">
        <f>IFERROR(__xludf.DUMMYFUNCTION("""COMPUTED_VALUE"""),1.0)</f>
        <v>1</v>
      </c>
      <c r="K233" s="6">
        <f>IFERROR(__xludf.DUMMYFUNCTION("""COMPUTED_VALUE"""),0.0)</f>
        <v>0</v>
      </c>
      <c r="L233" s="6">
        <f>IFERROR(__xludf.DUMMYFUNCTION("""COMPUTED_VALUE"""),1.0)</f>
        <v>1</v>
      </c>
      <c r="M233" s="6">
        <f>IFERROR(__xludf.DUMMYFUNCTION("""COMPUTED_VALUE"""),1.0)</f>
        <v>1</v>
      </c>
      <c r="N233" s="6">
        <f>IFERROR(__xludf.DUMMYFUNCTION("""COMPUTED_VALUE"""),1.0)</f>
        <v>1</v>
      </c>
      <c r="O233" s="6">
        <f>IFERROR(__xludf.DUMMYFUNCTION("""COMPUTED_VALUE"""),1.0)</f>
        <v>1</v>
      </c>
      <c r="P233" s="6">
        <f>IFERROR(__xludf.DUMMYFUNCTION("""COMPUTED_VALUE"""),0.0)</f>
        <v>0</v>
      </c>
      <c r="Q233" s="6">
        <f>IFERROR(__xludf.DUMMYFUNCTION("""COMPUTED_VALUE"""),0.0)</f>
        <v>0</v>
      </c>
      <c r="R233" s="6">
        <f>IFERROR(__xludf.DUMMYFUNCTION("""COMPUTED_VALUE"""),0.0)</f>
        <v>0</v>
      </c>
      <c r="S233" s="6">
        <f>IFERROR(__xludf.DUMMYFUNCTION("""COMPUTED_VALUE"""),0.0)</f>
        <v>0</v>
      </c>
      <c r="T233" s="6">
        <f>IFERROR(__xludf.DUMMYFUNCTION("""COMPUTED_VALUE"""),0.0)</f>
        <v>0</v>
      </c>
      <c r="U233" s="6">
        <f>IFERROR(__xludf.DUMMYFUNCTION("""COMPUTED_VALUE"""),0.0)</f>
        <v>0</v>
      </c>
      <c r="V233" s="4">
        <f t="shared" ref="V233:X233" si="232">SUM(D233, G233, J233, M233, P233, S233)</f>
        <v>4</v>
      </c>
      <c r="W233" s="4">
        <f t="shared" si="232"/>
        <v>1</v>
      </c>
      <c r="X233" s="4">
        <f t="shared" si="232"/>
        <v>3</v>
      </c>
    </row>
    <row r="234">
      <c r="A234" s="4" t="str">
        <f>IFERROR(__xludf.DUMMYFUNCTION("""COMPUTED_VALUE"""),"Школа 1531")</f>
        <v>Школа 1531</v>
      </c>
      <c r="B234" s="4" t="str">
        <f t="array" ref="B234">IFERROR(INDEX('Адреса школ'!F:F, MATCH(A234, 'Адреса школ'!E:E, 0)), "")</f>
        <v>55.803702, 37.633068</v>
      </c>
      <c r="C234" s="5" t="str">
        <f t="array" ref="C234">IFERROR(INDEX('Топ-400'!A:A, MATCH(A234, 'Топ-400'!E:E, 0)), "Вне рейтинга")</f>
        <v>349</v>
      </c>
      <c r="D234" s="6">
        <f>IFERROR(__xludf.DUMMYFUNCTION("""COMPUTED_VALUE"""),0.0)</f>
        <v>0</v>
      </c>
      <c r="E234" s="6">
        <f>IFERROR(__xludf.DUMMYFUNCTION("""COMPUTED_VALUE"""),0.0)</f>
        <v>0</v>
      </c>
      <c r="F234" s="6">
        <f>IFERROR(__xludf.DUMMYFUNCTION("""COMPUTED_VALUE"""),0.0)</f>
        <v>0</v>
      </c>
      <c r="G234" s="6">
        <f>IFERROR(__xludf.DUMMYFUNCTION("""COMPUTED_VALUE"""),0.0)</f>
        <v>0</v>
      </c>
      <c r="H234" s="6">
        <f>IFERROR(__xludf.DUMMYFUNCTION("""COMPUTED_VALUE"""),0.0)</f>
        <v>0</v>
      </c>
      <c r="I234" s="6">
        <f>IFERROR(__xludf.DUMMYFUNCTION("""COMPUTED_VALUE"""),0.0)</f>
        <v>0</v>
      </c>
      <c r="J234" s="6">
        <f>IFERROR(__xludf.DUMMYFUNCTION("""COMPUTED_VALUE"""),0.0)</f>
        <v>0</v>
      </c>
      <c r="K234" s="6">
        <f>IFERROR(__xludf.DUMMYFUNCTION("""COMPUTED_VALUE"""),0.0)</f>
        <v>0</v>
      </c>
      <c r="L234" s="6">
        <f>IFERROR(__xludf.DUMMYFUNCTION("""COMPUTED_VALUE"""),0.0)</f>
        <v>0</v>
      </c>
      <c r="M234" s="6">
        <f>IFERROR(__xludf.DUMMYFUNCTION("""COMPUTED_VALUE"""),0.0)</f>
        <v>0</v>
      </c>
      <c r="N234" s="6">
        <f>IFERROR(__xludf.DUMMYFUNCTION("""COMPUTED_VALUE"""),1.0)</f>
        <v>1</v>
      </c>
      <c r="O234" s="6">
        <f>IFERROR(__xludf.DUMMYFUNCTION("""COMPUTED_VALUE"""),1.0)</f>
        <v>1</v>
      </c>
      <c r="P234" s="6">
        <f>IFERROR(__xludf.DUMMYFUNCTION("""COMPUTED_VALUE"""),0.0)</f>
        <v>0</v>
      </c>
      <c r="Q234" s="6">
        <f>IFERROR(__xludf.DUMMYFUNCTION("""COMPUTED_VALUE"""),0.0)</f>
        <v>0</v>
      </c>
      <c r="R234" s="6">
        <f>IFERROR(__xludf.DUMMYFUNCTION("""COMPUTED_VALUE"""),0.0)</f>
        <v>0</v>
      </c>
      <c r="S234" s="6">
        <f>IFERROR(__xludf.DUMMYFUNCTION("""COMPUTED_VALUE"""),0.0)</f>
        <v>0</v>
      </c>
      <c r="T234" s="6">
        <f>IFERROR(__xludf.DUMMYFUNCTION("""COMPUTED_VALUE"""),0.0)</f>
        <v>0</v>
      </c>
      <c r="U234" s="6">
        <f>IFERROR(__xludf.DUMMYFUNCTION("""COMPUTED_VALUE"""),0.0)</f>
        <v>0</v>
      </c>
      <c r="V234" s="4">
        <f t="shared" ref="V234:X234" si="233">SUM(D234, G234, J234, M234, P234, S234)</f>
        <v>0</v>
      </c>
      <c r="W234" s="4">
        <f t="shared" si="233"/>
        <v>1</v>
      </c>
      <c r="X234" s="4">
        <f t="shared" si="233"/>
        <v>1</v>
      </c>
    </row>
    <row r="235">
      <c r="A235" s="4" t="str">
        <f>IFERROR(__xludf.DUMMYFUNCTION("""COMPUTED_VALUE"""),"Школа 1532")</f>
        <v>Школа 1532</v>
      </c>
      <c r="B235" s="4" t="str">
        <f t="array" ref="B235">IFERROR(INDEX('Адреса школ'!F:F, MATCH(A235, 'Адреса школ'!E:E, 0)), "")</f>
        <v>55.622629, 37.491485</v>
      </c>
      <c r="C235" s="5" t="str">
        <f t="array" ref="C235">IFERROR(INDEX('Топ-400'!A:A, MATCH(A235, 'Топ-400'!E:E, 0)), "Вне рейтинга")</f>
        <v>67</v>
      </c>
      <c r="D235" s="6">
        <f>IFERROR(__xludf.DUMMYFUNCTION("""COMPUTED_VALUE"""),1.0)</f>
        <v>1</v>
      </c>
      <c r="E235" s="6">
        <f>IFERROR(__xludf.DUMMYFUNCTION("""COMPUTED_VALUE"""),0.0)</f>
        <v>0</v>
      </c>
      <c r="F235" s="6">
        <f>IFERROR(__xludf.DUMMYFUNCTION("""COMPUTED_VALUE"""),1.0)</f>
        <v>1</v>
      </c>
      <c r="G235" s="6">
        <f>IFERROR(__xludf.DUMMYFUNCTION("""COMPUTED_VALUE"""),0.0)</f>
        <v>0</v>
      </c>
      <c r="H235" s="6">
        <f>IFERROR(__xludf.DUMMYFUNCTION("""COMPUTED_VALUE"""),0.0)</f>
        <v>0</v>
      </c>
      <c r="I235" s="6">
        <f>IFERROR(__xludf.DUMMYFUNCTION("""COMPUTED_VALUE"""),0.0)</f>
        <v>0</v>
      </c>
      <c r="J235" s="6">
        <f>IFERROR(__xludf.DUMMYFUNCTION("""COMPUTED_VALUE"""),1.0)</f>
        <v>1</v>
      </c>
      <c r="K235" s="6">
        <f>IFERROR(__xludf.DUMMYFUNCTION("""COMPUTED_VALUE"""),1.0)</f>
        <v>1</v>
      </c>
      <c r="L235" s="6">
        <f>IFERROR(__xludf.DUMMYFUNCTION("""COMPUTED_VALUE"""),1.0)</f>
        <v>1</v>
      </c>
      <c r="M235" s="6">
        <f>IFERROR(__xludf.DUMMYFUNCTION("""COMPUTED_VALUE"""),1.0)</f>
        <v>1</v>
      </c>
      <c r="N235" s="6">
        <f>IFERROR(__xludf.DUMMYFUNCTION("""COMPUTED_VALUE"""),0.0)</f>
        <v>0</v>
      </c>
      <c r="O235" s="6">
        <f>IFERROR(__xludf.DUMMYFUNCTION("""COMPUTED_VALUE"""),1.0)</f>
        <v>1</v>
      </c>
      <c r="P235" s="6">
        <f>IFERROR(__xludf.DUMMYFUNCTION("""COMPUTED_VALUE"""),0.0)</f>
        <v>0</v>
      </c>
      <c r="Q235" s="6">
        <f>IFERROR(__xludf.DUMMYFUNCTION("""COMPUTED_VALUE"""),0.0)</f>
        <v>0</v>
      </c>
      <c r="R235" s="6">
        <f>IFERROR(__xludf.DUMMYFUNCTION("""COMPUTED_VALUE"""),0.0)</f>
        <v>0</v>
      </c>
      <c r="S235" s="6">
        <f>IFERROR(__xludf.DUMMYFUNCTION("""COMPUTED_VALUE"""),0.0)</f>
        <v>0</v>
      </c>
      <c r="T235" s="6">
        <f>IFERROR(__xludf.DUMMYFUNCTION("""COMPUTED_VALUE"""),0.0)</f>
        <v>0</v>
      </c>
      <c r="U235" s="6">
        <f>IFERROR(__xludf.DUMMYFUNCTION("""COMPUTED_VALUE"""),0.0)</f>
        <v>0</v>
      </c>
      <c r="V235" s="4">
        <f t="shared" ref="V235:X235" si="234">SUM(D235, G235, J235, M235, P235, S235)</f>
        <v>3</v>
      </c>
      <c r="W235" s="4">
        <f t="shared" si="234"/>
        <v>1</v>
      </c>
      <c r="X235" s="4">
        <f t="shared" si="234"/>
        <v>3</v>
      </c>
    </row>
    <row r="236">
      <c r="A236" s="4" t="str">
        <f>IFERROR(__xludf.DUMMYFUNCTION("""COMPUTED_VALUE"""),"Школа 1533")</f>
        <v>Школа 1533</v>
      </c>
      <c r="B236" s="4" t="str">
        <f t="array" ref="B236">IFERROR(INDEX('Адреса школ'!F:F, MATCH(A236, 'Адреса школ'!E:E, 0)), "")</f>
        <v>55.692338, 37.54374</v>
      </c>
      <c r="C236" s="5" t="str">
        <f t="array" ref="C236">IFERROR(INDEX('Топ-400'!A:A, MATCH(A236, 'Топ-400'!E:E, 0)), "Вне рейтинга")</f>
        <v>63</v>
      </c>
      <c r="D236" s="6">
        <f>IFERROR(__xludf.DUMMYFUNCTION("""COMPUTED_VALUE"""),1.0)</f>
        <v>1</v>
      </c>
      <c r="E236" s="6">
        <f>IFERROR(__xludf.DUMMYFUNCTION("""COMPUTED_VALUE"""),0.0)</f>
        <v>0</v>
      </c>
      <c r="F236" s="6">
        <f>IFERROR(__xludf.DUMMYFUNCTION("""COMPUTED_VALUE"""),0.0)</f>
        <v>0</v>
      </c>
      <c r="G236" s="6">
        <f>IFERROR(__xludf.DUMMYFUNCTION("""COMPUTED_VALUE"""),0.0)</f>
        <v>0</v>
      </c>
      <c r="H236" s="6">
        <f>IFERROR(__xludf.DUMMYFUNCTION("""COMPUTED_VALUE"""),0.0)</f>
        <v>0</v>
      </c>
      <c r="I236" s="6">
        <f>IFERROR(__xludf.DUMMYFUNCTION("""COMPUTED_VALUE"""),0.0)</f>
        <v>0</v>
      </c>
      <c r="J236" s="6">
        <f>IFERROR(__xludf.DUMMYFUNCTION("""COMPUTED_VALUE"""),1.0)</f>
        <v>1</v>
      </c>
      <c r="K236" s="6">
        <f>IFERROR(__xludf.DUMMYFUNCTION("""COMPUTED_VALUE"""),1.0)</f>
        <v>1</v>
      </c>
      <c r="L236" s="6">
        <f>IFERROR(__xludf.DUMMYFUNCTION("""COMPUTED_VALUE"""),1.0)</f>
        <v>1</v>
      </c>
      <c r="M236" s="6">
        <f>IFERROR(__xludf.DUMMYFUNCTION("""COMPUTED_VALUE"""),0.0)</f>
        <v>0</v>
      </c>
      <c r="N236" s="6">
        <f>IFERROR(__xludf.DUMMYFUNCTION("""COMPUTED_VALUE"""),0.0)</f>
        <v>0</v>
      </c>
      <c r="O236" s="6">
        <f>IFERROR(__xludf.DUMMYFUNCTION("""COMPUTED_VALUE"""),0.0)</f>
        <v>0</v>
      </c>
      <c r="P236" s="6">
        <f>IFERROR(__xludf.DUMMYFUNCTION("""COMPUTED_VALUE"""),1.0)</f>
        <v>1</v>
      </c>
      <c r="Q236" s="6">
        <f>IFERROR(__xludf.DUMMYFUNCTION("""COMPUTED_VALUE"""),0.0)</f>
        <v>0</v>
      </c>
      <c r="R236" s="6">
        <f>IFERROR(__xludf.DUMMYFUNCTION("""COMPUTED_VALUE"""),0.0)</f>
        <v>0</v>
      </c>
      <c r="S236" s="6">
        <f>IFERROR(__xludf.DUMMYFUNCTION("""COMPUTED_VALUE"""),0.0)</f>
        <v>0</v>
      </c>
      <c r="T236" s="6">
        <f>IFERROR(__xludf.DUMMYFUNCTION("""COMPUTED_VALUE"""),0.0)</f>
        <v>0</v>
      </c>
      <c r="U236" s="6">
        <f>IFERROR(__xludf.DUMMYFUNCTION("""COMPUTED_VALUE"""),0.0)</f>
        <v>0</v>
      </c>
      <c r="V236" s="4">
        <f t="shared" ref="V236:X236" si="235">SUM(D236, G236, J236, M236, P236, S236)</f>
        <v>3</v>
      </c>
      <c r="W236" s="4">
        <f t="shared" si="235"/>
        <v>1</v>
      </c>
      <c r="X236" s="4">
        <f t="shared" si="235"/>
        <v>1</v>
      </c>
    </row>
    <row r="237">
      <c r="A237" s="4" t="str">
        <f>IFERROR(__xludf.DUMMYFUNCTION("""COMPUTED_VALUE"""),"Школа 1534")</f>
        <v>Школа 1534</v>
      </c>
      <c r="B237" s="4" t="str">
        <f t="array" ref="B237">IFERROR(INDEX('Адреса школ'!F:F, MATCH(A237, 'Адреса школ'!E:E, 0)), "")</f>
        <v>55.685092, 37.574327</v>
      </c>
      <c r="C237" s="5" t="str">
        <f t="array" ref="C237">IFERROR(INDEX('Топ-400'!A:A, MATCH(A237, 'Топ-400'!E:E, 0)), "Вне рейтинга")</f>
        <v>61</v>
      </c>
      <c r="D237" s="6">
        <f>IFERROR(__xludf.DUMMYFUNCTION("""COMPUTED_VALUE"""),1.0)</f>
        <v>1</v>
      </c>
      <c r="E237" s="6">
        <f>IFERROR(__xludf.DUMMYFUNCTION("""COMPUTED_VALUE"""),1.0)</f>
        <v>1</v>
      </c>
      <c r="F237" s="6">
        <f>IFERROR(__xludf.DUMMYFUNCTION("""COMPUTED_VALUE"""),1.0)</f>
        <v>1</v>
      </c>
      <c r="G237" s="6">
        <f>IFERROR(__xludf.DUMMYFUNCTION("""COMPUTED_VALUE"""),1.0)</f>
        <v>1</v>
      </c>
      <c r="H237" s="6">
        <f>IFERROR(__xludf.DUMMYFUNCTION("""COMPUTED_VALUE"""),1.0)</f>
        <v>1</v>
      </c>
      <c r="I237" s="6">
        <f>IFERROR(__xludf.DUMMYFUNCTION("""COMPUTED_VALUE"""),1.0)</f>
        <v>1</v>
      </c>
      <c r="J237" s="6">
        <f>IFERROR(__xludf.DUMMYFUNCTION("""COMPUTED_VALUE"""),1.0)</f>
        <v>1</v>
      </c>
      <c r="K237" s="6">
        <f>IFERROR(__xludf.DUMMYFUNCTION("""COMPUTED_VALUE"""),1.0)</f>
        <v>1</v>
      </c>
      <c r="L237" s="6">
        <f>IFERROR(__xludf.DUMMYFUNCTION("""COMPUTED_VALUE"""),1.0)</f>
        <v>1</v>
      </c>
      <c r="M237" s="6">
        <f>IFERROR(__xludf.DUMMYFUNCTION("""COMPUTED_VALUE"""),1.0)</f>
        <v>1</v>
      </c>
      <c r="N237" s="6">
        <f>IFERROR(__xludf.DUMMYFUNCTION("""COMPUTED_VALUE"""),1.0)</f>
        <v>1</v>
      </c>
      <c r="O237" s="6">
        <f>IFERROR(__xludf.DUMMYFUNCTION("""COMPUTED_VALUE"""),1.0)</f>
        <v>1</v>
      </c>
      <c r="P237" s="6">
        <f>IFERROR(__xludf.DUMMYFUNCTION("""COMPUTED_VALUE"""),0.0)</f>
        <v>0</v>
      </c>
      <c r="Q237" s="6">
        <f>IFERROR(__xludf.DUMMYFUNCTION("""COMPUTED_VALUE"""),0.0)</f>
        <v>0</v>
      </c>
      <c r="R237" s="6">
        <f>IFERROR(__xludf.DUMMYFUNCTION("""COMPUTED_VALUE"""),0.0)</f>
        <v>0</v>
      </c>
      <c r="S237" s="6">
        <f>IFERROR(__xludf.DUMMYFUNCTION("""COMPUTED_VALUE"""),0.0)</f>
        <v>0</v>
      </c>
      <c r="T237" s="6">
        <f>IFERROR(__xludf.DUMMYFUNCTION("""COMPUTED_VALUE"""),0.0)</f>
        <v>0</v>
      </c>
      <c r="U237" s="6">
        <f>IFERROR(__xludf.DUMMYFUNCTION("""COMPUTED_VALUE"""),0.0)</f>
        <v>0</v>
      </c>
      <c r="V237" s="4">
        <f t="shared" ref="V237:X237" si="236">SUM(D237, G237, J237, M237, P237, S237)</f>
        <v>4</v>
      </c>
      <c r="W237" s="4">
        <f t="shared" si="236"/>
        <v>4</v>
      </c>
      <c r="X237" s="4">
        <f t="shared" si="236"/>
        <v>4</v>
      </c>
    </row>
    <row r="238">
      <c r="A238" s="4" t="str">
        <f>IFERROR(__xludf.DUMMYFUNCTION("""COMPUTED_VALUE"""),"Школа 1535")</f>
        <v>Школа 1535</v>
      </c>
      <c r="B238" s="4" t="str">
        <f t="array" ref="B238">IFERROR(INDEX('Адреса школ'!F:F, MATCH(A238, 'Адреса школ'!E:E, 0)), "")</f>
        <v>55.725808, 37.56494</v>
      </c>
      <c r="C238" s="5" t="str">
        <f t="array" ref="C238">IFERROR(INDEX('Топ-400'!A:A, MATCH(A238, 'Топ-400'!E:E, 0)), "Вне рейтинга")</f>
        <v>13</v>
      </c>
      <c r="D238" s="6">
        <f>IFERROR(__xludf.DUMMYFUNCTION("""COMPUTED_VALUE"""),0.0)</f>
        <v>0</v>
      </c>
      <c r="E238" s="6">
        <f>IFERROR(__xludf.DUMMYFUNCTION("""COMPUTED_VALUE"""),0.0)</f>
        <v>0</v>
      </c>
      <c r="F238" s="6">
        <f>IFERROR(__xludf.DUMMYFUNCTION("""COMPUTED_VALUE"""),0.0)</f>
        <v>0</v>
      </c>
      <c r="G238" s="6">
        <f>IFERROR(__xludf.DUMMYFUNCTION("""COMPUTED_VALUE"""),1.0)</f>
        <v>1</v>
      </c>
      <c r="H238" s="6">
        <f>IFERROR(__xludf.DUMMYFUNCTION("""COMPUTED_VALUE"""),1.0)</f>
        <v>1</v>
      </c>
      <c r="I238" s="6">
        <f>IFERROR(__xludf.DUMMYFUNCTION("""COMPUTED_VALUE"""),1.0)</f>
        <v>1</v>
      </c>
      <c r="J238" s="6">
        <f>IFERROR(__xludf.DUMMYFUNCTION("""COMPUTED_VALUE"""),1.0)</f>
        <v>1</v>
      </c>
      <c r="K238" s="6">
        <f>IFERROR(__xludf.DUMMYFUNCTION("""COMPUTED_VALUE"""),1.0)</f>
        <v>1</v>
      </c>
      <c r="L238" s="6">
        <f>IFERROR(__xludf.DUMMYFUNCTION("""COMPUTED_VALUE"""),1.0)</f>
        <v>1</v>
      </c>
      <c r="M238" s="6">
        <f>IFERROR(__xludf.DUMMYFUNCTION("""COMPUTED_VALUE"""),0.0)</f>
        <v>0</v>
      </c>
      <c r="N238" s="6">
        <f>IFERROR(__xludf.DUMMYFUNCTION("""COMPUTED_VALUE"""),1.0)</f>
        <v>1</v>
      </c>
      <c r="O238" s="6">
        <f>IFERROR(__xludf.DUMMYFUNCTION("""COMPUTED_VALUE"""),1.0)</f>
        <v>1</v>
      </c>
      <c r="P238" s="6">
        <f>IFERROR(__xludf.DUMMYFUNCTION("""COMPUTED_VALUE"""),0.0)</f>
        <v>0</v>
      </c>
      <c r="Q238" s="6">
        <f>IFERROR(__xludf.DUMMYFUNCTION("""COMPUTED_VALUE"""),0.0)</f>
        <v>0</v>
      </c>
      <c r="R238" s="6">
        <f>IFERROR(__xludf.DUMMYFUNCTION("""COMPUTED_VALUE"""),0.0)</f>
        <v>0</v>
      </c>
      <c r="S238" s="6">
        <f>IFERROR(__xludf.DUMMYFUNCTION("""COMPUTED_VALUE"""),0.0)</f>
        <v>0</v>
      </c>
      <c r="T238" s="6">
        <f>IFERROR(__xludf.DUMMYFUNCTION("""COMPUTED_VALUE"""),0.0)</f>
        <v>0</v>
      </c>
      <c r="U238" s="6">
        <f>IFERROR(__xludf.DUMMYFUNCTION("""COMPUTED_VALUE"""),0.0)</f>
        <v>0</v>
      </c>
      <c r="V238" s="4">
        <f t="shared" ref="V238:X238" si="237">SUM(D238, G238, J238, M238, P238, S238)</f>
        <v>2</v>
      </c>
      <c r="W238" s="4">
        <f t="shared" si="237"/>
        <v>3</v>
      </c>
      <c r="X238" s="4">
        <f t="shared" si="237"/>
        <v>3</v>
      </c>
    </row>
    <row r="239">
      <c r="A239" s="4" t="str">
        <f>IFERROR(__xludf.DUMMYFUNCTION("""COMPUTED_VALUE"""),"Школа 1537")</f>
        <v>Школа 1537</v>
      </c>
      <c r="B239" s="4" t="str">
        <f t="array" ref="B239">IFERROR(INDEX('Адреса школ'!F:F, MATCH(A239, 'Адреса школ'!E:E, 0)), "")</f>
        <v>55.874415, 37.71936</v>
      </c>
      <c r="C239" s="5" t="str">
        <f t="array" ref="C239">IFERROR(INDEX('Топ-400'!A:A, MATCH(A239, 'Топ-400'!E:E, 0)), "Вне рейтинга")</f>
        <v>48</v>
      </c>
      <c r="D239" s="6">
        <f>IFERROR(__xludf.DUMMYFUNCTION("""COMPUTED_VALUE"""),1.0)</f>
        <v>1</v>
      </c>
      <c r="E239" s="6">
        <f>IFERROR(__xludf.DUMMYFUNCTION("""COMPUTED_VALUE"""),0.0)</f>
        <v>0</v>
      </c>
      <c r="F239" s="6">
        <f>IFERROR(__xludf.DUMMYFUNCTION("""COMPUTED_VALUE"""),1.0)</f>
        <v>1</v>
      </c>
      <c r="G239" s="6">
        <f>IFERROR(__xludf.DUMMYFUNCTION("""COMPUTED_VALUE"""),0.0)</f>
        <v>0</v>
      </c>
      <c r="H239" s="6">
        <f>IFERROR(__xludf.DUMMYFUNCTION("""COMPUTED_VALUE"""),0.0)</f>
        <v>0</v>
      </c>
      <c r="I239" s="6">
        <f>IFERROR(__xludf.DUMMYFUNCTION("""COMPUTED_VALUE"""),0.0)</f>
        <v>0</v>
      </c>
      <c r="J239" s="6">
        <f>IFERROR(__xludf.DUMMYFUNCTION("""COMPUTED_VALUE"""),1.0)</f>
        <v>1</v>
      </c>
      <c r="K239" s="6">
        <f>IFERROR(__xludf.DUMMYFUNCTION("""COMPUTED_VALUE"""),1.0)</f>
        <v>1</v>
      </c>
      <c r="L239" s="6">
        <f>IFERROR(__xludf.DUMMYFUNCTION("""COMPUTED_VALUE"""),1.0)</f>
        <v>1</v>
      </c>
      <c r="M239" s="6">
        <f>IFERROR(__xludf.DUMMYFUNCTION("""COMPUTED_VALUE"""),1.0)</f>
        <v>1</v>
      </c>
      <c r="N239" s="6">
        <f>IFERROR(__xludf.DUMMYFUNCTION("""COMPUTED_VALUE"""),1.0)</f>
        <v>1</v>
      </c>
      <c r="O239" s="6">
        <f>IFERROR(__xludf.DUMMYFUNCTION("""COMPUTED_VALUE"""),1.0)</f>
        <v>1</v>
      </c>
      <c r="P239" s="6">
        <f>IFERROR(__xludf.DUMMYFUNCTION("""COMPUTED_VALUE"""),1.0)</f>
        <v>1</v>
      </c>
      <c r="Q239" s="6">
        <f>IFERROR(__xludf.DUMMYFUNCTION("""COMPUTED_VALUE"""),1.0)</f>
        <v>1</v>
      </c>
      <c r="R239" s="6">
        <f>IFERROR(__xludf.DUMMYFUNCTION("""COMPUTED_VALUE"""),0.0)</f>
        <v>0</v>
      </c>
      <c r="S239" s="6">
        <f>IFERROR(__xludf.DUMMYFUNCTION("""COMPUTED_VALUE"""),0.0)</f>
        <v>0</v>
      </c>
      <c r="T239" s="6">
        <f>IFERROR(__xludf.DUMMYFUNCTION("""COMPUTED_VALUE"""),0.0)</f>
        <v>0</v>
      </c>
      <c r="U239" s="6">
        <f>IFERROR(__xludf.DUMMYFUNCTION("""COMPUTED_VALUE"""),0.0)</f>
        <v>0</v>
      </c>
      <c r="V239" s="4">
        <f t="shared" ref="V239:X239" si="238">SUM(D239, G239, J239, M239, P239, S239)</f>
        <v>4</v>
      </c>
      <c r="W239" s="4">
        <f t="shared" si="238"/>
        <v>3</v>
      </c>
      <c r="X239" s="4">
        <f t="shared" si="238"/>
        <v>3</v>
      </c>
    </row>
    <row r="240">
      <c r="A240" s="4" t="str">
        <f>IFERROR(__xludf.DUMMYFUNCTION("""COMPUTED_VALUE"""),"Школа 1538")</f>
        <v>Школа 1538</v>
      </c>
      <c r="B240" s="4" t="str">
        <f t="array" ref="B240">IFERROR(INDEX('Адреса школ'!F:F, MATCH(A240, 'Адреса школ'!E:E, 0)), "")</f>
        <v>55.839749, 37.381405</v>
      </c>
      <c r="C240" s="5" t="str">
        <f t="array" ref="C240">IFERROR(INDEX('Топ-400'!A:A, MATCH(A240, 'Топ-400'!E:E, 0)), "Вне рейтинга")</f>
        <v>50</v>
      </c>
      <c r="D240" s="6">
        <f>IFERROR(__xludf.DUMMYFUNCTION("""COMPUTED_VALUE"""),1.0)</f>
        <v>1</v>
      </c>
      <c r="E240" s="6">
        <f>IFERROR(__xludf.DUMMYFUNCTION("""COMPUTED_VALUE"""),1.0)</f>
        <v>1</v>
      </c>
      <c r="F240" s="6">
        <f>IFERROR(__xludf.DUMMYFUNCTION("""COMPUTED_VALUE"""),1.0)</f>
        <v>1</v>
      </c>
      <c r="G240" s="6">
        <f>IFERROR(__xludf.DUMMYFUNCTION("""COMPUTED_VALUE"""),1.0)</f>
        <v>1</v>
      </c>
      <c r="H240" s="6">
        <f>IFERROR(__xludf.DUMMYFUNCTION("""COMPUTED_VALUE"""),1.0)</f>
        <v>1</v>
      </c>
      <c r="I240" s="6">
        <f>IFERROR(__xludf.DUMMYFUNCTION("""COMPUTED_VALUE"""),1.0)</f>
        <v>1</v>
      </c>
      <c r="J240" s="6">
        <f>IFERROR(__xludf.DUMMYFUNCTION("""COMPUTED_VALUE"""),0.0)</f>
        <v>0</v>
      </c>
      <c r="K240" s="6">
        <f>IFERROR(__xludf.DUMMYFUNCTION("""COMPUTED_VALUE"""),0.0)</f>
        <v>0</v>
      </c>
      <c r="L240" s="6">
        <f>IFERROR(__xludf.DUMMYFUNCTION("""COMPUTED_VALUE"""),1.0)</f>
        <v>1</v>
      </c>
      <c r="M240" s="6">
        <f>IFERROR(__xludf.DUMMYFUNCTION("""COMPUTED_VALUE"""),1.0)</f>
        <v>1</v>
      </c>
      <c r="N240" s="6">
        <f>IFERROR(__xludf.DUMMYFUNCTION("""COMPUTED_VALUE"""),1.0)</f>
        <v>1</v>
      </c>
      <c r="O240" s="6">
        <f>IFERROR(__xludf.DUMMYFUNCTION("""COMPUTED_VALUE"""),1.0)</f>
        <v>1</v>
      </c>
      <c r="P240" s="6">
        <f>IFERROR(__xludf.DUMMYFUNCTION("""COMPUTED_VALUE"""),0.0)</f>
        <v>0</v>
      </c>
      <c r="Q240" s="6">
        <f>IFERROR(__xludf.DUMMYFUNCTION("""COMPUTED_VALUE"""),0.0)</f>
        <v>0</v>
      </c>
      <c r="R240" s="6">
        <f>IFERROR(__xludf.DUMMYFUNCTION("""COMPUTED_VALUE"""),0.0)</f>
        <v>0</v>
      </c>
      <c r="S240" s="6">
        <f>IFERROR(__xludf.DUMMYFUNCTION("""COMPUTED_VALUE"""),0.0)</f>
        <v>0</v>
      </c>
      <c r="T240" s="6">
        <f>IFERROR(__xludf.DUMMYFUNCTION("""COMPUTED_VALUE"""),0.0)</f>
        <v>0</v>
      </c>
      <c r="U240" s="6">
        <f>IFERROR(__xludf.DUMMYFUNCTION("""COMPUTED_VALUE"""),0.0)</f>
        <v>0</v>
      </c>
      <c r="V240" s="4">
        <f t="shared" ref="V240:X240" si="239">SUM(D240, G240, J240, M240, P240, S240)</f>
        <v>3</v>
      </c>
      <c r="W240" s="4">
        <f t="shared" si="239"/>
        <v>3</v>
      </c>
      <c r="X240" s="4">
        <f t="shared" si="239"/>
        <v>4</v>
      </c>
    </row>
    <row r="241">
      <c r="A241" s="4" t="str">
        <f>IFERROR(__xludf.DUMMYFUNCTION("""COMPUTED_VALUE"""),"Школа 1539")</f>
        <v>Школа 1539</v>
      </c>
      <c r="B241" s="4" t="str">
        <f t="array" ref="B241">IFERROR(INDEX('Адреса школ'!F:F, MATCH(A241, 'Адреса школ'!E:E, 0)), "")</f>
        <v>55.810324, 37.641845</v>
      </c>
      <c r="C241" s="5" t="str">
        <f t="array" ref="C241">IFERROR(INDEX('Топ-400'!A:A, MATCH(A241, 'Топ-400'!E:E, 0)), "Вне рейтинга")</f>
        <v>106</v>
      </c>
      <c r="D241" s="6">
        <f>IFERROR(__xludf.DUMMYFUNCTION("""COMPUTED_VALUE"""),1.0)</f>
        <v>1</v>
      </c>
      <c r="E241" s="6">
        <f>IFERROR(__xludf.DUMMYFUNCTION("""COMPUTED_VALUE"""),0.0)</f>
        <v>0</v>
      </c>
      <c r="F241" s="6">
        <f>IFERROR(__xludf.DUMMYFUNCTION("""COMPUTED_VALUE"""),0.0)</f>
        <v>0</v>
      </c>
      <c r="G241" s="6">
        <f>IFERROR(__xludf.DUMMYFUNCTION("""COMPUTED_VALUE"""),1.0)</f>
        <v>1</v>
      </c>
      <c r="H241" s="6">
        <f>IFERROR(__xludf.DUMMYFUNCTION("""COMPUTED_VALUE"""),1.0)</f>
        <v>1</v>
      </c>
      <c r="I241" s="6">
        <f>IFERROR(__xludf.DUMMYFUNCTION("""COMPUTED_VALUE"""),1.0)</f>
        <v>1</v>
      </c>
      <c r="J241" s="6">
        <f>IFERROR(__xludf.DUMMYFUNCTION("""COMPUTED_VALUE"""),1.0)</f>
        <v>1</v>
      </c>
      <c r="K241" s="6">
        <f>IFERROR(__xludf.DUMMYFUNCTION("""COMPUTED_VALUE"""),1.0)</f>
        <v>1</v>
      </c>
      <c r="L241" s="6">
        <f>IFERROR(__xludf.DUMMYFUNCTION("""COMPUTED_VALUE"""),1.0)</f>
        <v>1</v>
      </c>
      <c r="M241" s="6">
        <f>IFERROR(__xludf.DUMMYFUNCTION("""COMPUTED_VALUE"""),1.0)</f>
        <v>1</v>
      </c>
      <c r="N241" s="6">
        <f>IFERROR(__xludf.DUMMYFUNCTION("""COMPUTED_VALUE"""),1.0)</f>
        <v>1</v>
      </c>
      <c r="O241" s="6">
        <f>IFERROR(__xludf.DUMMYFUNCTION("""COMPUTED_VALUE"""),1.0)</f>
        <v>1</v>
      </c>
      <c r="P241" s="6">
        <f>IFERROR(__xludf.DUMMYFUNCTION("""COMPUTED_VALUE"""),1.0)</f>
        <v>1</v>
      </c>
      <c r="Q241" s="6">
        <f>IFERROR(__xludf.DUMMYFUNCTION("""COMPUTED_VALUE"""),1.0)</f>
        <v>1</v>
      </c>
      <c r="R241" s="6">
        <f>IFERROR(__xludf.DUMMYFUNCTION("""COMPUTED_VALUE"""),1.0)</f>
        <v>1</v>
      </c>
      <c r="S241" s="6">
        <f>IFERROR(__xludf.DUMMYFUNCTION("""COMPUTED_VALUE"""),0.0)</f>
        <v>0</v>
      </c>
      <c r="T241" s="6">
        <f>IFERROR(__xludf.DUMMYFUNCTION("""COMPUTED_VALUE"""),0.0)</f>
        <v>0</v>
      </c>
      <c r="U241" s="6">
        <f>IFERROR(__xludf.DUMMYFUNCTION("""COMPUTED_VALUE"""),0.0)</f>
        <v>0</v>
      </c>
      <c r="V241" s="4">
        <f t="shared" ref="V241:X241" si="240">SUM(D241, G241, J241, M241, P241, S241)</f>
        <v>5</v>
      </c>
      <c r="W241" s="4">
        <f t="shared" si="240"/>
        <v>4</v>
      </c>
      <c r="X241" s="4">
        <f t="shared" si="240"/>
        <v>4</v>
      </c>
    </row>
    <row r="242">
      <c r="A242" s="4" t="str">
        <f>IFERROR(__xludf.DUMMYFUNCTION("""COMPUTED_VALUE"""),"Школа 1540")</f>
        <v>Школа 1540</v>
      </c>
      <c r="B242" s="4" t="str">
        <f t="array" ref="B242">IFERROR(INDEX('Адреса школ'!F:F, MATCH(A242, 'Адреса школ'!E:E, 0)), "")</f>
        <v>55.78692, 37.592213</v>
      </c>
      <c r="C242" s="5" t="str">
        <f t="array" ref="C242">IFERROR(INDEX('Топ-400'!A:A, MATCH(A242, 'Топ-400'!E:E, 0)), "Вне рейтинга")</f>
        <v>202</v>
      </c>
      <c r="D242" s="6">
        <f>IFERROR(__xludf.DUMMYFUNCTION("""COMPUTED_VALUE"""),0.0)</f>
        <v>0</v>
      </c>
      <c r="E242" s="6">
        <f>IFERROR(__xludf.DUMMYFUNCTION("""COMPUTED_VALUE"""),0.0)</f>
        <v>0</v>
      </c>
      <c r="F242" s="6">
        <f>IFERROR(__xludf.DUMMYFUNCTION("""COMPUTED_VALUE"""),0.0)</f>
        <v>0</v>
      </c>
      <c r="G242" s="6">
        <f>IFERROR(__xludf.DUMMYFUNCTION("""COMPUTED_VALUE"""),0.0)</f>
        <v>0</v>
      </c>
      <c r="H242" s="6">
        <f>IFERROR(__xludf.DUMMYFUNCTION("""COMPUTED_VALUE"""),0.0)</f>
        <v>0</v>
      </c>
      <c r="I242" s="6">
        <f>IFERROR(__xludf.DUMMYFUNCTION("""COMPUTED_VALUE"""),0.0)</f>
        <v>0</v>
      </c>
      <c r="J242" s="6">
        <f>IFERROR(__xludf.DUMMYFUNCTION("""COMPUTED_VALUE"""),1.0)</f>
        <v>1</v>
      </c>
      <c r="K242" s="6">
        <f>IFERROR(__xludf.DUMMYFUNCTION("""COMPUTED_VALUE"""),1.0)</f>
        <v>1</v>
      </c>
      <c r="L242" s="6">
        <f>IFERROR(__xludf.DUMMYFUNCTION("""COMPUTED_VALUE"""),1.0)</f>
        <v>1</v>
      </c>
      <c r="M242" s="6">
        <f>IFERROR(__xludf.DUMMYFUNCTION("""COMPUTED_VALUE"""),0.0)</f>
        <v>0</v>
      </c>
      <c r="N242" s="6">
        <f>IFERROR(__xludf.DUMMYFUNCTION("""COMPUTED_VALUE"""),0.0)</f>
        <v>0</v>
      </c>
      <c r="O242" s="6">
        <f>IFERROR(__xludf.DUMMYFUNCTION("""COMPUTED_VALUE"""),0.0)</f>
        <v>0</v>
      </c>
      <c r="P242" s="6">
        <f>IFERROR(__xludf.DUMMYFUNCTION("""COMPUTED_VALUE"""),0.0)</f>
        <v>0</v>
      </c>
      <c r="Q242" s="6">
        <f>IFERROR(__xludf.DUMMYFUNCTION("""COMPUTED_VALUE"""),0.0)</f>
        <v>0</v>
      </c>
      <c r="R242" s="6">
        <f>IFERROR(__xludf.DUMMYFUNCTION("""COMPUTED_VALUE"""),0.0)</f>
        <v>0</v>
      </c>
      <c r="S242" s="6">
        <f>IFERROR(__xludf.DUMMYFUNCTION("""COMPUTED_VALUE"""),0.0)</f>
        <v>0</v>
      </c>
      <c r="T242" s="6">
        <f>IFERROR(__xludf.DUMMYFUNCTION("""COMPUTED_VALUE"""),0.0)</f>
        <v>0</v>
      </c>
      <c r="U242" s="6">
        <f>IFERROR(__xludf.DUMMYFUNCTION("""COMPUTED_VALUE"""),0.0)</f>
        <v>0</v>
      </c>
      <c r="V242" s="4">
        <f t="shared" ref="V242:X242" si="241">SUM(D242, G242, J242, M242, P242, S242)</f>
        <v>1</v>
      </c>
      <c r="W242" s="4">
        <f t="shared" si="241"/>
        <v>1</v>
      </c>
      <c r="X242" s="4">
        <f t="shared" si="241"/>
        <v>1</v>
      </c>
    </row>
    <row r="243">
      <c r="A243" s="4" t="str">
        <f>IFERROR(__xludf.DUMMYFUNCTION("""COMPUTED_VALUE"""),"Школа 1541")</f>
        <v>Школа 1541</v>
      </c>
      <c r="B243" s="4" t="str">
        <f t="array" ref="B243">IFERROR(INDEX('Адреса школ'!F:F, MATCH(A243, 'Адреса школ'!E:E, 0)), "")</f>
        <v>55.672803, 37.504358</v>
      </c>
      <c r="C243" s="5" t="str">
        <f t="array" ref="C243">IFERROR(INDEX('Топ-400'!A:A, MATCH(A243, 'Топ-400'!E:E, 0)), "Вне рейтинга")</f>
        <v>235</v>
      </c>
      <c r="D243" s="6">
        <f>IFERROR(__xludf.DUMMYFUNCTION("""COMPUTED_VALUE"""),0.0)</f>
        <v>0</v>
      </c>
      <c r="E243" s="6">
        <f>IFERROR(__xludf.DUMMYFUNCTION("""COMPUTED_VALUE"""),0.0)</f>
        <v>0</v>
      </c>
      <c r="F243" s="6">
        <f>IFERROR(__xludf.DUMMYFUNCTION("""COMPUTED_VALUE"""),1.0)</f>
        <v>1</v>
      </c>
      <c r="G243" s="6">
        <f>IFERROR(__xludf.DUMMYFUNCTION("""COMPUTED_VALUE"""),1.0)</f>
        <v>1</v>
      </c>
      <c r="H243" s="6">
        <f>IFERROR(__xludf.DUMMYFUNCTION("""COMPUTED_VALUE"""),0.0)</f>
        <v>0</v>
      </c>
      <c r="I243" s="6">
        <f>IFERROR(__xludf.DUMMYFUNCTION("""COMPUTED_VALUE"""),1.0)</f>
        <v>1</v>
      </c>
      <c r="J243" s="6">
        <f>IFERROR(__xludf.DUMMYFUNCTION("""COMPUTED_VALUE"""),0.0)</f>
        <v>0</v>
      </c>
      <c r="K243" s="6">
        <f>IFERROR(__xludf.DUMMYFUNCTION("""COMPUTED_VALUE"""),0.0)</f>
        <v>0</v>
      </c>
      <c r="L243" s="6">
        <f>IFERROR(__xludf.DUMMYFUNCTION("""COMPUTED_VALUE"""),0.0)</f>
        <v>0</v>
      </c>
      <c r="M243" s="6">
        <f>IFERROR(__xludf.DUMMYFUNCTION("""COMPUTED_VALUE"""),1.0)</f>
        <v>1</v>
      </c>
      <c r="N243" s="6">
        <f>IFERROR(__xludf.DUMMYFUNCTION("""COMPUTED_VALUE"""),0.0)</f>
        <v>0</v>
      </c>
      <c r="O243" s="6">
        <f>IFERROR(__xludf.DUMMYFUNCTION("""COMPUTED_VALUE"""),1.0)</f>
        <v>1</v>
      </c>
      <c r="P243" s="6">
        <f>IFERROR(__xludf.DUMMYFUNCTION("""COMPUTED_VALUE"""),1.0)</f>
        <v>1</v>
      </c>
      <c r="Q243" s="6">
        <f>IFERROR(__xludf.DUMMYFUNCTION("""COMPUTED_VALUE"""),1.0)</f>
        <v>1</v>
      </c>
      <c r="R243" s="6">
        <f>IFERROR(__xludf.DUMMYFUNCTION("""COMPUTED_VALUE"""),1.0)</f>
        <v>1</v>
      </c>
      <c r="S243" s="6">
        <f>IFERROR(__xludf.DUMMYFUNCTION("""COMPUTED_VALUE"""),0.0)</f>
        <v>0</v>
      </c>
      <c r="T243" s="6">
        <f>IFERROR(__xludf.DUMMYFUNCTION("""COMPUTED_VALUE"""),0.0)</f>
        <v>0</v>
      </c>
      <c r="U243" s="6">
        <f>IFERROR(__xludf.DUMMYFUNCTION("""COMPUTED_VALUE"""),0.0)</f>
        <v>0</v>
      </c>
      <c r="V243" s="4">
        <f t="shared" ref="V243:X243" si="242">SUM(D243, G243, J243, M243, P243, S243)</f>
        <v>3</v>
      </c>
      <c r="W243" s="4">
        <f t="shared" si="242"/>
        <v>1</v>
      </c>
      <c r="X243" s="4">
        <f t="shared" si="242"/>
        <v>4</v>
      </c>
    </row>
    <row r="244">
      <c r="A244" s="4" t="str">
        <f>IFERROR(__xludf.DUMMYFUNCTION("""COMPUTED_VALUE"""),"Школа 1542")</f>
        <v>Школа 1542</v>
      </c>
      <c r="B244" s="4" t="str">
        <f t="array" ref="B244">IFERROR(INDEX('Адреса школ'!F:F, MATCH(A244, 'Адреса школ'!E:E, 0)), "")</f>
        <v>55.646924, 37.399749</v>
      </c>
      <c r="C244" s="5" t="str">
        <f t="array" ref="C244">IFERROR(INDEX('Топ-400'!A:A, MATCH(A244, 'Топ-400'!E:E, 0)), "Вне рейтинга")</f>
        <v>28</v>
      </c>
      <c r="D244" s="6">
        <f>IFERROR(__xludf.DUMMYFUNCTION("""COMPUTED_VALUE"""),1.0)</f>
        <v>1</v>
      </c>
      <c r="E244" s="6">
        <f>IFERROR(__xludf.DUMMYFUNCTION("""COMPUTED_VALUE"""),1.0)</f>
        <v>1</v>
      </c>
      <c r="F244" s="6">
        <f>IFERROR(__xludf.DUMMYFUNCTION("""COMPUTED_VALUE"""),1.0)</f>
        <v>1</v>
      </c>
      <c r="G244" s="6">
        <f>IFERROR(__xludf.DUMMYFUNCTION("""COMPUTED_VALUE"""),0.0)</f>
        <v>0</v>
      </c>
      <c r="H244" s="6">
        <f>IFERROR(__xludf.DUMMYFUNCTION("""COMPUTED_VALUE"""),0.0)</f>
        <v>0</v>
      </c>
      <c r="I244" s="6">
        <f>IFERROR(__xludf.DUMMYFUNCTION("""COMPUTED_VALUE"""),0.0)</f>
        <v>0</v>
      </c>
      <c r="J244" s="6">
        <f>IFERROR(__xludf.DUMMYFUNCTION("""COMPUTED_VALUE"""),0.0)</f>
        <v>0</v>
      </c>
      <c r="K244" s="6">
        <f>IFERROR(__xludf.DUMMYFUNCTION("""COMPUTED_VALUE"""),0.0)</f>
        <v>0</v>
      </c>
      <c r="L244" s="6">
        <f>IFERROR(__xludf.DUMMYFUNCTION("""COMPUTED_VALUE"""),0.0)</f>
        <v>0</v>
      </c>
      <c r="M244" s="6">
        <f>IFERROR(__xludf.DUMMYFUNCTION("""COMPUTED_VALUE"""),1.0)</f>
        <v>1</v>
      </c>
      <c r="N244" s="6">
        <f>IFERROR(__xludf.DUMMYFUNCTION("""COMPUTED_VALUE"""),1.0)</f>
        <v>1</v>
      </c>
      <c r="O244" s="6">
        <f>IFERROR(__xludf.DUMMYFUNCTION("""COMPUTED_VALUE"""),1.0)</f>
        <v>1</v>
      </c>
      <c r="P244" s="6">
        <f>IFERROR(__xludf.DUMMYFUNCTION("""COMPUTED_VALUE"""),1.0)</f>
        <v>1</v>
      </c>
      <c r="Q244" s="6">
        <f>IFERROR(__xludf.DUMMYFUNCTION("""COMPUTED_VALUE"""),1.0)</f>
        <v>1</v>
      </c>
      <c r="R244" s="6">
        <f>IFERROR(__xludf.DUMMYFUNCTION("""COMPUTED_VALUE"""),1.0)</f>
        <v>1</v>
      </c>
      <c r="S244" s="6">
        <f>IFERROR(__xludf.DUMMYFUNCTION("""COMPUTED_VALUE"""),0.0)</f>
        <v>0</v>
      </c>
      <c r="T244" s="6">
        <f>IFERROR(__xludf.DUMMYFUNCTION("""COMPUTED_VALUE"""),0.0)</f>
        <v>0</v>
      </c>
      <c r="U244" s="6">
        <f>IFERROR(__xludf.DUMMYFUNCTION("""COMPUTED_VALUE"""),0.0)</f>
        <v>0</v>
      </c>
      <c r="V244" s="4">
        <f t="shared" ref="V244:X244" si="243">SUM(D244, G244, J244, M244, P244, S244)</f>
        <v>3</v>
      </c>
      <c r="W244" s="4">
        <f t="shared" si="243"/>
        <v>3</v>
      </c>
      <c r="X244" s="4">
        <f t="shared" si="243"/>
        <v>3</v>
      </c>
    </row>
    <row r="245">
      <c r="A245" s="4" t="str">
        <f>IFERROR(__xludf.DUMMYFUNCTION("""COMPUTED_VALUE"""),"Школа 1544")</f>
        <v>Школа 1544</v>
      </c>
      <c r="B245" s="4" t="str">
        <f t="array" ref="B245">IFERROR(INDEX('Адреса школ'!F:F, MATCH(A245, 'Адреса школ'!E:E, 0)), "")</f>
        <v>55.836059, 37.359522</v>
      </c>
      <c r="C245" s="5" t="str">
        <f t="array" ref="C245">IFERROR(INDEX('Топ-400'!A:A, MATCH(A245, 'Топ-400'!E:E, 0)), "Вне рейтинга")</f>
        <v>266</v>
      </c>
      <c r="D245" s="6">
        <f>IFERROR(__xludf.DUMMYFUNCTION("""COMPUTED_VALUE"""),1.0)</f>
        <v>1</v>
      </c>
      <c r="E245" s="6">
        <f>IFERROR(__xludf.DUMMYFUNCTION("""COMPUTED_VALUE"""),0.0)</f>
        <v>0</v>
      </c>
      <c r="F245" s="6">
        <f>IFERROR(__xludf.DUMMYFUNCTION("""COMPUTED_VALUE"""),1.0)</f>
        <v>1</v>
      </c>
      <c r="G245" s="6">
        <f>IFERROR(__xludf.DUMMYFUNCTION("""COMPUTED_VALUE"""),1.0)</f>
        <v>1</v>
      </c>
      <c r="H245" s="6">
        <f>IFERROR(__xludf.DUMMYFUNCTION("""COMPUTED_VALUE"""),0.0)</f>
        <v>0</v>
      </c>
      <c r="I245" s="6">
        <f>IFERROR(__xludf.DUMMYFUNCTION("""COMPUTED_VALUE"""),1.0)</f>
        <v>1</v>
      </c>
      <c r="J245" s="6">
        <f>IFERROR(__xludf.DUMMYFUNCTION("""COMPUTED_VALUE"""),1.0)</f>
        <v>1</v>
      </c>
      <c r="K245" s="6">
        <f>IFERROR(__xludf.DUMMYFUNCTION("""COMPUTED_VALUE"""),1.0)</f>
        <v>1</v>
      </c>
      <c r="L245" s="6">
        <f>IFERROR(__xludf.DUMMYFUNCTION("""COMPUTED_VALUE"""),1.0)</f>
        <v>1</v>
      </c>
      <c r="M245" s="6">
        <f>IFERROR(__xludf.DUMMYFUNCTION("""COMPUTED_VALUE"""),0.0)</f>
        <v>0</v>
      </c>
      <c r="N245" s="6">
        <f>IFERROR(__xludf.DUMMYFUNCTION("""COMPUTED_VALUE"""),1.0)</f>
        <v>1</v>
      </c>
      <c r="O245" s="6">
        <f>IFERROR(__xludf.DUMMYFUNCTION("""COMPUTED_VALUE"""),1.0)</f>
        <v>1</v>
      </c>
      <c r="P245" s="6">
        <f>IFERROR(__xludf.DUMMYFUNCTION("""COMPUTED_VALUE"""),1.0)</f>
        <v>1</v>
      </c>
      <c r="Q245" s="6">
        <f>IFERROR(__xludf.DUMMYFUNCTION("""COMPUTED_VALUE"""),1.0)</f>
        <v>1</v>
      </c>
      <c r="R245" s="6">
        <f>IFERROR(__xludf.DUMMYFUNCTION("""COMPUTED_VALUE"""),1.0)</f>
        <v>1</v>
      </c>
      <c r="S245" s="6">
        <f>IFERROR(__xludf.DUMMYFUNCTION("""COMPUTED_VALUE"""),0.0)</f>
        <v>0</v>
      </c>
      <c r="T245" s="6">
        <f>IFERROR(__xludf.DUMMYFUNCTION("""COMPUTED_VALUE"""),0.0)</f>
        <v>0</v>
      </c>
      <c r="U245" s="6">
        <f>IFERROR(__xludf.DUMMYFUNCTION("""COMPUTED_VALUE"""),0.0)</f>
        <v>0</v>
      </c>
      <c r="V245" s="4">
        <f t="shared" ref="V245:X245" si="244">SUM(D245, G245, J245, M245, P245, S245)</f>
        <v>4</v>
      </c>
      <c r="W245" s="4">
        <f t="shared" si="244"/>
        <v>3</v>
      </c>
      <c r="X245" s="4">
        <f t="shared" si="244"/>
        <v>5</v>
      </c>
    </row>
    <row r="246">
      <c r="A246" s="4" t="str">
        <f>IFERROR(__xludf.DUMMYFUNCTION("""COMPUTED_VALUE"""),"Школа 1547")</f>
        <v>Школа 1547</v>
      </c>
      <c r="B246" s="4" t="str">
        <f t="array" ref="B246">IFERROR(INDEX('Адреса школ'!F:F, MATCH(A246, 'Адреса школ'!E:E, 0)), "")</f>
        <v>55.662938, 37.772505</v>
      </c>
      <c r="C246" s="5" t="str">
        <f t="array" ref="C246">IFERROR(INDEX('Топ-400'!A:A, MATCH(A246, 'Топ-400'!E:E, 0)), "Вне рейтинга")</f>
        <v>59</v>
      </c>
      <c r="D246" s="6">
        <f>IFERROR(__xludf.DUMMYFUNCTION("""COMPUTED_VALUE"""),1.0)</f>
        <v>1</v>
      </c>
      <c r="E246" s="6">
        <f>IFERROR(__xludf.DUMMYFUNCTION("""COMPUTED_VALUE"""),1.0)</f>
        <v>1</v>
      </c>
      <c r="F246" s="6">
        <f>IFERROR(__xludf.DUMMYFUNCTION("""COMPUTED_VALUE"""),1.0)</f>
        <v>1</v>
      </c>
      <c r="G246" s="6">
        <f>IFERROR(__xludf.DUMMYFUNCTION("""COMPUTED_VALUE"""),0.0)</f>
        <v>0</v>
      </c>
      <c r="H246" s="6">
        <f>IFERROR(__xludf.DUMMYFUNCTION("""COMPUTED_VALUE"""),0.0)</f>
        <v>0</v>
      </c>
      <c r="I246" s="6">
        <f>IFERROR(__xludf.DUMMYFUNCTION("""COMPUTED_VALUE"""),0.0)</f>
        <v>0</v>
      </c>
      <c r="J246" s="6">
        <f>IFERROR(__xludf.DUMMYFUNCTION("""COMPUTED_VALUE"""),1.0)</f>
        <v>1</v>
      </c>
      <c r="K246" s="6">
        <f>IFERROR(__xludf.DUMMYFUNCTION("""COMPUTED_VALUE"""),1.0)</f>
        <v>1</v>
      </c>
      <c r="L246" s="6">
        <f>IFERROR(__xludf.DUMMYFUNCTION("""COMPUTED_VALUE"""),1.0)</f>
        <v>1</v>
      </c>
      <c r="M246" s="6">
        <f>IFERROR(__xludf.DUMMYFUNCTION("""COMPUTED_VALUE"""),1.0)</f>
        <v>1</v>
      </c>
      <c r="N246" s="6">
        <f>IFERROR(__xludf.DUMMYFUNCTION("""COMPUTED_VALUE"""),1.0)</f>
        <v>1</v>
      </c>
      <c r="O246" s="6">
        <f>IFERROR(__xludf.DUMMYFUNCTION("""COMPUTED_VALUE"""),1.0)</f>
        <v>1</v>
      </c>
      <c r="P246" s="6">
        <f>IFERROR(__xludf.DUMMYFUNCTION("""COMPUTED_VALUE"""),1.0)</f>
        <v>1</v>
      </c>
      <c r="Q246" s="6">
        <f>IFERROR(__xludf.DUMMYFUNCTION("""COMPUTED_VALUE"""),1.0)</f>
        <v>1</v>
      </c>
      <c r="R246" s="6">
        <f>IFERROR(__xludf.DUMMYFUNCTION("""COMPUTED_VALUE"""),1.0)</f>
        <v>1</v>
      </c>
      <c r="S246" s="6">
        <f>IFERROR(__xludf.DUMMYFUNCTION("""COMPUTED_VALUE"""),0.0)</f>
        <v>0</v>
      </c>
      <c r="T246" s="6">
        <f>IFERROR(__xludf.DUMMYFUNCTION("""COMPUTED_VALUE"""),0.0)</f>
        <v>0</v>
      </c>
      <c r="U246" s="6">
        <f>IFERROR(__xludf.DUMMYFUNCTION("""COMPUTED_VALUE"""),0.0)</f>
        <v>0</v>
      </c>
      <c r="V246" s="4">
        <f t="shared" ref="V246:X246" si="245">SUM(D246, G246, J246, M246, P246, S246)</f>
        <v>4</v>
      </c>
      <c r="W246" s="4">
        <f t="shared" si="245"/>
        <v>4</v>
      </c>
      <c r="X246" s="4">
        <f t="shared" si="245"/>
        <v>4</v>
      </c>
    </row>
    <row r="247">
      <c r="A247" s="4" t="str">
        <f>IFERROR(__xludf.DUMMYFUNCTION("""COMPUTED_VALUE"""),"Школа 1550")</f>
        <v>Школа 1550</v>
      </c>
      <c r="B247" s="4" t="str">
        <f t="array" ref="B247">IFERROR(INDEX('Адреса школ'!F:F, MATCH(A247, 'Адреса школ'!E:E, 0)), "")</f>
        <v>55.782365, 37.55982</v>
      </c>
      <c r="C247" s="5" t="str">
        <f t="array" ref="C247">IFERROR(INDEX('Топ-400'!A:A, MATCH(A247, 'Топ-400'!E:E, 0)), "Вне рейтинга")</f>
        <v>326</v>
      </c>
      <c r="D247" s="6">
        <f>IFERROR(__xludf.DUMMYFUNCTION("""COMPUTED_VALUE"""),1.0)</f>
        <v>1</v>
      </c>
      <c r="E247" s="6">
        <f>IFERROR(__xludf.DUMMYFUNCTION("""COMPUTED_VALUE"""),1.0)</f>
        <v>1</v>
      </c>
      <c r="F247" s="6">
        <f>IFERROR(__xludf.DUMMYFUNCTION("""COMPUTED_VALUE"""),0.0)</f>
        <v>0</v>
      </c>
      <c r="G247" s="6">
        <f>IFERROR(__xludf.DUMMYFUNCTION("""COMPUTED_VALUE"""),0.0)</f>
        <v>0</v>
      </c>
      <c r="H247" s="6">
        <f>IFERROR(__xludf.DUMMYFUNCTION("""COMPUTED_VALUE"""),0.0)</f>
        <v>0</v>
      </c>
      <c r="I247" s="6">
        <f>IFERROR(__xludf.DUMMYFUNCTION("""COMPUTED_VALUE"""),0.0)</f>
        <v>0</v>
      </c>
      <c r="J247" s="6">
        <f>IFERROR(__xludf.DUMMYFUNCTION("""COMPUTED_VALUE"""),0.0)</f>
        <v>0</v>
      </c>
      <c r="K247" s="6">
        <f>IFERROR(__xludf.DUMMYFUNCTION("""COMPUTED_VALUE"""),0.0)</f>
        <v>0</v>
      </c>
      <c r="L247" s="6">
        <f>IFERROR(__xludf.DUMMYFUNCTION("""COMPUTED_VALUE"""),0.0)</f>
        <v>0</v>
      </c>
      <c r="M247" s="6">
        <f>IFERROR(__xludf.DUMMYFUNCTION("""COMPUTED_VALUE"""),0.0)</f>
        <v>0</v>
      </c>
      <c r="N247" s="6">
        <f>IFERROR(__xludf.DUMMYFUNCTION("""COMPUTED_VALUE"""),0.0)</f>
        <v>0</v>
      </c>
      <c r="O247" s="6">
        <f>IFERROR(__xludf.DUMMYFUNCTION("""COMPUTED_VALUE"""),0.0)</f>
        <v>0</v>
      </c>
      <c r="P247" s="6">
        <f>IFERROR(__xludf.DUMMYFUNCTION("""COMPUTED_VALUE"""),0.0)</f>
        <v>0</v>
      </c>
      <c r="Q247" s="6">
        <f>IFERROR(__xludf.DUMMYFUNCTION("""COMPUTED_VALUE"""),0.0)</f>
        <v>0</v>
      </c>
      <c r="R247" s="6">
        <f>IFERROR(__xludf.DUMMYFUNCTION("""COMPUTED_VALUE"""),0.0)</f>
        <v>0</v>
      </c>
      <c r="S247" s="6">
        <f>IFERROR(__xludf.DUMMYFUNCTION("""COMPUTED_VALUE"""),0.0)</f>
        <v>0</v>
      </c>
      <c r="T247" s="6">
        <f>IFERROR(__xludf.DUMMYFUNCTION("""COMPUTED_VALUE"""),0.0)</f>
        <v>0</v>
      </c>
      <c r="U247" s="6">
        <f>IFERROR(__xludf.DUMMYFUNCTION("""COMPUTED_VALUE"""),0.0)</f>
        <v>0</v>
      </c>
      <c r="V247" s="4">
        <f t="shared" ref="V247:X247" si="246">SUM(D247, G247, J247, M247, P247, S247)</f>
        <v>1</v>
      </c>
      <c r="W247" s="4">
        <f t="shared" si="246"/>
        <v>1</v>
      </c>
      <c r="X247" s="4">
        <f t="shared" si="246"/>
        <v>0</v>
      </c>
    </row>
    <row r="248">
      <c r="A248" s="4" t="str">
        <f>IFERROR(__xludf.DUMMYFUNCTION("""COMPUTED_VALUE"""),"Школа 1551")</f>
        <v>Школа 1551</v>
      </c>
      <c r="B248" s="4" t="str">
        <f t="array" ref="B248">IFERROR(INDEX('Адреса школ'!F:F, MATCH(A248, 'Адреса школ'!E:E, 0)), "")</f>
        <v>55.846643, 37.456037</v>
      </c>
      <c r="C248" s="5" t="str">
        <f t="array" ref="C248">IFERROR(INDEX('Топ-400'!A:A, MATCH(A248, 'Топ-400'!E:E, 0)), "Вне рейтинга")</f>
        <v>196</v>
      </c>
      <c r="D248" s="6">
        <f>IFERROR(__xludf.DUMMYFUNCTION("""COMPUTED_VALUE"""),1.0)</f>
        <v>1</v>
      </c>
      <c r="E248" s="6">
        <f>IFERROR(__xludf.DUMMYFUNCTION("""COMPUTED_VALUE"""),0.0)</f>
        <v>0</v>
      </c>
      <c r="F248" s="6">
        <f>IFERROR(__xludf.DUMMYFUNCTION("""COMPUTED_VALUE"""),1.0)</f>
        <v>1</v>
      </c>
      <c r="G248" s="6">
        <f>IFERROR(__xludf.DUMMYFUNCTION("""COMPUTED_VALUE"""),0.0)</f>
        <v>0</v>
      </c>
      <c r="H248" s="6">
        <f>IFERROR(__xludf.DUMMYFUNCTION("""COMPUTED_VALUE"""),0.0)</f>
        <v>0</v>
      </c>
      <c r="I248" s="6">
        <f>IFERROR(__xludf.DUMMYFUNCTION("""COMPUTED_VALUE"""),0.0)</f>
        <v>0</v>
      </c>
      <c r="J248" s="6">
        <f>IFERROR(__xludf.DUMMYFUNCTION("""COMPUTED_VALUE"""),0.0)</f>
        <v>0</v>
      </c>
      <c r="K248" s="6">
        <f>IFERROR(__xludf.DUMMYFUNCTION("""COMPUTED_VALUE"""),0.0)</f>
        <v>0</v>
      </c>
      <c r="L248" s="6">
        <f>IFERROR(__xludf.DUMMYFUNCTION("""COMPUTED_VALUE"""),0.0)</f>
        <v>0</v>
      </c>
      <c r="M248" s="6">
        <f>IFERROR(__xludf.DUMMYFUNCTION("""COMPUTED_VALUE"""),1.0)</f>
        <v>1</v>
      </c>
      <c r="N248" s="6">
        <f>IFERROR(__xludf.DUMMYFUNCTION("""COMPUTED_VALUE"""),0.0)</f>
        <v>0</v>
      </c>
      <c r="O248" s="6">
        <f>IFERROR(__xludf.DUMMYFUNCTION("""COMPUTED_VALUE"""),1.0)</f>
        <v>1</v>
      </c>
      <c r="P248" s="6">
        <f>IFERROR(__xludf.DUMMYFUNCTION("""COMPUTED_VALUE"""),0.0)</f>
        <v>0</v>
      </c>
      <c r="Q248" s="6">
        <f>IFERROR(__xludf.DUMMYFUNCTION("""COMPUTED_VALUE"""),0.0)</f>
        <v>0</v>
      </c>
      <c r="R248" s="6">
        <f>IFERROR(__xludf.DUMMYFUNCTION("""COMPUTED_VALUE"""),0.0)</f>
        <v>0</v>
      </c>
      <c r="S248" s="6">
        <f>IFERROR(__xludf.DUMMYFUNCTION("""COMPUTED_VALUE"""),0.0)</f>
        <v>0</v>
      </c>
      <c r="T248" s="6">
        <f>IFERROR(__xludf.DUMMYFUNCTION("""COMPUTED_VALUE"""),0.0)</f>
        <v>0</v>
      </c>
      <c r="U248" s="6">
        <f>IFERROR(__xludf.DUMMYFUNCTION("""COMPUTED_VALUE"""),0.0)</f>
        <v>0</v>
      </c>
      <c r="V248" s="4">
        <f t="shared" ref="V248:X248" si="247">SUM(D248, G248, J248, M248, P248, S248)</f>
        <v>2</v>
      </c>
      <c r="W248" s="4">
        <f t="shared" si="247"/>
        <v>0</v>
      </c>
      <c r="X248" s="4">
        <f t="shared" si="247"/>
        <v>2</v>
      </c>
    </row>
    <row r="249">
      <c r="A249" s="4" t="str">
        <f>IFERROR(__xludf.DUMMYFUNCTION("""COMPUTED_VALUE"""),"Школа 1552")</f>
        <v>Школа 1552</v>
      </c>
      <c r="B249" s="4" t="str">
        <f t="array" ref="B249">IFERROR(INDEX('Адреса школ'!F:F, MATCH(A249, 'Адреса школ'!E:E, 0)), "")</f>
        <v>55.619605, 37.746597</v>
      </c>
      <c r="C249" s="5" t="str">
        <f t="array" ref="C249">IFERROR(INDEX('Топ-400'!A:A, MATCH(A249, 'Топ-400'!E:E, 0)), "Вне рейтинга")</f>
        <v>165</v>
      </c>
      <c r="D249" s="6">
        <f>IFERROR(__xludf.DUMMYFUNCTION("""COMPUTED_VALUE"""),1.0)</f>
        <v>1</v>
      </c>
      <c r="E249" s="6">
        <f>IFERROR(__xludf.DUMMYFUNCTION("""COMPUTED_VALUE"""),1.0)</f>
        <v>1</v>
      </c>
      <c r="F249" s="6">
        <f>IFERROR(__xludf.DUMMYFUNCTION("""COMPUTED_VALUE"""),1.0)</f>
        <v>1</v>
      </c>
      <c r="G249" s="6">
        <f>IFERROR(__xludf.DUMMYFUNCTION("""COMPUTED_VALUE"""),0.0)</f>
        <v>0</v>
      </c>
      <c r="H249" s="6">
        <f>IFERROR(__xludf.DUMMYFUNCTION("""COMPUTED_VALUE"""),0.0)</f>
        <v>0</v>
      </c>
      <c r="I249" s="6">
        <f>IFERROR(__xludf.DUMMYFUNCTION("""COMPUTED_VALUE"""),1.0)</f>
        <v>1</v>
      </c>
      <c r="J249" s="6">
        <f>IFERROR(__xludf.DUMMYFUNCTION("""COMPUTED_VALUE"""),0.0)</f>
        <v>0</v>
      </c>
      <c r="K249" s="6">
        <f>IFERROR(__xludf.DUMMYFUNCTION("""COMPUTED_VALUE"""),0.0)</f>
        <v>0</v>
      </c>
      <c r="L249" s="6">
        <f>IFERROR(__xludf.DUMMYFUNCTION("""COMPUTED_VALUE"""),0.0)</f>
        <v>0</v>
      </c>
      <c r="M249" s="6">
        <f>IFERROR(__xludf.DUMMYFUNCTION("""COMPUTED_VALUE"""),1.0)</f>
        <v>1</v>
      </c>
      <c r="N249" s="6">
        <f>IFERROR(__xludf.DUMMYFUNCTION("""COMPUTED_VALUE"""),1.0)</f>
        <v>1</v>
      </c>
      <c r="O249" s="6">
        <f>IFERROR(__xludf.DUMMYFUNCTION("""COMPUTED_VALUE"""),1.0)</f>
        <v>1</v>
      </c>
      <c r="P249" s="6">
        <f>IFERROR(__xludf.DUMMYFUNCTION("""COMPUTED_VALUE"""),1.0)</f>
        <v>1</v>
      </c>
      <c r="Q249" s="6">
        <f>IFERROR(__xludf.DUMMYFUNCTION("""COMPUTED_VALUE"""),1.0)</f>
        <v>1</v>
      </c>
      <c r="R249" s="6">
        <f>IFERROR(__xludf.DUMMYFUNCTION("""COMPUTED_VALUE"""),1.0)</f>
        <v>1</v>
      </c>
      <c r="S249" s="6">
        <f>IFERROR(__xludf.DUMMYFUNCTION("""COMPUTED_VALUE"""),0.0)</f>
        <v>0</v>
      </c>
      <c r="T249" s="6">
        <f>IFERROR(__xludf.DUMMYFUNCTION("""COMPUTED_VALUE"""),0.0)</f>
        <v>0</v>
      </c>
      <c r="U249" s="6">
        <f>IFERROR(__xludf.DUMMYFUNCTION("""COMPUTED_VALUE"""),0.0)</f>
        <v>0</v>
      </c>
      <c r="V249" s="4">
        <f t="shared" ref="V249:X249" si="248">SUM(D249, G249, J249, M249, P249, S249)</f>
        <v>3</v>
      </c>
      <c r="W249" s="4">
        <f t="shared" si="248"/>
        <v>3</v>
      </c>
      <c r="X249" s="4">
        <f t="shared" si="248"/>
        <v>4</v>
      </c>
    </row>
    <row r="250">
      <c r="A250" s="4" t="str">
        <f>IFERROR(__xludf.DUMMYFUNCTION("""COMPUTED_VALUE"""),"Школа 1553")</f>
        <v>Школа 1553</v>
      </c>
      <c r="B250" s="4" t="str">
        <f t="array" ref="B250">IFERROR(INDEX('Адреса школ'!F:F, MATCH(A250, 'Адреса школ'!E:E, 0)), "")</f>
        <v>55.721052, 37.649094</v>
      </c>
      <c r="C250" s="5" t="str">
        <f t="array" ref="C250">IFERROR(INDEX('Топ-400'!A:A, MATCH(A250, 'Топ-400'!E:E, 0)), "Вне рейтинга")</f>
        <v>164</v>
      </c>
      <c r="D250" s="6">
        <f>IFERROR(__xludf.DUMMYFUNCTION("""COMPUTED_VALUE"""),0.0)</f>
        <v>0</v>
      </c>
      <c r="E250" s="6">
        <f>IFERROR(__xludf.DUMMYFUNCTION("""COMPUTED_VALUE"""),0.0)</f>
        <v>0</v>
      </c>
      <c r="F250" s="6">
        <f>IFERROR(__xludf.DUMMYFUNCTION("""COMPUTED_VALUE"""),0.0)</f>
        <v>0</v>
      </c>
      <c r="G250" s="6">
        <f>IFERROR(__xludf.DUMMYFUNCTION("""COMPUTED_VALUE"""),1.0)</f>
        <v>1</v>
      </c>
      <c r="H250" s="6">
        <f>IFERROR(__xludf.DUMMYFUNCTION("""COMPUTED_VALUE"""),1.0)</f>
        <v>1</v>
      </c>
      <c r="I250" s="6">
        <f>IFERROR(__xludf.DUMMYFUNCTION("""COMPUTED_VALUE"""),1.0)</f>
        <v>1</v>
      </c>
      <c r="J250" s="6">
        <f>IFERROR(__xludf.DUMMYFUNCTION("""COMPUTED_VALUE"""),1.0)</f>
        <v>1</v>
      </c>
      <c r="K250" s="6">
        <f>IFERROR(__xludf.DUMMYFUNCTION("""COMPUTED_VALUE"""),0.0)</f>
        <v>0</v>
      </c>
      <c r="L250" s="6">
        <f>IFERROR(__xludf.DUMMYFUNCTION("""COMPUTED_VALUE"""),1.0)</f>
        <v>1</v>
      </c>
      <c r="M250" s="6">
        <f>IFERROR(__xludf.DUMMYFUNCTION("""COMPUTED_VALUE"""),0.0)</f>
        <v>0</v>
      </c>
      <c r="N250" s="6">
        <f>IFERROR(__xludf.DUMMYFUNCTION("""COMPUTED_VALUE"""),0.0)</f>
        <v>0</v>
      </c>
      <c r="O250" s="6">
        <f>IFERROR(__xludf.DUMMYFUNCTION("""COMPUTED_VALUE"""),1.0)</f>
        <v>1</v>
      </c>
      <c r="P250" s="6">
        <f>IFERROR(__xludf.DUMMYFUNCTION("""COMPUTED_VALUE"""),1.0)</f>
        <v>1</v>
      </c>
      <c r="Q250" s="6">
        <f>IFERROR(__xludf.DUMMYFUNCTION("""COMPUTED_VALUE"""),1.0)</f>
        <v>1</v>
      </c>
      <c r="R250" s="6">
        <f>IFERROR(__xludf.DUMMYFUNCTION("""COMPUTED_VALUE"""),1.0)</f>
        <v>1</v>
      </c>
      <c r="S250" s="6">
        <f>IFERROR(__xludf.DUMMYFUNCTION("""COMPUTED_VALUE"""),0.0)</f>
        <v>0</v>
      </c>
      <c r="T250" s="6">
        <f>IFERROR(__xludf.DUMMYFUNCTION("""COMPUTED_VALUE"""),0.0)</f>
        <v>0</v>
      </c>
      <c r="U250" s="6">
        <f>IFERROR(__xludf.DUMMYFUNCTION("""COMPUTED_VALUE"""),0.0)</f>
        <v>0</v>
      </c>
      <c r="V250" s="4">
        <f t="shared" ref="V250:X250" si="249">SUM(D250, G250, J250, M250, P250, S250)</f>
        <v>3</v>
      </c>
      <c r="W250" s="4">
        <f t="shared" si="249"/>
        <v>2</v>
      </c>
      <c r="X250" s="4">
        <f t="shared" si="249"/>
        <v>4</v>
      </c>
    </row>
    <row r="251">
      <c r="A251" s="4" t="str">
        <f>IFERROR(__xludf.DUMMYFUNCTION("""COMPUTED_VALUE"""),"Школа 1554")</f>
        <v>Школа 1554</v>
      </c>
      <c r="B251" s="4" t="str">
        <f t="array" ref="B251">IFERROR(INDEX('Адреса школ'!F:F, MATCH(A251, 'Адреса школ'!E:E, 0)), "")</f>
        <v>55.864455, 37.613485</v>
      </c>
      <c r="C251" s="5" t="str">
        <f t="array" ref="C251">IFERROR(INDEX('Топ-400'!A:A, MATCH(A251, 'Топ-400'!E:E, 0)), "Вне рейтинга")</f>
        <v>261</v>
      </c>
      <c r="D251" s="6">
        <f>IFERROR(__xludf.DUMMYFUNCTION("""COMPUTED_VALUE"""),0.0)</f>
        <v>0</v>
      </c>
      <c r="E251" s="6">
        <f>IFERROR(__xludf.DUMMYFUNCTION("""COMPUTED_VALUE"""),0.0)</f>
        <v>0</v>
      </c>
      <c r="F251" s="6">
        <f>IFERROR(__xludf.DUMMYFUNCTION("""COMPUTED_VALUE"""),0.0)</f>
        <v>0</v>
      </c>
      <c r="G251" s="6">
        <f>IFERROR(__xludf.DUMMYFUNCTION("""COMPUTED_VALUE"""),0.0)</f>
        <v>0</v>
      </c>
      <c r="H251" s="6">
        <f>IFERROR(__xludf.DUMMYFUNCTION("""COMPUTED_VALUE"""),0.0)</f>
        <v>0</v>
      </c>
      <c r="I251" s="6">
        <f>IFERROR(__xludf.DUMMYFUNCTION("""COMPUTED_VALUE"""),0.0)</f>
        <v>0</v>
      </c>
      <c r="J251" s="6">
        <f>IFERROR(__xludf.DUMMYFUNCTION("""COMPUTED_VALUE"""),1.0)</f>
        <v>1</v>
      </c>
      <c r="K251" s="6">
        <f>IFERROR(__xludf.DUMMYFUNCTION("""COMPUTED_VALUE"""),1.0)</f>
        <v>1</v>
      </c>
      <c r="L251" s="6">
        <f>IFERROR(__xludf.DUMMYFUNCTION("""COMPUTED_VALUE"""),1.0)</f>
        <v>1</v>
      </c>
      <c r="M251" s="6">
        <f>IFERROR(__xludf.DUMMYFUNCTION("""COMPUTED_VALUE"""),0.0)</f>
        <v>0</v>
      </c>
      <c r="N251" s="6">
        <f>IFERROR(__xludf.DUMMYFUNCTION("""COMPUTED_VALUE"""),0.0)</f>
        <v>0</v>
      </c>
      <c r="O251" s="6">
        <f>IFERROR(__xludf.DUMMYFUNCTION("""COMPUTED_VALUE"""),0.0)</f>
        <v>0</v>
      </c>
      <c r="P251" s="6">
        <f>IFERROR(__xludf.DUMMYFUNCTION("""COMPUTED_VALUE"""),0.0)</f>
        <v>0</v>
      </c>
      <c r="Q251" s="6">
        <f>IFERROR(__xludf.DUMMYFUNCTION("""COMPUTED_VALUE"""),0.0)</f>
        <v>0</v>
      </c>
      <c r="R251" s="6">
        <f>IFERROR(__xludf.DUMMYFUNCTION("""COMPUTED_VALUE"""),0.0)</f>
        <v>0</v>
      </c>
      <c r="S251" s="6">
        <f>IFERROR(__xludf.DUMMYFUNCTION("""COMPUTED_VALUE"""),0.0)</f>
        <v>0</v>
      </c>
      <c r="T251" s="6">
        <f>IFERROR(__xludf.DUMMYFUNCTION("""COMPUTED_VALUE"""),0.0)</f>
        <v>0</v>
      </c>
      <c r="U251" s="6">
        <f>IFERROR(__xludf.DUMMYFUNCTION("""COMPUTED_VALUE"""),0.0)</f>
        <v>0</v>
      </c>
      <c r="V251" s="4">
        <f t="shared" ref="V251:X251" si="250">SUM(D251, G251, J251, M251, P251, S251)</f>
        <v>1</v>
      </c>
      <c r="W251" s="4">
        <f t="shared" si="250"/>
        <v>1</v>
      </c>
      <c r="X251" s="4">
        <f t="shared" si="250"/>
        <v>1</v>
      </c>
    </row>
    <row r="252">
      <c r="A252" s="4" t="str">
        <f>IFERROR(__xludf.DUMMYFUNCTION("""COMPUTED_VALUE"""),"Школа 1557")</f>
        <v>Школа 1557</v>
      </c>
      <c r="B252" s="4" t="str">
        <f t="array" ref="B252">IFERROR(INDEX('Адреса школ'!F:F, MATCH(A252, 'Адреса школ'!E:E, 0)), "")</f>
        <v>55.99801, 37.231602</v>
      </c>
      <c r="C252" s="5" t="str">
        <f t="array" ref="C252">IFERROR(INDEX('Топ-400'!A:A, MATCH(A252, 'Топ-400'!E:E, 0)), "Вне рейтинга")</f>
        <v>34</v>
      </c>
      <c r="D252" s="6">
        <f>IFERROR(__xludf.DUMMYFUNCTION("""COMPUTED_VALUE"""),1.0)</f>
        <v>1</v>
      </c>
      <c r="E252" s="6">
        <f>IFERROR(__xludf.DUMMYFUNCTION("""COMPUTED_VALUE"""),1.0)</f>
        <v>1</v>
      </c>
      <c r="F252" s="6">
        <f>IFERROR(__xludf.DUMMYFUNCTION("""COMPUTED_VALUE"""),1.0)</f>
        <v>1</v>
      </c>
      <c r="G252" s="6">
        <f>IFERROR(__xludf.DUMMYFUNCTION("""COMPUTED_VALUE"""),1.0)</f>
        <v>1</v>
      </c>
      <c r="H252" s="6">
        <f>IFERROR(__xludf.DUMMYFUNCTION("""COMPUTED_VALUE"""),1.0)</f>
        <v>1</v>
      </c>
      <c r="I252" s="6">
        <f>IFERROR(__xludf.DUMMYFUNCTION("""COMPUTED_VALUE"""),1.0)</f>
        <v>1</v>
      </c>
      <c r="J252" s="6">
        <f>IFERROR(__xludf.DUMMYFUNCTION("""COMPUTED_VALUE"""),1.0)</f>
        <v>1</v>
      </c>
      <c r="K252" s="6">
        <f>IFERROR(__xludf.DUMMYFUNCTION("""COMPUTED_VALUE"""),1.0)</f>
        <v>1</v>
      </c>
      <c r="L252" s="6">
        <f>IFERROR(__xludf.DUMMYFUNCTION("""COMPUTED_VALUE"""),1.0)</f>
        <v>1</v>
      </c>
      <c r="M252" s="6">
        <f>IFERROR(__xludf.DUMMYFUNCTION("""COMPUTED_VALUE"""),1.0)</f>
        <v>1</v>
      </c>
      <c r="N252" s="6">
        <f>IFERROR(__xludf.DUMMYFUNCTION("""COMPUTED_VALUE"""),1.0)</f>
        <v>1</v>
      </c>
      <c r="O252" s="6">
        <f>IFERROR(__xludf.DUMMYFUNCTION("""COMPUTED_VALUE"""),1.0)</f>
        <v>1</v>
      </c>
      <c r="P252" s="6">
        <f>IFERROR(__xludf.DUMMYFUNCTION("""COMPUTED_VALUE"""),1.0)</f>
        <v>1</v>
      </c>
      <c r="Q252" s="6">
        <f>IFERROR(__xludf.DUMMYFUNCTION("""COMPUTED_VALUE"""),1.0)</f>
        <v>1</v>
      </c>
      <c r="R252" s="6">
        <f>IFERROR(__xludf.DUMMYFUNCTION("""COMPUTED_VALUE"""),1.0)</f>
        <v>1</v>
      </c>
      <c r="S252" s="6">
        <f>IFERROR(__xludf.DUMMYFUNCTION("""COMPUTED_VALUE"""),0.0)</f>
        <v>0</v>
      </c>
      <c r="T252" s="6">
        <f>IFERROR(__xludf.DUMMYFUNCTION("""COMPUTED_VALUE"""),0.0)</f>
        <v>0</v>
      </c>
      <c r="U252" s="6">
        <f>IFERROR(__xludf.DUMMYFUNCTION("""COMPUTED_VALUE"""),0.0)</f>
        <v>0</v>
      </c>
      <c r="V252" s="4">
        <f t="shared" ref="V252:X252" si="251">SUM(D252, G252, J252, M252, P252, S252)</f>
        <v>5</v>
      </c>
      <c r="W252" s="4">
        <f t="shared" si="251"/>
        <v>5</v>
      </c>
      <c r="X252" s="4">
        <f t="shared" si="251"/>
        <v>5</v>
      </c>
    </row>
    <row r="253">
      <c r="A253" s="4" t="str">
        <f>IFERROR(__xludf.DUMMYFUNCTION("""COMPUTED_VALUE"""),"Школа 1558")</f>
        <v>Школа 1558</v>
      </c>
      <c r="B253" s="4" t="str">
        <f t="array" ref="B253">IFERROR(INDEX('Адреса школ'!F:F, MATCH(A253, 'Адреса школ'!E:E, 0)), "")</f>
        <v>55.868203, 37.654035</v>
      </c>
      <c r="C253" s="5" t="str">
        <f t="array" ref="C253">IFERROR(INDEX('Топ-400'!A:A, MATCH(A253, 'Топ-400'!E:E, 0)), "Вне рейтинга")</f>
        <v>44</v>
      </c>
      <c r="D253" s="6">
        <f>IFERROR(__xludf.DUMMYFUNCTION("""COMPUTED_VALUE"""),0.0)</f>
        <v>0</v>
      </c>
      <c r="E253" s="6">
        <f>IFERROR(__xludf.DUMMYFUNCTION("""COMPUTED_VALUE"""),0.0)</f>
        <v>0</v>
      </c>
      <c r="F253" s="6">
        <f>IFERROR(__xludf.DUMMYFUNCTION("""COMPUTED_VALUE"""),1.0)</f>
        <v>1</v>
      </c>
      <c r="G253" s="6">
        <f>IFERROR(__xludf.DUMMYFUNCTION("""COMPUTED_VALUE"""),0.0)</f>
        <v>0</v>
      </c>
      <c r="H253" s="6">
        <f>IFERROR(__xludf.DUMMYFUNCTION("""COMPUTED_VALUE"""),0.0)</f>
        <v>0</v>
      </c>
      <c r="I253" s="6">
        <f>IFERROR(__xludf.DUMMYFUNCTION("""COMPUTED_VALUE"""),0.0)</f>
        <v>0</v>
      </c>
      <c r="J253" s="6">
        <f>IFERROR(__xludf.DUMMYFUNCTION("""COMPUTED_VALUE"""),0.0)</f>
        <v>0</v>
      </c>
      <c r="K253" s="6">
        <f>IFERROR(__xludf.DUMMYFUNCTION("""COMPUTED_VALUE"""),0.0)</f>
        <v>0</v>
      </c>
      <c r="L253" s="6">
        <f>IFERROR(__xludf.DUMMYFUNCTION("""COMPUTED_VALUE"""),0.0)</f>
        <v>0</v>
      </c>
      <c r="M253" s="6">
        <f>IFERROR(__xludf.DUMMYFUNCTION("""COMPUTED_VALUE"""),0.0)</f>
        <v>0</v>
      </c>
      <c r="N253" s="6">
        <f>IFERROR(__xludf.DUMMYFUNCTION("""COMPUTED_VALUE"""),0.0)</f>
        <v>0</v>
      </c>
      <c r="O253" s="6">
        <f>IFERROR(__xludf.DUMMYFUNCTION("""COMPUTED_VALUE"""),0.0)</f>
        <v>0</v>
      </c>
      <c r="P253" s="6">
        <f>IFERROR(__xludf.DUMMYFUNCTION("""COMPUTED_VALUE"""),1.0)</f>
        <v>1</v>
      </c>
      <c r="Q253" s="6">
        <f>IFERROR(__xludf.DUMMYFUNCTION("""COMPUTED_VALUE"""),1.0)</f>
        <v>1</v>
      </c>
      <c r="R253" s="6">
        <f>IFERROR(__xludf.DUMMYFUNCTION("""COMPUTED_VALUE"""),0.0)</f>
        <v>0</v>
      </c>
      <c r="S253" s="6">
        <f>IFERROR(__xludf.DUMMYFUNCTION("""COMPUTED_VALUE"""),0.0)</f>
        <v>0</v>
      </c>
      <c r="T253" s="6">
        <f>IFERROR(__xludf.DUMMYFUNCTION("""COMPUTED_VALUE"""),0.0)</f>
        <v>0</v>
      </c>
      <c r="U253" s="6">
        <f>IFERROR(__xludf.DUMMYFUNCTION("""COMPUTED_VALUE"""),0.0)</f>
        <v>0</v>
      </c>
      <c r="V253" s="4">
        <f t="shared" ref="V253:X253" si="252">SUM(D253, G253, J253, M253, P253, S253)</f>
        <v>1</v>
      </c>
      <c r="W253" s="4">
        <f t="shared" si="252"/>
        <v>1</v>
      </c>
      <c r="X253" s="4">
        <f t="shared" si="252"/>
        <v>1</v>
      </c>
    </row>
    <row r="254">
      <c r="A254" s="4" t="str">
        <f>IFERROR(__xludf.DUMMYFUNCTION("""COMPUTED_VALUE"""),"Школа 1560")</f>
        <v>Школа 1560</v>
      </c>
      <c r="B254" s="4" t="str">
        <f t="array" ref="B254">IFERROR(INDEX('Адреса школ'!F:F, MATCH(A254, 'Адреса школ'!E:E, 0)), "")</f>
        <v>55.780507, 37.48384</v>
      </c>
      <c r="C254" s="5" t="str">
        <f t="array" ref="C254">IFERROR(INDEX('Топ-400'!A:A, MATCH(A254, 'Топ-400'!E:E, 0)), "Вне рейтинга")</f>
        <v>272</v>
      </c>
      <c r="D254" s="6">
        <f>IFERROR(__xludf.DUMMYFUNCTION("""COMPUTED_VALUE"""),1.0)</f>
        <v>1</v>
      </c>
      <c r="E254" s="6">
        <f>IFERROR(__xludf.DUMMYFUNCTION("""COMPUTED_VALUE"""),1.0)</f>
        <v>1</v>
      </c>
      <c r="F254" s="6">
        <f>IFERROR(__xludf.DUMMYFUNCTION("""COMPUTED_VALUE"""),1.0)</f>
        <v>1</v>
      </c>
      <c r="G254" s="6">
        <f>IFERROR(__xludf.DUMMYFUNCTION("""COMPUTED_VALUE"""),1.0)</f>
        <v>1</v>
      </c>
      <c r="H254" s="6">
        <f>IFERROR(__xludf.DUMMYFUNCTION("""COMPUTED_VALUE"""),0.0)</f>
        <v>0</v>
      </c>
      <c r="I254" s="6">
        <f>IFERROR(__xludf.DUMMYFUNCTION("""COMPUTED_VALUE"""),1.0)</f>
        <v>1</v>
      </c>
      <c r="J254" s="6">
        <f>IFERROR(__xludf.DUMMYFUNCTION("""COMPUTED_VALUE"""),1.0)</f>
        <v>1</v>
      </c>
      <c r="K254" s="6">
        <f>IFERROR(__xludf.DUMMYFUNCTION("""COMPUTED_VALUE"""),1.0)</f>
        <v>1</v>
      </c>
      <c r="L254" s="6">
        <f>IFERROR(__xludf.DUMMYFUNCTION("""COMPUTED_VALUE"""),1.0)</f>
        <v>1</v>
      </c>
      <c r="M254" s="6">
        <f>IFERROR(__xludf.DUMMYFUNCTION("""COMPUTED_VALUE"""),1.0)</f>
        <v>1</v>
      </c>
      <c r="N254" s="6">
        <f>IFERROR(__xludf.DUMMYFUNCTION("""COMPUTED_VALUE"""),1.0)</f>
        <v>1</v>
      </c>
      <c r="O254" s="6">
        <f>IFERROR(__xludf.DUMMYFUNCTION("""COMPUTED_VALUE"""),1.0)</f>
        <v>1</v>
      </c>
      <c r="P254" s="6">
        <f>IFERROR(__xludf.DUMMYFUNCTION("""COMPUTED_VALUE"""),1.0)</f>
        <v>1</v>
      </c>
      <c r="Q254" s="6">
        <f>IFERROR(__xludf.DUMMYFUNCTION("""COMPUTED_VALUE"""),1.0)</f>
        <v>1</v>
      </c>
      <c r="R254" s="6">
        <f>IFERROR(__xludf.DUMMYFUNCTION("""COMPUTED_VALUE"""),1.0)</f>
        <v>1</v>
      </c>
      <c r="S254" s="6">
        <f>IFERROR(__xludf.DUMMYFUNCTION("""COMPUTED_VALUE"""),0.0)</f>
        <v>0</v>
      </c>
      <c r="T254" s="6">
        <f>IFERROR(__xludf.DUMMYFUNCTION("""COMPUTED_VALUE"""),0.0)</f>
        <v>0</v>
      </c>
      <c r="U254" s="6">
        <f>IFERROR(__xludf.DUMMYFUNCTION("""COMPUTED_VALUE"""),0.0)</f>
        <v>0</v>
      </c>
      <c r="V254" s="4">
        <f t="shared" ref="V254:X254" si="253">SUM(D254, G254, J254, M254, P254, S254)</f>
        <v>5</v>
      </c>
      <c r="W254" s="4">
        <f t="shared" si="253"/>
        <v>4</v>
      </c>
      <c r="X254" s="4">
        <f t="shared" si="253"/>
        <v>5</v>
      </c>
    </row>
    <row r="255">
      <c r="A255" s="4" t="str">
        <f>IFERROR(__xludf.DUMMYFUNCTION("""COMPUTED_VALUE"""),"Школа 1561")</f>
        <v>Школа 1561</v>
      </c>
      <c r="B255" s="4" t="str">
        <f t="array" ref="B255">IFERROR(INDEX('Адреса школ'!F:F, MATCH(A255, 'Адреса школ'!E:E, 0)), "")</f>
        <v>55.600689, 37.537254</v>
      </c>
      <c r="C255" s="5" t="str">
        <f t="array" ref="C255">IFERROR(INDEX('Топ-400'!A:A, MATCH(A255, 'Топ-400'!E:E, 0)), "Вне рейтинга")</f>
        <v>292</v>
      </c>
      <c r="D255" s="6">
        <f>IFERROR(__xludf.DUMMYFUNCTION("""COMPUTED_VALUE"""),1.0)</f>
        <v>1</v>
      </c>
      <c r="E255" s="6">
        <f>IFERROR(__xludf.DUMMYFUNCTION("""COMPUTED_VALUE"""),1.0)</f>
        <v>1</v>
      </c>
      <c r="F255" s="6">
        <f>IFERROR(__xludf.DUMMYFUNCTION("""COMPUTED_VALUE"""),1.0)</f>
        <v>1</v>
      </c>
      <c r="G255" s="6">
        <f>IFERROR(__xludf.DUMMYFUNCTION("""COMPUTED_VALUE"""),1.0)</f>
        <v>1</v>
      </c>
      <c r="H255" s="6">
        <f>IFERROR(__xludf.DUMMYFUNCTION("""COMPUTED_VALUE"""),1.0)</f>
        <v>1</v>
      </c>
      <c r="I255" s="6">
        <f>IFERROR(__xludf.DUMMYFUNCTION("""COMPUTED_VALUE"""),1.0)</f>
        <v>1</v>
      </c>
      <c r="J255" s="6">
        <f>IFERROR(__xludf.DUMMYFUNCTION("""COMPUTED_VALUE"""),1.0)</f>
        <v>1</v>
      </c>
      <c r="K255" s="6">
        <f>IFERROR(__xludf.DUMMYFUNCTION("""COMPUTED_VALUE"""),1.0)</f>
        <v>1</v>
      </c>
      <c r="L255" s="6">
        <f>IFERROR(__xludf.DUMMYFUNCTION("""COMPUTED_VALUE"""),1.0)</f>
        <v>1</v>
      </c>
      <c r="M255" s="6">
        <f>IFERROR(__xludf.DUMMYFUNCTION("""COMPUTED_VALUE"""),0.0)</f>
        <v>0</v>
      </c>
      <c r="N255" s="6">
        <f>IFERROR(__xludf.DUMMYFUNCTION("""COMPUTED_VALUE"""),0.0)</f>
        <v>0</v>
      </c>
      <c r="O255" s="6">
        <f>IFERROR(__xludf.DUMMYFUNCTION("""COMPUTED_VALUE"""),0.0)</f>
        <v>0</v>
      </c>
      <c r="P255" s="6">
        <f>IFERROR(__xludf.DUMMYFUNCTION("""COMPUTED_VALUE"""),0.0)</f>
        <v>0</v>
      </c>
      <c r="Q255" s="6">
        <f>IFERROR(__xludf.DUMMYFUNCTION("""COMPUTED_VALUE"""),0.0)</f>
        <v>0</v>
      </c>
      <c r="R255" s="6">
        <f>IFERROR(__xludf.DUMMYFUNCTION("""COMPUTED_VALUE"""),0.0)</f>
        <v>0</v>
      </c>
      <c r="S255" s="6">
        <f>IFERROR(__xludf.DUMMYFUNCTION("""COMPUTED_VALUE"""),0.0)</f>
        <v>0</v>
      </c>
      <c r="T255" s="6">
        <f>IFERROR(__xludf.DUMMYFUNCTION("""COMPUTED_VALUE"""),0.0)</f>
        <v>0</v>
      </c>
      <c r="U255" s="6">
        <f>IFERROR(__xludf.DUMMYFUNCTION("""COMPUTED_VALUE"""),0.0)</f>
        <v>0</v>
      </c>
      <c r="V255" s="4">
        <f t="shared" ref="V255:X255" si="254">SUM(D255, G255, J255, M255, P255, S255)</f>
        <v>3</v>
      </c>
      <c r="W255" s="4">
        <f t="shared" si="254"/>
        <v>3</v>
      </c>
      <c r="X255" s="4">
        <f t="shared" si="254"/>
        <v>3</v>
      </c>
    </row>
    <row r="256">
      <c r="A256" s="4" t="str">
        <f>IFERROR(__xludf.DUMMYFUNCTION("""COMPUTED_VALUE"""),"Школа 1564")</f>
        <v>Школа 1564</v>
      </c>
      <c r="B256" s="4" t="str">
        <f t="array" ref="B256">IFERROR(INDEX('Адреса школ'!F:F, MATCH(A256, 'Адреса школ'!E:E, 0)), "")</f>
        <v>55.830255, 37.360466</v>
      </c>
      <c r="C256" s="5" t="str">
        <f t="array" ref="C256">IFERROR(INDEX('Топ-400'!A:A, MATCH(A256, 'Топ-400'!E:E, 0)), "Вне рейтинга")</f>
        <v>118</v>
      </c>
      <c r="D256" s="6">
        <f>IFERROR(__xludf.DUMMYFUNCTION("""COMPUTED_VALUE"""),1.0)</f>
        <v>1</v>
      </c>
      <c r="E256" s="6">
        <f>IFERROR(__xludf.DUMMYFUNCTION("""COMPUTED_VALUE"""),1.0)</f>
        <v>1</v>
      </c>
      <c r="F256" s="6">
        <f>IFERROR(__xludf.DUMMYFUNCTION("""COMPUTED_VALUE"""),1.0)</f>
        <v>1</v>
      </c>
      <c r="G256" s="6">
        <f>IFERROR(__xludf.DUMMYFUNCTION("""COMPUTED_VALUE"""),1.0)</f>
        <v>1</v>
      </c>
      <c r="H256" s="6">
        <f>IFERROR(__xludf.DUMMYFUNCTION("""COMPUTED_VALUE"""),0.0)</f>
        <v>0</v>
      </c>
      <c r="I256" s="6">
        <f>IFERROR(__xludf.DUMMYFUNCTION("""COMPUTED_VALUE"""),1.0)</f>
        <v>1</v>
      </c>
      <c r="J256" s="6">
        <f>IFERROR(__xludf.DUMMYFUNCTION("""COMPUTED_VALUE"""),1.0)</f>
        <v>1</v>
      </c>
      <c r="K256" s="6">
        <f>IFERROR(__xludf.DUMMYFUNCTION("""COMPUTED_VALUE"""),1.0)</f>
        <v>1</v>
      </c>
      <c r="L256" s="6">
        <f>IFERROR(__xludf.DUMMYFUNCTION("""COMPUTED_VALUE"""),1.0)</f>
        <v>1</v>
      </c>
      <c r="M256" s="6">
        <f>IFERROR(__xludf.DUMMYFUNCTION("""COMPUTED_VALUE"""),0.0)</f>
        <v>0</v>
      </c>
      <c r="N256" s="6">
        <f>IFERROR(__xludf.DUMMYFUNCTION("""COMPUTED_VALUE"""),0.0)</f>
        <v>0</v>
      </c>
      <c r="O256" s="6">
        <f>IFERROR(__xludf.DUMMYFUNCTION("""COMPUTED_VALUE"""),0.0)</f>
        <v>0</v>
      </c>
      <c r="P256" s="6">
        <f>IFERROR(__xludf.DUMMYFUNCTION("""COMPUTED_VALUE"""),1.0)</f>
        <v>1</v>
      </c>
      <c r="Q256" s="6">
        <f>IFERROR(__xludf.DUMMYFUNCTION("""COMPUTED_VALUE"""),1.0)</f>
        <v>1</v>
      </c>
      <c r="R256" s="6">
        <f>IFERROR(__xludf.DUMMYFUNCTION("""COMPUTED_VALUE"""),0.0)</f>
        <v>0</v>
      </c>
      <c r="S256" s="6">
        <f>IFERROR(__xludf.DUMMYFUNCTION("""COMPUTED_VALUE"""),0.0)</f>
        <v>0</v>
      </c>
      <c r="T256" s="6">
        <f>IFERROR(__xludf.DUMMYFUNCTION("""COMPUTED_VALUE"""),0.0)</f>
        <v>0</v>
      </c>
      <c r="U256" s="6">
        <f>IFERROR(__xludf.DUMMYFUNCTION("""COMPUTED_VALUE"""),0.0)</f>
        <v>0</v>
      </c>
      <c r="V256" s="4">
        <f t="shared" ref="V256:X256" si="255">SUM(D256, G256, J256, M256, P256, S256)</f>
        <v>4</v>
      </c>
      <c r="W256" s="4">
        <f t="shared" si="255"/>
        <v>3</v>
      </c>
      <c r="X256" s="4">
        <f t="shared" si="255"/>
        <v>3</v>
      </c>
    </row>
    <row r="257">
      <c r="A257" s="4" t="str">
        <f>IFERROR(__xludf.DUMMYFUNCTION("""COMPUTED_VALUE"""),"Школа 1566")</f>
        <v>Школа 1566</v>
      </c>
      <c r="B257" s="4" t="str">
        <f t="array" ref="B257">IFERROR(INDEX('Адреса школ'!F:F, MATCH(A257, 'Адреса школ'!E:E, 0)), "")</f>
        <v>55.647676, 37.74869</v>
      </c>
      <c r="C257" s="5" t="str">
        <f t="array" ref="C257">IFERROR(INDEX('Топ-400'!A:A, MATCH(A257, 'Топ-400'!E:E, 0)), "Вне рейтинга")</f>
        <v>139</v>
      </c>
      <c r="D257" s="6">
        <f>IFERROR(__xludf.DUMMYFUNCTION("""COMPUTED_VALUE"""),0.0)</f>
        <v>0</v>
      </c>
      <c r="E257" s="6">
        <f>IFERROR(__xludf.DUMMYFUNCTION("""COMPUTED_VALUE"""),0.0)</f>
        <v>0</v>
      </c>
      <c r="F257" s="6">
        <f>IFERROR(__xludf.DUMMYFUNCTION("""COMPUTED_VALUE"""),0.0)</f>
        <v>0</v>
      </c>
      <c r="G257" s="6">
        <f>IFERROR(__xludf.DUMMYFUNCTION("""COMPUTED_VALUE"""),0.0)</f>
        <v>0</v>
      </c>
      <c r="H257" s="6">
        <f>IFERROR(__xludf.DUMMYFUNCTION("""COMPUTED_VALUE"""),0.0)</f>
        <v>0</v>
      </c>
      <c r="I257" s="6">
        <f>IFERROR(__xludf.DUMMYFUNCTION("""COMPUTED_VALUE"""),0.0)</f>
        <v>0</v>
      </c>
      <c r="J257" s="6">
        <f>IFERROR(__xludf.DUMMYFUNCTION("""COMPUTED_VALUE"""),1.0)</f>
        <v>1</v>
      </c>
      <c r="K257" s="6">
        <f>IFERROR(__xludf.DUMMYFUNCTION("""COMPUTED_VALUE"""),1.0)</f>
        <v>1</v>
      </c>
      <c r="L257" s="6">
        <f>IFERROR(__xludf.DUMMYFUNCTION("""COMPUTED_VALUE"""),1.0)</f>
        <v>1</v>
      </c>
      <c r="M257" s="6">
        <f>IFERROR(__xludf.DUMMYFUNCTION("""COMPUTED_VALUE"""),1.0)</f>
        <v>1</v>
      </c>
      <c r="N257" s="6">
        <f>IFERROR(__xludf.DUMMYFUNCTION("""COMPUTED_VALUE"""),1.0)</f>
        <v>1</v>
      </c>
      <c r="O257" s="6">
        <f>IFERROR(__xludf.DUMMYFUNCTION("""COMPUTED_VALUE"""),1.0)</f>
        <v>1</v>
      </c>
      <c r="P257" s="6">
        <f>IFERROR(__xludf.DUMMYFUNCTION("""COMPUTED_VALUE"""),1.0)</f>
        <v>1</v>
      </c>
      <c r="Q257" s="6">
        <f>IFERROR(__xludf.DUMMYFUNCTION("""COMPUTED_VALUE"""),1.0)</f>
        <v>1</v>
      </c>
      <c r="R257" s="6">
        <f>IFERROR(__xludf.DUMMYFUNCTION("""COMPUTED_VALUE"""),1.0)</f>
        <v>1</v>
      </c>
      <c r="S257" s="6">
        <f>IFERROR(__xludf.DUMMYFUNCTION("""COMPUTED_VALUE"""),0.0)</f>
        <v>0</v>
      </c>
      <c r="T257" s="6">
        <f>IFERROR(__xludf.DUMMYFUNCTION("""COMPUTED_VALUE"""),0.0)</f>
        <v>0</v>
      </c>
      <c r="U257" s="6">
        <f>IFERROR(__xludf.DUMMYFUNCTION("""COMPUTED_VALUE"""),0.0)</f>
        <v>0</v>
      </c>
      <c r="V257" s="4">
        <f t="shared" ref="V257:X257" si="256">SUM(D257, G257, J257, M257, P257, S257)</f>
        <v>3</v>
      </c>
      <c r="W257" s="4">
        <f t="shared" si="256"/>
        <v>3</v>
      </c>
      <c r="X257" s="4">
        <f t="shared" si="256"/>
        <v>3</v>
      </c>
    </row>
    <row r="258">
      <c r="A258" s="4" t="str">
        <f>IFERROR(__xludf.DUMMYFUNCTION("""COMPUTED_VALUE"""),"Школа 1568")</f>
        <v>Школа 1568</v>
      </c>
      <c r="B258" s="4" t="str">
        <f t="array" ref="B258">IFERROR(INDEX('Адреса школ'!F:F, MATCH(A258, 'Адреса школ'!E:E, 0)), "")</f>
        <v>55.874521, 37.642887</v>
      </c>
      <c r="C258" s="5" t="str">
        <f t="array" ref="C258">IFERROR(INDEX('Топ-400'!A:A, MATCH(A258, 'Топ-400'!E:E, 0)), "Вне рейтинга")</f>
        <v>7</v>
      </c>
      <c r="D258" s="6">
        <f>IFERROR(__xludf.DUMMYFUNCTION("""COMPUTED_VALUE"""),1.0)</f>
        <v>1</v>
      </c>
      <c r="E258" s="6">
        <f>IFERROR(__xludf.DUMMYFUNCTION("""COMPUTED_VALUE"""),0.0)</f>
        <v>0</v>
      </c>
      <c r="F258" s="6">
        <f>IFERROR(__xludf.DUMMYFUNCTION("""COMPUTED_VALUE"""),1.0)</f>
        <v>1</v>
      </c>
      <c r="G258" s="6">
        <f>IFERROR(__xludf.DUMMYFUNCTION("""COMPUTED_VALUE"""),0.0)</f>
        <v>0</v>
      </c>
      <c r="H258" s="6">
        <f>IFERROR(__xludf.DUMMYFUNCTION("""COMPUTED_VALUE"""),0.0)</f>
        <v>0</v>
      </c>
      <c r="I258" s="6">
        <f>IFERROR(__xludf.DUMMYFUNCTION("""COMPUTED_VALUE"""),0.0)</f>
        <v>0</v>
      </c>
      <c r="J258" s="6">
        <f>IFERROR(__xludf.DUMMYFUNCTION("""COMPUTED_VALUE"""),1.0)</f>
        <v>1</v>
      </c>
      <c r="K258" s="6">
        <f>IFERROR(__xludf.DUMMYFUNCTION("""COMPUTED_VALUE"""),1.0)</f>
        <v>1</v>
      </c>
      <c r="L258" s="6">
        <f>IFERROR(__xludf.DUMMYFUNCTION("""COMPUTED_VALUE"""),1.0)</f>
        <v>1</v>
      </c>
      <c r="M258" s="6">
        <f>IFERROR(__xludf.DUMMYFUNCTION("""COMPUTED_VALUE"""),0.0)</f>
        <v>0</v>
      </c>
      <c r="N258" s="6">
        <f>IFERROR(__xludf.DUMMYFUNCTION("""COMPUTED_VALUE"""),0.0)</f>
        <v>0</v>
      </c>
      <c r="O258" s="6">
        <f>IFERROR(__xludf.DUMMYFUNCTION("""COMPUTED_VALUE"""),0.0)</f>
        <v>0</v>
      </c>
      <c r="P258" s="6">
        <f>IFERROR(__xludf.DUMMYFUNCTION("""COMPUTED_VALUE"""),0.0)</f>
        <v>0</v>
      </c>
      <c r="Q258" s="6">
        <f>IFERROR(__xludf.DUMMYFUNCTION("""COMPUTED_VALUE"""),0.0)</f>
        <v>0</v>
      </c>
      <c r="R258" s="6">
        <f>IFERROR(__xludf.DUMMYFUNCTION("""COMPUTED_VALUE"""),0.0)</f>
        <v>0</v>
      </c>
      <c r="S258" s="6">
        <f>IFERROR(__xludf.DUMMYFUNCTION("""COMPUTED_VALUE"""),0.0)</f>
        <v>0</v>
      </c>
      <c r="T258" s="6">
        <f>IFERROR(__xludf.DUMMYFUNCTION("""COMPUTED_VALUE"""),0.0)</f>
        <v>0</v>
      </c>
      <c r="U258" s="6">
        <f>IFERROR(__xludf.DUMMYFUNCTION("""COMPUTED_VALUE"""),0.0)</f>
        <v>0</v>
      </c>
      <c r="V258" s="4">
        <f t="shared" ref="V258:X258" si="257">SUM(D258, G258, J258, M258, P258, S258)</f>
        <v>2</v>
      </c>
      <c r="W258" s="4">
        <f t="shared" si="257"/>
        <v>1</v>
      </c>
      <c r="X258" s="4">
        <f t="shared" si="257"/>
        <v>2</v>
      </c>
    </row>
    <row r="259">
      <c r="A259" s="4" t="str">
        <f>IFERROR(__xludf.DUMMYFUNCTION("""COMPUTED_VALUE"""),"Школа 1569")</f>
        <v>Школа 1569</v>
      </c>
      <c r="B259" s="4" t="str">
        <f t="array" ref="B259">IFERROR(INDEX('Адреса школ'!F:F, MATCH(A259, 'Адреса школ'!E:E, 0)), "")</f>
        <v>55.617159, 37.738827</v>
      </c>
      <c r="C259" s="5" t="str">
        <f t="array" ref="C259">IFERROR(INDEX('Топ-400'!A:A, MATCH(A259, 'Топ-400'!E:E, 0)), "Вне рейтинга")</f>
        <v>166</v>
      </c>
      <c r="D259" s="6">
        <f>IFERROR(__xludf.DUMMYFUNCTION("""COMPUTED_VALUE"""),1.0)</f>
        <v>1</v>
      </c>
      <c r="E259" s="6">
        <f>IFERROR(__xludf.DUMMYFUNCTION("""COMPUTED_VALUE"""),1.0)</f>
        <v>1</v>
      </c>
      <c r="F259" s="6">
        <f>IFERROR(__xludf.DUMMYFUNCTION("""COMPUTED_VALUE"""),1.0)</f>
        <v>1</v>
      </c>
      <c r="G259" s="6">
        <f>IFERROR(__xludf.DUMMYFUNCTION("""COMPUTED_VALUE"""),1.0)</f>
        <v>1</v>
      </c>
      <c r="H259" s="6">
        <f>IFERROR(__xludf.DUMMYFUNCTION("""COMPUTED_VALUE"""),0.0)</f>
        <v>0</v>
      </c>
      <c r="I259" s="6">
        <f>IFERROR(__xludf.DUMMYFUNCTION("""COMPUTED_VALUE"""),1.0)</f>
        <v>1</v>
      </c>
      <c r="J259" s="6">
        <f>IFERROR(__xludf.DUMMYFUNCTION("""COMPUTED_VALUE"""),0.0)</f>
        <v>0</v>
      </c>
      <c r="K259" s="6">
        <f>IFERROR(__xludf.DUMMYFUNCTION("""COMPUTED_VALUE"""),0.0)</f>
        <v>0</v>
      </c>
      <c r="L259" s="6">
        <f>IFERROR(__xludf.DUMMYFUNCTION("""COMPUTED_VALUE"""),0.0)</f>
        <v>0</v>
      </c>
      <c r="M259" s="6">
        <f>IFERROR(__xludf.DUMMYFUNCTION("""COMPUTED_VALUE"""),1.0)</f>
        <v>1</v>
      </c>
      <c r="N259" s="6">
        <f>IFERROR(__xludf.DUMMYFUNCTION("""COMPUTED_VALUE"""),1.0)</f>
        <v>1</v>
      </c>
      <c r="O259" s="6">
        <f>IFERROR(__xludf.DUMMYFUNCTION("""COMPUTED_VALUE"""),1.0)</f>
        <v>1</v>
      </c>
      <c r="P259" s="6">
        <f>IFERROR(__xludf.DUMMYFUNCTION("""COMPUTED_VALUE"""),0.0)</f>
        <v>0</v>
      </c>
      <c r="Q259" s="6">
        <f>IFERROR(__xludf.DUMMYFUNCTION("""COMPUTED_VALUE"""),0.0)</f>
        <v>0</v>
      </c>
      <c r="R259" s="6">
        <f>IFERROR(__xludf.DUMMYFUNCTION("""COMPUTED_VALUE"""),0.0)</f>
        <v>0</v>
      </c>
      <c r="S259" s="6">
        <f>IFERROR(__xludf.DUMMYFUNCTION("""COMPUTED_VALUE"""),0.0)</f>
        <v>0</v>
      </c>
      <c r="T259" s="6">
        <f>IFERROR(__xludf.DUMMYFUNCTION("""COMPUTED_VALUE"""),0.0)</f>
        <v>0</v>
      </c>
      <c r="U259" s="6">
        <f>IFERROR(__xludf.DUMMYFUNCTION("""COMPUTED_VALUE"""),0.0)</f>
        <v>0</v>
      </c>
      <c r="V259" s="4">
        <f t="shared" ref="V259:X259" si="258">SUM(D259, G259, J259, M259, P259, S259)</f>
        <v>3</v>
      </c>
      <c r="W259" s="4">
        <f t="shared" si="258"/>
        <v>2</v>
      </c>
      <c r="X259" s="4">
        <f t="shared" si="258"/>
        <v>3</v>
      </c>
    </row>
    <row r="260">
      <c r="A260" s="4" t="str">
        <f>IFERROR(__xludf.DUMMYFUNCTION("""COMPUTED_VALUE"""),"Школа 1570")</f>
        <v>Школа 1570</v>
      </c>
      <c r="B260" s="4" t="str">
        <f t="array" ref="B260">IFERROR(INDEX('Адреса школ'!F:F, MATCH(A260, 'Адреса школ'!E:E, 0)), "")</f>
        <v>55.789203, 37.577013</v>
      </c>
      <c r="C260" s="5" t="str">
        <f t="array" ref="C260">IFERROR(INDEX('Топ-400'!A:A, MATCH(A260, 'Топ-400'!E:E, 0)), "Вне рейтинга")</f>
        <v>95</v>
      </c>
      <c r="D260" s="6">
        <f>IFERROR(__xludf.DUMMYFUNCTION("""COMPUTED_VALUE"""),0.0)</f>
        <v>0</v>
      </c>
      <c r="E260" s="6">
        <f>IFERROR(__xludf.DUMMYFUNCTION("""COMPUTED_VALUE"""),0.0)</f>
        <v>0</v>
      </c>
      <c r="F260" s="6">
        <f>IFERROR(__xludf.DUMMYFUNCTION("""COMPUTED_VALUE"""),0.0)</f>
        <v>0</v>
      </c>
      <c r="G260" s="6">
        <f>IFERROR(__xludf.DUMMYFUNCTION("""COMPUTED_VALUE"""),0.0)</f>
        <v>0</v>
      </c>
      <c r="H260" s="6">
        <f>IFERROR(__xludf.DUMMYFUNCTION("""COMPUTED_VALUE"""),0.0)</f>
        <v>0</v>
      </c>
      <c r="I260" s="6">
        <f>IFERROR(__xludf.DUMMYFUNCTION("""COMPUTED_VALUE"""),0.0)</f>
        <v>0</v>
      </c>
      <c r="J260" s="6">
        <f>IFERROR(__xludf.DUMMYFUNCTION("""COMPUTED_VALUE"""),0.0)</f>
        <v>0</v>
      </c>
      <c r="K260" s="6">
        <f>IFERROR(__xludf.DUMMYFUNCTION("""COMPUTED_VALUE"""),0.0)</f>
        <v>0</v>
      </c>
      <c r="L260" s="6">
        <f>IFERROR(__xludf.DUMMYFUNCTION("""COMPUTED_VALUE"""),1.0)</f>
        <v>1</v>
      </c>
      <c r="M260" s="6">
        <f>IFERROR(__xludf.DUMMYFUNCTION("""COMPUTED_VALUE"""),1.0)</f>
        <v>1</v>
      </c>
      <c r="N260" s="6">
        <f>IFERROR(__xludf.DUMMYFUNCTION("""COMPUTED_VALUE"""),1.0)</f>
        <v>1</v>
      </c>
      <c r="O260" s="6">
        <f>IFERROR(__xludf.DUMMYFUNCTION("""COMPUTED_VALUE"""),1.0)</f>
        <v>1</v>
      </c>
      <c r="P260" s="6">
        <f>IFERROR(__xludf.DUMMYFUNCTION("""COMPUTED_VALUE"""),1.0)</f>
        <v>1</v>
      </c>
      <c r="Q260" s="6">
        <f>IFERROR(__xludf.DUMMYFUNCTION("""COMPUTED_VALUE"""),1.0)</f>
        <v>1</v>
      </c>
      <c r="R260" s="6">
        <f>IFERROR(__xludf.DUMMYFUNCTION("""COMPUTED_VALUE"""),1.0)</f>
        <v>1</v>
      </c>
      <c r="S260" s="6">
        <f>IFERROR(__xludf.DUMMYFUNCTION("""COMPUTED_VALUE"""),0.0)</f>
        <v>0</v>
      </c>
      <c r="T260" s="6">
        <f>IFERROR(__xludf.DUMMYFUNCTION("""COMPUTED_VALUE"""),0.0)</f>
        <v>0</v>
      </c>
      <c r="U260" s="6">
        <f>IFERROR(__xludf.DUMMYFUNCTION("""COMPUTED_VALUE"""),0.0)</f>
        <v>0</v>
      </c>
      <c r="V260" s="4">
        <f t="shared" ref="V260:X260" si="259">SUM(D260, G260, J260, M260, P260, S260)</f>
        <v>2</v>
      </c>
      <c r="W260" s="4">
        <f t="shared" si="259"/>
        <v>2</v>
      </c>
      <c r="X260" s="4">
        <f t="shared" si="259"/>
        <v>3</v>
      </c>
    </row>
    <row r="261">
      <c r="A261" s="4" t="str">
        <f>IFERROR(__xludf.DUMMYFUNCTION("""COMPUTED_VALUE"""),"Школа 1571")</f>
        <v>Школа 1571</v>
      </c>
      <c r="B261" s="4" t="str">
        <f t="array" ref="B261">IFERROR(INDEX('Адреса школ'!F:F, MATCH(A261, 'Адреса школ'!E:E, 0)), "")</f>
        <v>55.85676, 37.444108</v>
      </c>
      <c r="C261" s="5" t="str">
        <f t="array" ref="C261">IFERROR(INDEX('Топ-400'!A:A, MATCH(A261, 'Топ-400'!E:E, 0)), "Вне рейтинга")</f>
        <v>51</v>
      </c>
      <c r="D261" s="6">
        <f>IFERROR(__xludf.DUMMYFUNCTION("""COMPUTED_VALUE"""),1.0)</f>
        <v>1</v>
      </c>
      <c r="E261" s="6">
        <f>IFERROR(__xludf.DUMMYFUNCTION("""COMPUTED_VALUE"""),1.0)</f>
        <v>1</v>
      </c>
      <c r="F261" s="6">
        <f>IFERROR(__xludf.DUMMYFUNCTION("""COMPUTED_VALUE"""),1.0)</f>
        <v>1</v>
      </c>
      <c r="G261" s="6">
        <f>IFERROR(__xludf.DUMMYFUNCTION("""COMPUTED_VALUE"""),1.0)</f>
        <v>1</v>
      </c>
      <c r="H261" s="6">
        <f>IFERROR(__xludf.DUMMYFUNCTION("""COMPUTED_VALUE"""),1.0)</f>
        <v>1</v>
      </c>
      <c r="I261" s="6">
        <f>IFERROR(__xludf.DUMMYFUNCTION("""COMPUTED_VALUE"""),1.0)</f>
        <v>1</v>
      </c>
      <c r="J261" s="6">
        <f>IFERROR(__xludf.DUMMYFUNCTION("""COMPUTED_VALUE"""),1.0)</f>
        <v>1</v>
      </c>
      <c r="K261" s="6">
        <f>IFERROR(__xludf.DUMMYFUNCTION("""COMPUTED_VALUE"""),1.0)</f>
        <v>1</v>
      </c>
      <c r="L261" s="6">
        <f>IFERROR(__xludf.DUMMYFUNCTION("""COMPUTED_VALUE"""),1.0)</f>
        <v>1</v>
      </c>
      <c r="M261" s="6">
        <f>IFERROR(__xludf.DUMMYFUNCTION("""COMPUTED_VALUE"""),0.0)</f>
        <v>0</v>
      </c>
      <c r="N261" s="6">
        <f>IFERROR(__xludf.DUMMYFUNCTION("""COMPUTED_VALUE"""),0.0)</f>
        <v>0</v>
      </c>
      <c r="O261" s="6">
        <f>IFERROR(__xludf.DUMMYFUNCTION("""COMPUTED_VALUE"""),0.0)</f>
        <v>0</v>
      </c>
      <c r="P261" s="6">
        <f>IFERROR(__xludf.DUMMYFUNCTION("""COMPUTED_VALUE"""),1.0)</f>
        <v>1</v>
      </c>
      <c r="Q261" s="6">
        <f>IFERROR(__xludf.DUMMYFUNCTION("""COMPUTED_VALUE"""),1.0)</f>
        <v>1</v>
      </c>
      <c r="R261" s="6">
        <f>IFERROR(__xludf.DUMMYFUNCTION("""COMPUTED_VALUE"""),1.0)</f>
        <v>1</v>
      </c>
      <c r="S261" s="6">
        <f>IFERROR(__xludf.DUMMYFUNCTION("""COMPUTED_VALUE"""),0.0)</f>
        <v>0</v>
      </c>
      <c r="T261" s="6">
        <f>IFERROR(__xludf.DUMMYFUNCTION("""COMPUTED_VALUE"""),0.0)</f>
        <v>0</v>
      </c>
      <c r="U261" s="6">
        <f>IFERROR(__xludf.DUMMYFUNCTION("""COMPUTED_VALUE"""),0.0)</f>
        <v>0</v>
      </c>
      <c r="V261" s="4">
        <f t="shared" ref="V261:X261" si="260">SUM(D261, G261, J261, M261, P261, S261)</f>
        <v>4</v>
      </c>
      <c r="W261" s="4">
        <f t="shared" si="260"/>
        <v>4</v>
      </c>
      <c r="X261" s="4">
        <f t="shared" si="260"/>
        <v>4</v>
      </c>
    </row>
    <row r="262">
      <c r="A262" s="4" t="str">
        <f>IFERROR(__xludf.DUMMYFUNCTION("""COMPUTED_VALUE"""),"Школа 1573")</f>
        <v>Школа 1573</v>
      </c>
      <c r="B262" s="4" t="str">
        <f t="array" ref="B262">IFERROR(INDEX('Адреса школ'!F:F, MATCH(A262, 'Адреса школ'!E:E, 0)), "")</f>
        <v>55.906547, 37.552948</v>
      </c>
      <c r="C262" s="5" t="str">
        <f t="array" ref="C262">IFERROR(INDEX('Топ-400'!A:A, MATCH(A262, 'Топ-400'!E:E, 0)), "Вне рейтинга")</f>
        <v>110</v>
      </c>
      <c r="D262" s="6">
        <f>IFERROR(__xludf.DUMMYFUNCTION("""COMPUTED_VALUE"""),1.0)</f>
        <v>1</v>
      </c>
      <c r="E262" s="6">
        <f>IFERROR(__xludf.DUMMYFUNCTION("""COMPUTED_VALUE"""),0.0)</f>
        <v>0</v>
      </c>
      <c r="F262" s="6">
        <f>IFERROR(__xludf.DUMMYFUNCTION("""COMPUTED_VALUE"""),0.0)</f>
        <v>0</v>
      </c>
      <c r="G262" s="6">
        <f>IFERROR(__xludf.DUMMYFUNCTION("""COMPUTED_VALUE"""),1.0)</f>
        <v>1</v>
      </c>
      <c r="H262" s="6">
        <f>IFERROR(__xludf.DUMMYFUNCTION("""COMPUTED_VALUE"""),1.0)</f>
        <v>1</v>
      </c>
      <c r="I262" s="6">
        <f>IFERROR(__xludf.DUMMYFUNCTION("""COMPUTED_VALUE"""),1.0)</f>
        <v>1</v>
      </c>
      <c r="J262" s="6">
        <f>IFERROR(__xludf.DUMMYFUNCTION("""COMPUTED_VALUE"""),1.0)</f>
        <v>1</v>
      </c>
      <c r="K262" s="6">
        <f>IFERROR(__xludf.DUMMYFUNCTION("""COMPUTED_VALUE"""),1.0)</f>
        <v>1</v>
      </c>
      <c r="L262" s="6">
        <f>IFERROR(__xludf.DUMMYFUNCTION("""COMPUTED_VALUE"""),1.0)</f>
        <v>1</v>
      </c>
      <c r="M262" s="6">
        <f>IFERROR(__xludf.DUMMYFUNCTION("""COMPUTED_VALUE"""),0.0)</f>
        <v>0</v>
      </c>
      <c r="N262" s="6">
        <f>IFERROR(__xludf.DUMMYFUNCTION("""COMPUTED_VALUE"""),0.0)</f>
        <v>0</v>
      </c>
      <c r="O262" s="6">
        <f>IFERROR(__xludf.DUMMYFUNCTION("""COMPUTED_VALUE"""),0.0)</f>
        <v>0</v>
      </c>
      <c r="P262" s="6">
        <f>IFERROR(__xludf.DUMMYFUNCTION("""COMPUTED_VALUE"""),0.0)</f>
        <v>0</v>
      </c>
      <c r="Q262" s="6">
        <f>IFERROR(__xludf.DUMMYFUNCTION("""COMPUTED_VALUE"""),0.0)</f>
        <v>0</v>
      </c>
      <c r="R262" s="6">
        <f>IFERROR(__xludf.DUMMYFUNCTION("""COMPUTED_VALUE"""),0.0)</f>
        <v>0</v>
      </c>
      <c r="S262" s="6">
        <f>IFERROR(__xludf.DUMMYFUNCTION("""COMPUTED_VALUE"""),0.0)</f>
        <v>0</v>
      </c>
      <c r="T262" s="6">
        <f>IFERROR(__xludf.DUMMYFUNCTION("""COMPUTED_VALUE"""),0.0)</f>
        <v>0</v>
      </c>
      <c r="U262" s="6">
        <f>IFERROR(__xludf.DUMMYFUNCTION("""COMPUTED_VALUE"""),0.0)</f>
        <v>0</v>
      </c>
      <c r="V262" s="4">
        <f t="shared" ref="V262:X262" si="261">SUM(D262, G262, J262, M262, P262, S262)</f>
        <v>3</v>
      </c>
      <c r="W262" s="4">
        <f t="shared" si="261"/>
        <v>2</v>
      </c>
      <c r="X262" s="4">
        <f t="shared" si="261"/>
        <v>2</v>
      </c>
    </row>
    <row r="263">
      <c r="A263" s="4" t="str">
        <f>IFERROR(__xludf.DUMMYFUNCTION("""COMPUTED_VALUE"""),"Школа 1574")</f>
        <v>Школа 1574</v>
      </c>
      <c r="B263" s="4" t="str">
        <f t="array" ref="B263">IFERROR(INDEX('Адреса школ'!F:F, MATCH(A263, 'Адреса школ'!E:E, 0)), "")</f>
        <v>55.779803, 37.596992</v>
      </c>
      <c r="C263" s="5" t="str">
        <f t="array" ref="C263">IFERROR(INDEX('Топ-400'!A:A, MATCH(A263, 'Топ-400'!E:E, 0)), "Вне рейтинга")</f>
        <v>132</v>
      </c>
      <c r="D263" s="6">
        <f>IFERROR(__xludf.DUMMYFUNCTION("""COMPUTED_VALUE"""),1.0)</f>
        <v>1</v>
      </c>
      <c r="E263" s="6">
        <f>IFERROR(__xludf.DUMMYFUNCTION("""COMPUTED_VALUE"""),0.0)</f>
        <v>0</v>
      </c>
      <c r="F263" s="6">
        <f>IFERROR(__xludf.DUMMYFUNCTION("""COMPUTED_VALUE"""),0.0)</f>
        <v>0</v>
      </c>
      <c r="G263" s="6">
        <f>IFERROR(__xludf.DUMMYFUNCTION("""COMPUTED_VALUE"""),1.0)</f>
        <v>1</v>
      </c>
      <c r="H263" s="6">
        <f>IFERROR(__xludf.DUMMYFUNCTION("""COMPUTED_VALUE"""),1.0)</f>
        <v>1</v>
      </c>
      <c r="I263" s="6">
        <f>IFERROR(__xludf.DUMMYFUNCTION("""COMPUTED_VALUE"""),1.0)</f>
        <v>1</v>
      </c>
      <c r="J263" s="6">
        <f>IFERROR(__xludf.DUMMYFUNCTION("""COMPUTED_VALUE"""),0.0)</f>
        <v>0</v>
      </c>
      <c r="K263" s="6">
        <f>IFERROR(__xludf.DUMMYFUNCTION("""COMPUTED_VALUE"""),0.0)</f>
        <v>0</v>
      </c>
      <c r="L263" s="6">
        <f>IFERROR(__xludf.DUMMYFUNCTION("""COMPUTED_VALUE"""),0.0)</f>
        <v>0</v>
      </c>
      <c r="M263" s="6">
        <f>IFERROR(__xludf.DUMMYFUNCTION("""COMPUTED_VALUE"""),0.0)</f>
        <v>0</v>
      </c>
      <c r="N263" s="6">
        <f>IFERROR(__xludf.DUMMYFUNCTION("""COMPUTED_VALUE"""),0.0)</f>
        <v>0</v>
      </c>
      <c r="O263" s="6">
        <f>IFERROR(__xludf.DUMMYFUNCTION("""COMPUTED_VALUE"""),0.0)</f>
        <v>0</v>
      </c>
      <c r="P263" s="6">
        <f>IFERROR(__xludf.DUMMYFUNCTION("""COMPUTED_VALUE"""),0.0)</f>
        <v>0</v>
      </c>
      <c r="Q263" s="6">
        <f>IFERROR(__xludf.DUMMYFUNCTION("""COMPUTED_VALUE"""),0.0)</f>
        <v>0</v>
      </c>
      <c r="R263" s="6">
        <f>IFERROR(__xludf.DUMMYFUNCTION("""COMPUTED_VALUE"""),0.0)</f>
        <v>0</v>
      </c>
      <c r="S263" s="6">
        <f>IFERROR(__xludf.DUMMYFUNCTION("""COMPUTED_VALUE"""),0.0)</f>
        <v>0</v>
      </c>
      <c r="T263" s="6">
        <f>IFERROR(__xludf.DUMMYFUNCTION("""COMPUTED_VALUE"""),0.0)</f>
        <v>0</v>
      </c>
      <c r="U263" s="6">
        <f>IFERROR(__xludf.DUMMYFUNCTION("""COMPUTED_VALUE"""),0.0)</f>
        <v>0</v>
      </c>
      <c r="V263" s="4">
        <f t="shared" ref="V263:X263" si="262">SUM(D263, G263, J263, M263, P263, S263)</f>
        <v>2</v>
      </c>
      <c r="W263" s="4">
        <f t="shared" si="262"/>
        <v>1</v>
      </c>
      <c r="X263" s="4">
        <f t="shared" si="262"/>
        <v>1</v>
      </c>
    </row>
    <row r="264">
      <c r="A264" s="4" t="str">
        <f>IFERROR(__xludf.DUMMYFUNCTION("""COMPUTED_VALUE"""),"Школа 1575")</f>
        <v>Школа 1575</v>
      </c>
      <c r="B264" s="4" t="str">
        <f t="array" ref="B264">IFERROR(INDEX('Адреса школ'!F:F, MATCH(A264, 'Адреса школ'!E:E, 0)), "")</f>
        <v>55.80488, 37.531801</v>
      </c>
      <c r="C264" s="5" t="str">
        <f t="array" ref="C264">IFERROR(INDEX('Топ-400'!A:A, MATCH(A264, 'Топ-400'!E:E, 0)), "Вне рейтинга")</f>
        <v>37</v>
      </c>
      <c r="D264" s="6">
        <f>IFERROR(__xludf.DUMMYFUNCTION("""COMPUTED_VALUE"""),1.0)</f>
        <v>1</v>
      </c>
      <c r="E264" s="6">
        <f>IFERROR(__xludf.DUMMYFUNCTION("""COMPUTED_VALUE"""),1.0)</f>
        <v>1</v>
      </c>
      <c r="F264" s="6">
        <f>IFERROR(__xludf.DUMMYFUNCTION("""COMPUTED_VALUE"""),1.0)</f>
        <v>1</v>
      </c>
      <c r="G264" s="6">
        <f>IFERROR(__xludf.DUMMYFUNCTION("""COMPUTED_VALUE"""),0.0)</f>
        <v>0</v>
      </c>
      <c r="H264" s="6">
        <f>IFERROR(__xludf.DUMMYFUNCTION("""COMPUTED_VALUE"""),0.0)</f>
        <v>0</v>
      </c>
      <c r="I264" s="6">
        <f>IFERROR(__xludf.DUMMYFUNCTION("""COMPUTED_VALUE"""),0.0)</f>
        <v>0</v>
      </c>
      <c r="J264" s="6">
        <f>IFERROR(__xludf.DUMMYFUNCTION("""COMPUTED_VALUE"""),1.0)</f>
        <v>1</v>
      </c>
      <c r="K264" s="6">
        <f>IFERROR(__xludf.DUMMYFUNCTION("""COMPUTED_VALUE"""),1.0)</f>
        <v>1</v>
      </c>
      <c r="L264" s="6">
        <f>IFERROR(__xludf.DUMMYFUNCTION("""COMPUTED_VALUE"""),1.0)</f>
        <v>1</v>
      </c>
      <c r="M264" s="6">
        <f>IFERROR(__xludf.DUMMYFUNCTION("""COMPUTED_VALUE"""),1.0)</f>
        <v>1</v>
      </c>
      <c r="N264" s="6">
        <f>IFERROR(__xludf.DUMMYFUNCTION("""COMPUTED_VALUE"""),1.0)</f>
        <v>1</v>
      </c>
      <c r="O264" s="6">
        <f>IFERROR(__xludf.DUMMYFUNCTION("""COMPUTED_VALUE"""),1.0)</f>
        <v>1</v>
      </c>
      <c r="P264" s="6">
        <f>IFERROR(__xludf.DUMMYFUNCTION("""COMPUTED_VALUE"""),1.0)</f>
        <v>1</v>
      </c>
      <c r="Q264" s="6">
        <f>IFERROR(__xludf.DUMMYFUNCTION("""COMPUTED_VALUE"""),1.0)</f>
        <v>1</v>
      </c>
      <c r="R264" s="6">
        <f>IFERROR(__xludf.DUMMYFUNCTION("""COMPUTED_VALUE"""),1.0)</f>
        <v>1</v>
      </c>
      <c r="S264" s="6">
        <f>IFERROR(__xludf.DUMMYFUNCTION("""COMPUTED_VALUE"""),0.0)</f>
        <v>0</v>
      </c>
      <c r="T264" s="6">
        <f>IFERROR(__xludf.DUMMYFUNCTION("""COMPUTED_VALUE"""),0.0)</f>
        <v>0</v>
      </c>
      <c r="U264" s="6">
        <f>IFERROR(__xludf.DUMMYFUNCTION("""COMPUTED_VALUE"""),0.0)</f>
        <v>0</v>
      </c>
      <c r="V264" s="4">
        <f t="shared" ref="V264:X264" si="263">SUM(D264, G264, J264, M264, P264, S264)</f>
        <v>4</v>
      </c>
      <c r="W264" s="4">
        <f t="shared" si="263"/>
        <v>4</v>
      </c>
      <c r="X264" s="4">
        <f t="shared" si="263"/>
        <v>4</v>
      </c>
    </row>
    <row r="265">
      <c r="A265" s="4" t="str">
        <f>IFERROR(__xludf.DUMMYFUNCTION("""COMPUTED_VALUE"""),"Школа 1576")</f>
        <v>Школа 1576</v>
      </c>
      <c r="B265" s="4" t="str">
        <f t="array" ref="B265">IFERROR(INDEX('Адреса школ'!F:F, MATCH(A265, 'Адреса школ'!E:E, 0)), "")</f>
        <v>55.822888, 37.529376</v>
      </c>
      <c r="C265" s="5" t="str">
        <f t="array" ref="C265">IFERROR(INDEX('Топ-400'!A:A, MATCH(A265, 'Топ-400'!E:E, 0)), "Вне рейтинга")</f>
        <v>98</v>
      </c>
      <c r="D265" s="6">
        <f>IFERROR(__xludf.DUMMYFUNCTION("""COMPUTED_VALUE"""),1.0)</f>
        <v>1</v>
      </c>
      <c r="E265" s="6">
        <f>IFERROR(__xludf.DUMMYFUNCTION("""COMPUTED_VALUE"""),1.0)</f>
        <v>1</v>
      </c>
      <c r="F265" s="6">
        <f>IFERROR(__xludf.DUMMYFUNCTION("""COMPUTED_VALUE"""),1.0)</f>
        <v>1</v>
      </c>
      <c r="G265" s="6">
        <f>IFERROR(__xludf.DUMMYFUNCTION("""COMPUTED_VALUE"""),0.0)</f>
        <v>0</v>
      </c>
      <c r="H265" s="6">
        <f>IFERROR(__xludf.DUMMYFUNCTION("""COMPUTED_VALUE"""),0.0)</f>
        <v>0</v>
      </c>
      <c r="I265" s="6">
        <f>IFERROR(__xludf.DUMMYFUNCTION("""COMPUTED_VALUE"""),0.0)</f>
        <v>0</v>
      </c>
      <c r="J265" s="6">
        <f>IFERROR(__xludf.DUMMYFUNCTION("""COMPUTED_VALUE"""),1.0)</f>
        <v>1</v>
      </c>
      <c r="K265" s="6">
        <f>IFERROR(__xludf.DUMMYFUNCTION("""COMPUTED_VALUE"""),1.0)</f>
        <v>1</v>
      </c>
      <c r="L265" s="6">
        <f>IFERROR(__xludf.DUMMYFUNCTION("""COMPUTED_VALUE"""),1.0)</f>
        <v>1</v>
      </c>
      <c r="M265" s="6">
        <f>IFERROR(__xludf.DUMMYFUNCTION("""COMPUTED_VALUE"""),0.0)</f>
        <v>0</v>
      </c>
      <c r="N265" s="6">
        <f>IFERROR(__xludf.DUMMYFUNCTION("""COMPUTED_VALUE"""),0.0)</f>
        <v>0</v>
      </c>
      <c r="O265" s="6">
        <f>IFERROR(__xludf.DUMMYFUNCTION("""COMPUTED_VALUE"""),0.0)</f>
        <v>0</v>
      </c>
      <c r="P265" s="6">
        <f>IFERROR(__xludf.DUMMYFUNCTION("""COMPUTED_VALUE"""),0.0)</f>
        <v>0</v>
      </c>
      <c r="Q265" s="6">
        <f>IFERROR(__xludf.DUMMYFUNCTION("""COMPUTED_VALUE"""),0.0)</f>
        <v>0</v>
      </c>
      <c r="R265" s="6">
        <f>IFERROR(__xludf.DUMMYFUNCTION("""COMPUTED_VALUE"""),0.0)</f>
        <v>0</v>
      </c>
      <c r="S265" s="6">
        <f>IFERROR(__xludf.DUMMYFUNCTION("""COMPUTED_VALUE"""),0.0)</f>
        <v>0</v>
      </c>
      <c r="T265" s="6">
        <f>IFERROR(__xludf.DUMMYFUNCTION("""COMPUTED_VALUE"""),0.0)</f>
        <v>0</v>
      </c>
      <c r="U265" s="6">
        <f>IFERROR(__xludf.DUMMYFUNCTION("""COMPUTED_VALUE"""),0.0)</f>
        <v>0</v>
      </c>
      <c r="V265" s="4">
        <f t="shared" ref="V265:X265" si="264">SUM(D265, G265, J265, M265, P265, S265)</f>
        <v>2</v>
      </c>
      <c r="W265" s="4">
        <f t="shared" si="264"/>
        <v>2</v>
      </c>
      <c r="X265" s="4">
        <f t="shared" si="264"/>
        <v>2</v>
      </c>
    </row>
    <row r="266">
      <c r="A266" s="4" t="str">
        <f>IFERROR(__xludf.DUMMYFUNCTION("""COMPUTED_VALUE"""),"Школа 1577")</f>
        <v>Школа 1577</v>
      </c>
      <c r="B266" s="4" t="str">
        <f t="array" ref="B266">IFERROR(INDEX('Адреса школ'!F:F, MATCH(A266, 'Адреса школ'!E:E, 0)), "")</f>
        <v>55.852672, 37.690471</v>
      </c>
      <c r="C266" s="5" t="str">
        <f t="array" ref="C266">IFERROR(INDEX('Топ-400'!A:A, MATCH(A266, 'Топ-400'!E:E, 0)), "Вне рейтинга")</f>
        <v>264</v>
      </c>
      <c r="D266" s="6">
        <f>IFERROR(__xludf.DUMMYFUNCTION("""COMPUTED_VALUE"""),1.0)</f>
        <v>1</v>
      </c>
      <c r="E266" s="6">
        <f>IFERROR(__xludf.DUMMYFUNCTION("""COMPUTED_VALUE"""),0.0)</f>
        <v>0</v>
      </c>
      <c r="F266" s="6">
        <f>IFERROR(__xludf.DUMMYFUNCTION("""COMPUTED_VALUE"""),0.0)</f>
        <v>0</v>
      </c>
      <c r="G266" s="6">
        <f>IFERROR(__xludf.DUMMYFUNCTION("""COMPUTED_VALUE"""),0.0)</f>
        <v>0</v>
      </c>
      <c r="H266" s="6">
        <f>IFERROR(__xludf.DUMMYFUNCTION("""COMPUTED_VALUE"""),0.0)</f>
        <v>0</v>
      </c>
      <c r="I266" s="6">
        <f>IFERROR(__xludf.DUMMYFUNCTION("""COMPUTED_VALUE"""),0.0)</f>
        <v>0</v>
      </c>
      <c r="J266" s="6">
        <f>IFERROR(__xludf.DUMMYFUNCTION("""COMPUTED_VALUE"""),0.0)</f>
        <v>0</v>
      </c>
      <c r="K266" s="6">
        <f>IFERROR(__xludf.DUMMYFUNCTION("""COMPUTED_VALUE"""),0.0)</f>
        <v>0</v>
      </c>
      <c r="L266" s="6">
        <f>IFERROR(__xludf.DUMMYFUNCTION("""COMPUTED_VALUE"""),0.0)</f>
        <v>0</v>
      </c>
      <c r="M266" s="6">
        <f>IFERROR(__xludf.DUMMYFUNCTION("""COMPUTED_VALUE"""),0.0)</f>
        <v>0</v>
      </c>
      <c r="N266" s="6">
        <f>IFERROR(__xludf.DUMMYFUNCTION("""COMPUTED_VALUE"""),0.0)</f>
        <v>0</v>
      </c>
      <c r="O266" s="6">
        <f>IFERROR(__xludf.DUMMYFUNCTION("""COMPUTED_VALUE"""),0.0)</f>
        <v>0</v>
      </c>
      <c r="P266" s="6">
        <f>IFERROR(__xludf.DUMMYFUNCTION("""COMPUTED_VALUE"""),0.0)</f>
        <v>0</v>
      </c>
      <c r="Q266" s="6">
        <f>IFERROR(__xludf.DUMMYFUNCTION("""COMPUTED_VALUE"""),0.0)</f>
        <v>0</v>
      </c>
      <c r="R266" s="6">
        <f>IFERROR(__xludf.DUMMYFUNCTION("""COMPUTED_VALUE"""),0.0)</f>
        <v>0</v>
      </c>
      <c r="S266" s="6">
        <f>IFERROR(__xludf.DUMMYFUNCTION("""COMPUTED_VALUE"""),0.0)</f>
        <v>0</v>
      </c>
      <c r="T266" s="6">
        <f>IFERROR(__xludf.DUMMYFUNCTION("""COMPUTED_VALUE"""),0.0)</f>
        <v>0</v>
      </c>
      <c r="U266" s="6">
        <f>IFERROR(__xludf.DUMMYFUNCTION("""COMPUTED_VALUE"""),0.0)</f>
        <v>0</v>
      </c>
      <c r="V266" s="4">
        <f t="shared" ref="V266:X266" si="265">SUM(D266, G266, J266, M266, P266, S266)</f>
        <v>1</v>
      </c>
      <c r="W266" s="4">
        <f t="shared" si="265"/>
        <v>0</v>
      </c>
      <c r="X266" s="4">
        <f t="shared" si="265"/>
        <v>0</v>
      </c>
    </row>
    <row r="267">
      <c r="A267" s="4" t="str">
        <f>IFERROR(__xludf.DUMMYFUNCTION("""COMPUTED_VALUE"""),"Школа 1579")</f>
        <v>Школа 1579</v>
      </c>
      <c r="B267" s="4" t="str">
        <f t="array" ref="B267">IFERROR(INDEX('Адреса школ'!F:F, MATCH(A267, 'Адреса школ'!E:E, 0)), "")</f>
        <v>55.646579, 37.659371</v>
      </c>
      <c r="C267" s="5" t="str">
        <f t="array" ref="C267">IFERROR(INDEX('Топ-400'!A:A, MATCH(A267, 'Топ-400'!E:E, 0)), "Вне рейтинга")</f>
        <v>167</v>
      </c>
      <c r="D267" s="6">
        <f>IFERROR(__xludf.DUMMYFUNCTION("""COMPUTED_VALUE"""),1.0)</f>
        <v>1</v>
      </c>
      <c r="E267" s="6">
        <f>IFERROR(__xludf.DUMMYFUNCTION("""COMPUTED_VALUE"""),0.0)</f>
        <v>0</v>
      </c>
      <c r="F267" s="6">
        <f>IFERROR(__xludf.DUMMYFUNCTION("""COMPUTED_VALUE"""),0.0)</f>
        <v>0</v>
      </c>
      <c r="G267" s="6">
        <f>IFERROR(__xludf.DUMMYFUNCTION("""COMPUTED_VALUE"""),0.0)</f>
        <v>0</v>
      </c>
      <c r="H267" s="6">
        <f>IFERROR(__xludf.DUMMYFUNCTION("""COMPUTED_VALUE"""),0.0)</f>
        <v>0</v>
      </c>
      <c r="I267" s="6">
        <f>IFERROR(__xludf.DUMMYFUNCTION("""COMPUTED_VALUE"""),0.0)</f>
        <v>0</v>
      </c>
      <c r="J267" s="6">
        <f>IFERROR(__xludf.DUMMYFUNCTION("""COMPUTED_VALUE"""),1.0)</f>
        <v>1</v>
      </c>
      <c r="K267" s="6">
        <f>IFERROR(__xludf.DUMMYFUNCTION("""COMPUTED_VALUE"""),1.0)</f>
        <v>1</v>
      </c>
      <c r="L267" s="6">
        <f>IFERROR(__xludf.DUMMYFUNCTION("""COMPUTED_VALUE"""),1.0)</f>
        <v>1</v>
      </c>
      <c r="M267" s="6">
        <f>IFERROR(__xludf.DUMMYFUNCTION("""COMPUTED_VALUE"""),1.0)</f>
        <v>1</v>
      </c>
      <c r="N267" s="6">
        <f>IFERROR(__xludf.DUMMYFUNCTION("""COMPUTED_VALUE"""),1.0)</f>
        <v>1</v>
      </c>
      <c r="O267" s="6">
        <f>IFERROR(__xludf.DUMMYFUNCTION("""COMPUTED_VALUE"""),1.0)</f>
        <v>1</v>
      </c>
      <c r="P267" s="6">
        <f>IFERROR(__xludf.DUMMYFUNCTION("""COMPUTED_VALUE"""),1.0)</f>
        <v>1</v>
      </c>
      <c r="Q267" s="6">
        <f>IFERROR(__xludf.DUMMYFUNCTION("""COMPUTED_VALUE"""),1.0)</f>
        <v>1</v>
      </c>
      <c r="R267" s="6">
        <f>IFERROR(__xludf.DUMMYFUNCTION("""COMPUTED_VALUE"""),1.0)</f>
        <v>1</v>
      </c>
      <c r="S267" s="6">
        <f>IFERROR(__xludf.DUMMYFUNCTION("""COMPUTED_VALUE"""),0.0)</f>
        <v>0</v>
      </c>
      <c r="T267" s="6">
        <f>IFERROR(__xludf.DUMMYFUNCTION("""COMPUTED_VALUE"""),0.0)</f>
        <v>0</v>
      </c>
      <c r="U267" s="6">
        <f>IFERROR(__xludf.DUMMYFUNCTION("""COMPUTED_VALUE"""),0.0)</f>
        <v>0</v>
      </c>
      <c r="V267" s="4">
        <f t="shared" ref="V267:X267" si="266">SUM(D267, G267, J267, M267, P267, S267)</f>
        <v>4</v>
      </c>
      <c r="W267" s="4">
        <f t="shared" si="266"/>
        <v>3</v>
      </c>
      <c r="X267" s="4">
        <f t="shared" si="266"/>
        <v>3</v>
      </c>
    </row>
    <row r="268">
      <c r="A268" s="4" t="str">
        <f>IFERROR(__xludf.DUMMYFUNCTION("""COMPUTED_VALUE"""),"Школа 1580")</f>
        <v>Школа 1580</v>
      </c>
      <c r="B268" s="4" t="str">
        <f t="array" ref="B268">IFERROR(INDEX('Адреса школ'!F:F, MATCH(A268, 'Адреса школ'!E:E, 0)), "")</f>
        <v>55.641534, 37.613072</v>
      </c>
      <c r="C268" s="5" t="str">
        <f t="array" ref="C268">IFERROR(INDEX('Топ-400'!A:A, MATCH(A268, 'Топ-400'!E:E, 0)), "Вне рейтинга")</f>
        <v>19</v>
      </c>
      <c r="D268" s="6">
        <f>IFERROR(__xludf.DUMMYFUNCTION("""COMPUTED_VALUE"""),1.0)</f>
        <v>1</v>
      </c>
      <c r="E268" s="6">
        <f>IFERROR(__xludf.DUMMYFUNCTION("""COMPUTED_VALUE"""),1.0)</f>
        <v>1</v>
      </c>
      <c r="F268" s="6">
        <f>IFERROR(__xludf.DUMMYFUNCTION("""COMPUTED_VALUE"""),1.0)</f>
        <v>1</v>
      </c>
      <c r="G268" s="6">
        <f>IFERROR(__xludf.DUMMYFUNCTION("""COMPUTED_VALUE"""),0.0)</f>
        <v>0</v>
      </c>
      <c r="H268" s="6">
        <f>IFERROR(__xludf.DUMMYFUNCTION("""COMPUTED_VALUE"""),0.0)</f>
        <v>0</v>
      </c>
      <c r="I268" s="6">
        <f>IFERROR(__xludf.DUMMYFUNCTION("""COMPUTED_VALUE"""),0.0)</f>
        <v>0</v>
      </c>
      <c r="J268" s="6">
        <f>IFERROR(__xludf.DUMMYFUNCTION("""COMPUTED_VALUE"""),1.0)</f>
        <v>1</v>
      </c>
      <c r="K268" s="6">
        <f>IFERROR(__xludf.DUMMYFUNCTION("""COMPUTED_VALUE"""),1.0)</f>
        <v>1</v>
      </c>
      <c r="L268" s="6">
        <f>IFERROR(__xludf.DUMMYFUNCTION("""COMPUTED_VALUE"""),1.0)</f>
        <v>1</v>
      </c>
      <c r="M268" s="6">
        <f>IFERROR(__xludf.DUMMYFUNCTION("""COMPUTED_VALUE"""),1.0)</f>
        <v>1</v>
      </c>
      <c r="N268" s="6">
        <f>IFERROR(__xludf.DUMMYFUNCTION("""COMPUTED_VALUE"""),0.0)</f>
        <v>0</v>
      </c>
      <c r="O268" s="6">
        <f>IFERROR(__xludf.DUMMYFUNCTION("""COMPUTED_VALUE"""),1.0)</f>
        <v>1</v>
      </c>
      <c r="P268" s="6">
        <f>IFERROR(__xludf.DUMMYFUNCTION("""COMPUTED_VALUE"""),0.0)</f>
        <v>0</v>
      </c>
      <c r="Q268" s="6">
        <f>IFERROR(__xludf.DUMMYFUNCTION("""COMPUTED_VALUE"""),0.0)</f>
        <v>0</v>
      </c>
      <c r="R268" s="6">
        <f>IFERROR(__xludf.DUMMYFUNCTION("""COMPUTED_VALUE"""),0.0)</f>
        <v>0</v>
      </c>
      <c r="S268" s="6">
        <f>IFERROR(__xludf.DUMMYFUNCTION("""COMPUTED_VALUE"""),0.0)</f>
        <v>0</v>
      </c>
      <c r="T268" s="6">
        <f>IFERROR(__xludf.DUMMYFUNCTION("""COMPUTED_VALUE"""),0.0)</f>
        <v>0</v>
      </c>
      <c r="U268" s="6">
        <f>IFERROR(__xludf.DUMMYFUNCTION("""COMPUTED_VALUE"""),0.0)</f>
        <v>0</v>
      </c>
      <c r="V268" s="4">
        <f t="shared" ref="V268:X268" si="267">SUM(D268, G268, J268, M268, P268, S268)</f>
        <v>3</v>
      </c>
      <c r="W268" s="4">
        <f t="shared" si="267"/>
        <v>2</v>
      </c>
      <c r="X268" s="4">
        <f t="shared" si="267"/>
        <v>3</v>
      </c>
    </row>
    <row r="269">
      <c r="A269" s="4" t="str">
        <f>IFERROR(__xludf.DUMMYFUNCTION("""COMPUTED_VALUE"""),"Школа 1581")</f>
        <v>Школа 1581</v>
      </c>
      <c r="B269" s="4" t="str">
        <f t="array" ref="B269">IFERROR(INDEX('Адреса школ'!F:F, MATCH(A269, 'Адреса школ'!E:E, 0)), "")</f>
        <v>55.752602, 37.663368</v>
      </c>
      <c r="C269" s="5" t="str">
        <f t="array" ref="C269">IFERROR(INDEX('Топ-400'!A:A, MATCH(A269, 'Топ-400'!E:E, 0)), "Вне рейтинга")</f>
        <v>130</v>
      </c>
      <c r="D269" s="6">
        <f>IFERROR(__xludf.DUMMYFUNCTION("""COMPUTED_VALUE"""),1.0)</f>
        <v>1</v>
      </c>
      <c r="E269" s="6">
        <f>IFERROR(__xludf.DUMMYFUNCTION("""COMPUTED_VALUE"""),1.0)</f>
        <v>1</v>
      </c>
      <c r="F269" s="6">
        <f>IFERROR(__xludf.DUMMYFUNCTION("""COMPUTED_VALUE"""),1.0)</f>
        <v>1</v>
      </c>
      <c r="G269" s="6">
        <f>IFERROR(__xludf.DUMMYFUNCTION("""COMPUTED_VALUE"""),0.0)</f>
        <v>0</v>
      </c>
      <c r="H269" s="6">
        <f>IFERROR(__xludf.DUMMYFUNCTION("""COMPUTED_VALUE"""),0.0)</f>
        <v>0</v>
      </c>
      <c r="I269" s="6">
        <f>IFERROR(__xludf.DUMMYFUNCTION("""COMPUTED_VALUE"""),0.0)</f>
        <v>0</v>
      </c>
      <c r="J269" s="6">
        <f>IFERROR(__xludf.DUMMYFUNCTION("""COMPUTED_VALUE"""),1.0)</f>
        <v>1</v>
      </c>
      <c r="K269" s="6">
        <f>IFERROR(__xludf.DUMMYFUNCTION("""COMPUTED_VALUE"""),1.0)</f>
        <v>1</v>
      </c>
      <c r="L269" s="6">
        <f>IFERROR(__xludf.DUMMYFUNCTION("""COMPUTED_VALUE"""),1.0)</f>
        <v>1</v>
      </c>
      <c r="M269" s="6">
        <f>IFERROR(__xludf.DUMMYFUNCTION("""COMPUTED_VALUE"""),0.0)</f>
        <v>0</v>
      </c>
      <c r="N269" s="6">
        <f>IFERROR(__xludf.DUMMYFUNCTION("""COMPUTED_VALUE"""),0.0)</f>
        <v>0</v>
      </c>
      <c r="O269" s="6">
        <f>IFERROR(__xludf.DUMMYFUNCTION("""COMPUTED_VALUE"""),0.0)</f>
        <v>0</v>
      </c>
      <c r="P269" s="6">
        <f>IFERROR(__xludf.DUMMYFUNCTION("""COMPUTED_VALUE"""),0.0)</f>
        <v>0</v>
      </c>
      <c r="Q269" s="6">
        <f>IFERROR(__xludf.DUMMYFUNCTION("""COMPUTED_VALUE"""),0.0)</f>
        <v>0</v>
      </c>
      <c r="R269" s="6">
        <f>IFERROR(__xludf.DUMMYFUNCTION("""COMPUTED_VALUE"""),0.0)</f>
        <v>0</v>
      </c>
      <c r="S269" s="6">
        <f>IFERROR(__xludf.DUMMYFUNCTION("""COMPUTED_VALUE"""),0.0)</f>
        <v>0</v>
      </c>
      <c r="T269" s="6">
        <f>IFERROR(__xludf.DUMMYFUNCTION("""COMPUTED_VALUE"""),0.0)</f>
        <v>0</v>
      </c>
      <c r="U269" s="6">
        <f>IFERROR(__xludf.DUMMYFUNCTION("""COMPUTED_VALUE"""),0.0)</f>
        <v>0</v>
      </c>
      <c r="V269" s="4">
        <f t="shared" ref="V269:X269" si="268">SUM(D269, G269, J269, M269, P269, S269)</f>
        <v>2</v>
      </c>
      <c r="W269" s="4">
        <f t="shared" si="268"/>
        <v>2</v>
      </c>
      <c r="X269" s="4">
        <f t="shared" si="268"/>
        <v>2</v>
      </c>
    </row>
    <row r="270">
      <c r="A270" s="4" t="str">
        <f>IFERROR(__xludf.DUMMYFUNCTION("""COMPUTED_VALUE"""),"Школа 1582")</f>
        <v>Школа 1582</v>
      </c>
      <c r="B270" s="4" t="str">
        <f t="array" ref="B270">IFERROR(INDEX('Адреса школ'!F:F, MATCH(A270, 'Адреса школ'!E:E, 0)), "")</f>
        <v>55.617886, 37.60134</v>
      </c>
      <c r="C270" s="5" t="str">
        <f t="array" ref="C270">IFERROR(INDEX('Топ-400'!A:A, MATCH(A270, 'Топ-400'!E:E, 0)), "Вне рейтинга")</f>
        <v>219</v>
      </c>
      <c r="D270" s="6">
        <f>IFERROR(__xludf.DUMMYFUNCTION("""COMPUTED_VALUE"""),0.0)</f>
        <v>0</v>
      </c>
      <c r="E270" s="6">
        <f>IFERROR(__xludf.DUMMYFUNCTION("""COMPUTED_VALUE"""),0.0)</f>
        <v>0</v>
      </c>
      <c r="F270" s="6">
        <f>IFERROR(__xludf.DUMMYFUNCTION("""COMPUTED_VALUE"""),0.0)</f>
        <v>0</v>
      </c>
      <c r="G270" s="6">
        <f>IFERROR(__xludf.DUMMYFUNCTION("""COMPUTED_VALUE"""),0.0)</f>
        <v>0</v>
      </c>
      <c r="H270" s="6">
        <f>IFERROR(__xludf.DUMMYFUNCTION("""COMPUTED_VALUE"""),0.0)</f>
        <v>0</v>
      </c>
      <c r="I270" s="6">
        <f>IFERROR(__xludf.DUMMYFUNCTION("""COMPUTED_VALUE"""),0.0)</f>
        <v>0</v>
      </c>
      <c r="J270" s="6">
        <f>IFERROR(__xludf.DUMMYFUNCTION("""COMPUTED_VALUE"""),1.0)</f>
        <v>1</v>
      </c>
      <c r="K270" s="6">
        <f>IFERROR(__xludf.DUMMYFUNCTION("""COMPUTED_VALUE"""),1.0)</f>
        <v>1</v>
      </c>
      <c r="L270" s="6">
        <f>IFERROR(__xludf.DUMMYFUNCTION("""COMPUTED_VALUE"""),1.0)</f>
        <v>1</v>
      </c>
      <c r="M270" s="6">
        <f>IFERROR(__xludf.DUMMYFUNCTION("""COMPUTED_VALUE"""),1.0)</f>
        <v>1</v>
      </c>
      <c r="N270" s="6">
        <f>IFERROR(__xludf.DUMMYFUNCTION("""COMPUTED_VALUE"""),1.0)</f>
        <v>1</v>
      </c>
      <c r="O270" s="6">
        <f>IFERROR(__xludf.DUMMYFUNCTION("""COMPUTED_VALUE"""),1.0)</f>
        <v>1</v>
      </c>
      <c r="P270" s="6">
        <f>IFERROR(__xludf.DUMMYFUNCTION("""COMPUTED_VALUE"""),0.0)</f>
        <v>0</v>
      </c>
      <c r="Q270" s="6">
        <f>IFERROR(__xludf.DUMMYFUNCTION("""COMPUTED_VALUE"""),0.0)</f>
        <v>0</v>
      </c>
      <c r="R270" s="6">
        <f>IFERROR(__xludf.DUMMYFUNCTION("""COMPUTED_VALUE"""),0.0)</f>
        <v>0</v>
      </c>
      <c r="S270" s="6">
        <f>IFERROR(__xludf.DUMMYFUNCTION("""COMPUTED_VALUE"""),0.0)</f>
        <v>0</v>
      </c>
      <c r="T270" s="6">
        <f>IFERROR(__xludf.DUMMYFUNCTION("""COMPUTED_VALUE"""),0.0)</f>
        <v>0</v>
      </c>
      <c r="U270" s="6">
        <f>IFERROR(__xludf.DUMMYFUNCTION("""COMPUTED_VALUE"""),0.0)</f>
        <v>0</v>
      </c>
      <c r="V270" s="4">
        <f t="shared" ref="V270:X270" si="269">SUM(D270, G270, J270, M270, P270, S270)</f>
        <v>2</v>
      </c>
      <c r="W270" s="4">
        <f t="shared" si="269"/>
        <v>2</v>
      </c>
      <c r="X270" s="4">
        <f t="shared" si="269"/>
        <v>2</v>
      </c>
    </row>
    <row r="271">
      <c r="A271" s="4" t="str">
        <f>IFERROR(__xludf.DUMMYFUNCTION("""COMPUTED_VALUE"""),"Школа 1583")</f>
        <v>Школа 1583</v>
      </c>
      <c r="B271" s="4" t="str">
        <f t="array" ref="B271">IFERROR(INDEX('Адреса школ'!F:F, MATCH(A271, 'Адреса школ'!E:E, 0)), "")</f>
        <v>55.849787, 37.494575</v>
      </c>
      <c r="C271" s="5" t="str">
        <f t="array" ref="C271">IFERROR(INDEX('Топ-400'!A:A, MATCH(A271, 'Топ-400'!E:E, 0)), "Вне рейтинга")</f>
        <v>189</v>
      </c>
      <c r="D271" s="6">
        <f>IFERROR(__xludf.DUMMYFUNCTION("""COMPUTED_VALUE"""),1.0)</f>
        <v>1</v>
      </c>
      <c r="E271" s="6">
        <f>IFERROR(__xludf.DUMMYFUNCTION("""COMPUTED_VALUE"""),1.0)</f>
        <v>1</v>
      </c>
      <c r="F271" s="6">
        <f>IFERROR(__xludf.DUMMYFUNCTION("""COMPUTED_VALUE"""),1.0)</f>
        <v>1</v>
      </c>
      <c r="G271" s="6">
        <f>IFERROR(__xludf.DUMMYFUNCTION("""COMPUTED_VALUE"""),1.0)</f>
        <v>1</v>
      </c>
      <c r="H271" s="6">
        <f>IFERROR(__xludf.DUMMYFUNCTION("""COMPUTED_VALUE"""),0.0)</f>
        <v>0</v>
      </c>
      <c r="I271" s="6">
        <f>IFERROR(__xludf.DUMMYFUNCTION("""COMPUTED_VALUE"""),1.0)</f>
        <v>1</v>
      </c>
      <c r="J271" s="6">
        <f>IFERROR(__xludf.DUMMYFUNCTION("""COMPUTED_VALUE"""),0.0)</f>
        <v>0</v>
      </c>
      <c r="K271" s="6">
        <f>IFERROR(__xludf.DUMMYFUNCTION("""COMPUTED_VALUE"""),0.0)</f>
        <v>0</v>
      </c>
      <c r="L271" s="6">
        <f>IFERROR(__xludf.DUMMYFUNCTION("""COMPUTED_VALUE"""),0.0)</f>
        <v>0</v>
      </c>
      <c r="M271" s="6">
        <f>IFERROR(__xludf.DUMMYFUNCTION("""COMPUTED_VALUE"""),1.0)</f>
        <v>1</v>
      </c>
      <c r="N271" s="6">
        <f>IFERROR(__xludf.DUMMYFUNCTION("""COMPUTED_VALUE"""),0.0)</f>
        <v>0</v>
      </c>
      <c r="O271" s="6">
        <f>IFERROR(__xludf.DUMMYFUNCTION("""COMPUTED_VALUE"""),1.0)</f>
        <v>1</v>
      </c>
      <c r="P271" s="6">
        <f>IFERROR(__xludf.DUMMYFUNCTION("""COMPUTED_VALUE"""),1.0)</f>
        <v>1</v>
      </c>
      <c r="Q271" s="6">
        <f>IFERROR(__xludf.DUMMYFUNCTION("""COMPUTED_VALUE"""),1.0)</f>
        <v>1</v>
      </c>
      <c r="R271" s="6">
        <f>IFERROR(__xludf.DUMMYFUNCTION("""COMPUTED_VALUE"""),1.0)</f>
        <v>1</v>
      </c>
      <c r="S271" s="6">
        <f>IFERROR(__xludf.DUMMYFUNCTION("""COMPUTED_VALUE"""),0.0)</f>
        <v>0</v>
      </c>
      <c r="T271" s="6">
        <f>IFERROR(__xludf.DUMMYFUNCTION("""COMPUTED_VALUE"""),0.0)</f>
        <v>0</v>
      </c>
      <c r="U271" s="6">
        <f>IFERROR(__xludf.DUMMYFUNCTION("""COMPUTED_VALUE"""),0.0)</f>
        <v>0</v>
      </c>
      <c r="V271" s="4">
        <f t="shared" ref="V271:X271" si="270">SUM(D271, G271, J271, M271, P271, S271)</f>
        <v>4</v>
      </c>
      <c r="W271" s="4">
        <f t="shared" si="270"/>
        <v>2</v>
      </c>
      <c r="X271" s="4">
        <f t="shared" si="270"/>
        <v>4</v>
      </c>
    </row>
    <row r="272">
      <c r="A272" s="4" t="str">
        <f>IFERROR(__xludf.DUMMYFUNCTION("""COMPUTED_VALUE"""),"Школа 1584")</f>
        <v>Школа 1584</v>
      </c>
      <c r="B272" s="4" t="str">
        <f t="array" ref="B272">IFERROR(INDEX('Адреса школ'!F:F, MATCH(A272, 'Адреса школ'!E:E, 0)), "")</f>
        <v>55.745129, 37.428935</v>
      </c>
      <c r="C272" s="5" t="str">
        <f t="array" ref="C272">IFERROR(INDEX('Топ-400'!A:A, MATCH(A272, 'Топ-400'!E:E, 0)), "Вне рейтинга")</f>
        <v>80</v>
      </c>
      <c r="D272" s="6">
        <f>IFERROR(__xludf.DUMMYFUNCTION("""COMPUTED_VALUE"""),1.0)</f>
        <v>1</v>
      </c>
      <c r="E272" s="6">
        <f>IFERROR(__xludf.DUMMYFUNCTION("""COMPUTED_VALUE"""),1.0)</f>
        <v>1</v>
      </c>
      <c r="F272" s="6">
        <f>IFERROR(__xludf.DUMMYFUNCTION("""COMPUTED_VALUE"""),1.0)</f>
        <v>1</v>
      </c>
      <c r="G272" s="6">
        <f>IFERROR(__xludf.DUMMYFUNCTION("""COMPUTED_VALUE"""),1.0)</f>
        <v>1</v>
      </c>
      <c r="H272" s="6">
        <f>IFERROR(__xludf.DUMMYFUNCTION("""COMPUTED_VALUE"""),1.0)</f>
        <v>1</v>
      </c>
      <c r="I272" s="6">
        <f>IFERROR(__xludf.DUMMYFUNCTION("""COMPUTED_VALUE"""),1.0)</f>
        <v>1</v>
      </c>
      <c r="J272" s="6">
        <f>IFERROR(__xludf.DUMMYFUNCTION("""COMPUTED_VALUE"""),0.0)</f>
        <v>0</v>
      </c>
      <c r="K272" s="6">
        <f>IFERROR(__xludf.DUMMYFUNCTION("""COMPUTED_VALUE"""),1.0)</f>
        <v>1</v>
      </c>
      <c r="L272" s="6">
        <f>IFERROR(__xludf.DUMMYFUNCTION("""COMPUTED_VALUE"""),1.0)</f>
        <v>1</v>
      </c>
      <c r="M272" s="6">
        <f>IFERROR(__xludf.DUMMYFUNCTION("""COMPUTED_VALUE"""),1.0)</f>
        <v>1</v>
      </c>
      <c r="N272" s="6">
        <f>IFERROR(__xludf.DUMMYFUNCTION("""COMPUTED_VALUE"""),1.0)</f>
        <v>1</v>
      </c>
      <c r="O272" s="6">
        <f>IFERROR(__xludf.DUMMYFUNCTION("""COMPUTED_VALUE"""),1.0)</f>
        <v>1</v>
      </c>
      <c r="P272" s="6">
        <f>IFERROR(__xludf.DUMMYFUNCTION("""COMPUTED_VALUE"""),1.0)</f>
        <v>1</v>
      </c>
      <c r="Q272" s="6">
        <f>IFERROR(__xludf.DUMMYFUNCTION("""COMPUTED_VALUE"""),1.0)</f>
        <v>1</v>
      </c>
      <c r="R272" s="6">
        <f>IFERROR(__xludf.DUMMYFUNCTION("""COMPUTED_VALUE"""),1.0)</f>
        <v>1</v>
      </c>
      <c r="S272" s="6">
        <f>IFERROR(__xludf.DUMMYFUNCTION("""COMPUTED_VALUE"""),0.0)</f>
        <v>0</v>
      </c>
      <c r="T272" s="6">
        <f>IFERROR(__xludf.DUMMYFUNCTION("""COMPUTED_VALUE"""),0.0)</f>
        <v>0</v>
      </c>
      <c r="U272" s="6">
        <f>IFERROR(__xludf.DUMMYFUNCTION("""COMPUTED_VALUE"""),0.0)</f>
        <v>0</v>
      </c>
      <c r="V272" s="4">
        <f t="shared" ref="V272:X272" si="271">SUM(D272, G272, J272, M272, P272, S272)</f>
        <v>4</v>
      </c>
      <c r="W272" s="4">
        <f t="shared" si="271"/>
        <v>5</v>
      </c>
      <c r="X272" s="4">
        <f t="shared" si="271"/>
        <v>5</v>
      </c>
    </row>
    <row r="273">
      <c r="A273" s="4" t="str">
        <f>IFERROR(__xludf.DUMMYFUNCTION("""COMPUTED_VALUE"""),"Школа 1589")</f>
        <v>Школа 1589</v>
      </c>
      <c r="B273" s="4" t="str">
        <f t="array" ref="B273">IFERROR(INDEX('Адреса школ'!F:F, MATCH(A273, 'Адреса школ'!E:E, 0)), "")</f>
        <v>55.716595, 37.460789</v>
      </c>
      <c r="C273" s="5" t="str">
        <f t="array" ref="C273">IFERROR(INDEX('Топ-400'!A:A, MATCH(A273, 'Топ-400'!E:E, 0)), "Вне рейтинга")</f>
        <v>88</v>
      </c>
      <c r="D273" s="6">
        <f>IFERROR(__xludf.DUMMYFUNCTION("""COMPUTED_VALUE"""),0.0)</f>
        <v>0</v>
      </c>
      <c r="E273" s="6">
        <f>IFERROR(__xludf.DUMMYFUNCTION("""COMPUTED_VALUE"""),0.0)</f>
        <v>0</v>
      </c>
      <c r="F273" s="6">
        <f>IFERROR(__xludf.DUMMYFUNCTION("""COMPUTED_VALUE"""),0.0)</f>
        <v>0</v>
      </c>
      <c r="G273" s="6">
        <f>IFERROR(__xludf.DUMMYFUNCTION("""COMPUTED_VALUE"""),0.0)</f>
        <v>0</v>
      </c>
      <c r="H273" s="6">
        <f>IFERROR(__xludf.DUMMYFUNCTION("""COMPUTED_VALUE"""),0.0)</f>
        <v>0</v>
      </c>
      <c r="I273" s="6">
        <f>IFERROR(__xludf.DUMMYFUNCTION("""COMPUTED_VALUE"""),0.0)</f>
        <v>0</v>
      </c>
      <c r="J273" s="6">
        <f>IFERROR(__xludf.DUMMYFUNCTION("""COMPUTED_VALUE"""),1.0)</f>
        <v>1</v>
      </c>
      <c r="K273" s="6">
        <f>IFERROR(__xludf.DUMMYFUNCTION("""COMPUTED_VALUE"""),0.0)</f>
        <v>0</v>
      </c>
      <c r="L273" s="6">
        <f>IFERROR(__xludf.DUMMYFUNCTION("""COMPUTED_VALUE"""),1.0)</f>
        <v>1</v>
      </c>
      <c r="M273" s="6">
        <f>IFERROR(__xludf.DUMMYFUNCTION("""COMPUTED_VALUE"""),0.0)</f>
        <v>0</v>
      </c>
      <c r="N273" s="6">
        <f>IFERROR(__xludf.DUMMYFUNCTION("""COMPUTED_VALUE"""),0.0)</f>
        <v>0</v>
      </c>
      <c r="O273" s="6">
        <f>IFERROR(__xludf.DUMMYFUNCTION("""COMPUTED_VALUE"""),1.0)</f>
        <v>1</v>
      </c>
      <c r="P273" s="6">
        <f>IFERROR(__xludf.DUMMYFUNCTION("""COMPUTED_VALUE"""),0.0)</f>
        <v>0</v>
      </c>
      <c r="Q273" s="6">
        <f>IFERROR(__xludf.DUMMYFUNCTION("""COMPUTED_VALUE"""),0.0)</f>
        <v>0</v>
      </c>
      <c r="R273" s="6">
        <f>IFERROR(__xludf.DUMMYFUNCTION("""COMPUTED_VALUE"""),0.0)</f>
        <v>0</v>
      </c>
      <c r="S273" s="6">
        <f>IFERROR(__xludf.DUMMYFUNCTION("""COMPUTED_VALUE"""),0.0)</f>
        <v>0</v>
      </c>
      <c r="T273" s="6">
        <f>IFERROR(__xludf.DUMMYFUNCTION("""COMPUTED_VALUE"""),0.0)</f>
        <v>0</v>
      </c>
      <c r="U273" s="6">
        <f>IFERROR(__xludf.DUMMYFUNCTION("""COMPUTED_VALUE"""),0.0)</f>
        <v>0</v>
      </c>
      <c r="V273" s="4">
        <f t="shared" ref="V273:X273" si="272">SUM(D273, G273, J273, M273, P273, S273)</f>
        <v>1</v>
      </c>
      <c r="W273" s="4">
        <f t="shared" si="272"/>
        <v>0</v>
      </c>
      <c r="X273" s="4">
        <f t="shared" si="272"/>
        <v>2</v>
      </c>
    </row>
    <row r="274">
      <c r="A274" s="4" t="str">
        <f>IFERROR(__xludf.DUMMYFUNCTION("""COMPUTED_VALUE"""),"Школа 1590")</f>
        <v>Школа 1590</v>
      </c>
      <c r="B274" s="4" t="str">
        <f t="array" ref="B274">IFERROR(INDEX('Адреса школ'!F:F, MATCH(A274, 'Адреса школ'!E:E, 0)), "")</f>
        <v>55.862196, 37.503064</v>
      </c>
      <c r="C274" s="5" t="str">
        <f t="array" ref="C274">IFERROR(INDEX('Топ-400'!A:A, MATCH(A274, 'Топ-400'!E:E, 0)), "Вне рейтинга")</f>
        <v>100</v>
      </c>
      <c r="D274" s="6">
        <f>IFERROR(__xludf.DUMMYFUNCTION("""COMPUTED_VALUE"""),0.0)</f>
        <v>0</v>
      </c>
      <c r="E274" s="6">
        <f>IFERROR(__xludf.DUMMYFUNCTION("""COMPUTED_VALUE"""),0.0)</f>
        <v>0</v>
      </c>
      <c r="F274" s="6">
        <f>IFERROR(__xludf.DUMMYFUNCTION("""COMPUTED_VALUE"""),0.0)</f>
        <v>0</v>
      </c>
      <c r="G274" s="6">
        <f>IFERROR(__xludf.DUMMYFUNCTION("""COMPUTED_VALUE"""),0.0)</f>
        <v>0</v>
      </c>
      <c r="H274" s="6">
        <f>IFERROR(__xludf.DUMMYFUNCTION("""COMPUTED_VALUE"""),0.0)</f>
        <v>0</v>
      </c>
      <c r="I274" s="6">
        <f>IFERROR(__xludf.DUMMYFUNCTION("""COMPUTED_VALUE"""),0.0)</f>
        <v>0</v>
      </c>
      <c r="J274" s="6">
        <f>IFERROR(__xludf.DUMMYFUNCTION("""COMPUTED_VALUE"""),0.0)</f>
        <v>0</v>
      </c>
      <c r="K274" s="6">
        <f>IFERROR(__xludf.DUMMYFUNCTION("""COMPUTED_VALUE"""),0.0)</f>
        <v>0</v>
      </c>
      <c r="L274" s="6">
        <f>IFERROR(__xludf.DUMMYFUNCTION("""COMPUTED_VALUE"""),0.0)</f>
        <v>0</v>
      </c>
      <c r="M274" s="6">
        <f>IFERROR(__xludf.DUMMYFUNCTION("""COMPUTED_VALUE"""),1.0)</f>
        <v>1</v>
      </c>
      <c r="N274" s="6">
        <f>IFERROR(__xludf.DUMMYFUNCTION("""COMPUTED_VALUE"""),1.0)</f>
        <v>1</v>
      </c>
      <c r="O274" s="6">
        <f>IFERROR(__xludf.DUMMYFUNCTION("""COMPUTED_VALUE"""),1.0)</f>
        <v>1</v>
      </c>
      <c r="P274" s="6">
        <f>IFERROR(__xludf.DUMMYFUNCTION("""COMPUTED_VALUE"""),0.0)</f>
        <v>0</v>
      </c>
      <c r="Q274" s="6">
        <f>IFERROR(__xludf.DUMMYFUNCTION("""COMPUTED_VALUE"""),0.0)</f>
        <v>0</v>
      </c>
      <c r="R274" s="6">
        <f>IFERROR(__xludf.DUMMYFUNCTION("""COMPUTED_VALUE"""),0.0)</f>
        <v>0</v>
      </c>
      <c r="S274" s="6">
        <f>IFERROR(__xludf.DUMMYFUNCTION("""COMPUTED_VALUE"""),0.0)</f>
        <v>0</v>
      </c>
      <c r="T274" s="6">
        <f>IFERROR(__xludf.DUMMYFUNCTION("""COMPUTED_VALUE"""),0.0)</f>
        <v>0</v>
      </c>
      <c r="U274" s="6">
        <f>IFERROR(__xludf.DUMMYFUNCTION("""COMPUTED_VALUE"""),0.0)</f>
        <v>0</v>
      </c>
      <c r="V274" s="4">
        <f t="shared" ref="V274:X274" si="273">SUM(D274, G274, J274, M274, P274, S274)</f>
        <v>1</v>
      </c>
      <c r="W274" s="4">
        <f t="shared" si="273"/>
        <v>1</v>
      </c>
      <c r="X274" s="4">
        <f t="shared" si="273"/>
        <v>1</v>
      </c>
    </row>
    <row r="275">
      <c r="A275" s="4" t="str">
        <f>IFERROR(__xludf.DUMMYFUNCTION("""COMPUTED_VALUE"""),"Школа 1591")</f>
        <v>Школа 1591</v>
      </c>
      <c r="B275" s="4" t="str">
        <f t="array" ref="B275">IFERROR(INDEX('Адреса школ'!F:F, MATCH(A275, 'Адреса школ'!E:E, 0)), "")</f>
        <v>55.74186, 37.87211</v>
      </c>
      <c r="C275" s="5" t="str">
        <f t="array" ref="C275">IFERROR(INDEX('Топ-400'!A:A, MATCH(A275, 'Топ-400'!E:E, 0)), "Вне рейтинга")</f>
        <v>306</v>
      </c>
      <c r="D275" s="6">
        <f>IFERROR(__xludf.DUMMYFUNCTION("""COMPUTED_VALUE"""),1.0)</f>
        <v>1</v>
      </c>
      <c r="E275" s="6">
        <f>IFERROR(__xludf.DUMMYFUNCTION("""COMPUTED_VALUE"""),1.0)</f>
        <v>1</v>
      </c>
      <c r="F275" s="6">
        <f>IFERROR(__xludf.DUMMYFUNCTION("""COMPUTED_VALUE"""),1.0)</f>
        <v>1</v>
      </c>
      <c r="G275" s="6">
        <f>IFERROR(__xludf.DUMMYFUNCTION("""COMPUTED_VALUE"""),0.0)</f>
        <v>0</v>
      </c>
      <c r="H275" s="6">
        <f>IFERROR(__xludf.DUMMYFUNCTION("""COMPUTED_VALUE"""),0.0)</f>
        <v>0</v>
      </c>
      <c r="I275" s="6">
        <f>IFERROR(__xludf.DUMMYFUNCTION("""COMPUTED_VALUE"""),0.0)</f>
        <v>0</v>
      </c>
      <c r="J275" s="6">
        <f>IFERROR(__xludf.DUMMYFUNCTION("""COMPUTED_VALUE"""),0.0)</f>
        <v>0</v>
      </c>
      <c r="K275" s="6">
        <f>IFERROR(__xludf.DUMMYFUNCTION("""COMPUTED_VALUE"""),0.0)</f>
        <v>0</v>
      </c>
      <c r="L275" s="6">
        <f>IFERROR(__xludf.DUMMYFUNCTION("""COMPUTED_VALUE"""),0.0)</f>
        <v>0</v>
      </c>
      <c r="M275" s="6">
        <f>IFERROR(__xludf.DUMMYFUNCTION("""COMPUTED_VALUE"""),0.0)</f>
        <v>0</v>
      </c>
      <c r="N275" s="6">
        <f>IFERROR(__xludf.DUMMYFUNCTION("""COMPUTED_VALUE"""),1.0)</f>
        <v>1</v>
      </c>
      <c r="O275" s="6">
        <f>IFERROR(__xludf.DUMMYFUNCTION("""COMPUTED_VALUE"""),1.0)</f>
        <v>1</v>
      </c>
      <c r="P275" s="6">
        <f>IFERROR(__xludf.DUMMYFUNCTION("""COMPUTED_VALUE"""),0.0)</f>
        <v>0</v>
      </c>
      <c r="Q275" s="6">
        <f>IFERROR(__xludf.DUMMYFUNCTION("""COMPUTED_VALUE"""),0.0)</f>
        <v>0</v>
      </c>
      <c r="R275" s="6">
        <f>IFERROR(__xludf.DUMMYFUNCTION("""COMPUTED_VALUE"""),0.0)</f>
        <v>0</v>
      </c>
      <c r="S275" s="6">
        <f>IFERROR(__xludf.DUMMYFUNCTION("""COMPUTED_VALUE"""),0.0)</f>
        <v>0</v>
      </c>
      <c r="T275" s="6">
        <f>IFERROR(__xludf.DUMMYFUNCTION("""COMPUTED_VALUE"""),0.0)</f>
        <v>0</v>
      </c>
      <c r="U275" s="6">
        <f>IFERROR(__xludf.DUMMYFUNCTION("""COMPUTED_VALUE"""),0.0)</f>
        <v>0</v>
      </c>
      <c r="V275" s="4">
        <f t="shared" ref="V275:X275" si="274">SUM(D275, G275, J275, M275, P275, S275)</f>
        <v>1</v>
      </c>
      <c r="W275" s="4">
        <f t="shared" si="274"/>
        <v>2</v>
      </c>
      <c r="X275" s="4">
        <f t="shared" si="274"/>
        <v>2</v>
      </c>
    </row>
    <row r="276">
      <c r="A276" s="4" t="str">
        <f>IFERROR(__xludf.DUMMYFUNCTION("""COMPUTED_VALUE"""),"Школа 1593")</f>
        <v>Школа 1593</v>
      </c>
      <c r="B276" s="4" t="str">
        <f t="array" ref="B276">IFERROR(INDEX('Адреса школ'!F:F, MATCH(A276, 'Адреса школ'!E:E, 0)), "")</f>
        <v>55.764653, 37.41467</v>
      </c>
      <c r="C276" s="5" t="str">
        <f t="array" ref="C276">IFERROR(INDEX('Топ-400'!A:A, MATCH(A276, 'Топ-400'!E:E, 0)), "Вне рейтинга")</f>
        <v>230</v>
      </c>
      <c r="D276" s="6">
        <f>IFERROR(__xludf.DUMMYFUNCTION("""COMPUTED_VALUE"""),1.0)</f>
        <v>1</v>
      </c>
      <c r="E276" s="6">
        <f>IFERROR(__xludf.DUMMYFUNCTION("""COMPUTED_VALUE"""),0.0)</f>
        <v>0</v>
      </c>
      <c r="F276" s="6">
        <f>IFERROR(__xludf.DUMMYFUNCTION("""COMPUTED_VALUE"""),1.0)</f>
        <v>1</v>
      </c>
      <c r="G276" s="6">
        <f>IFERROR(__xludf.DUMMYFUNCTION("""COMPUTED_VALUE"""),0.0)</f>
        <v>0</v>
      </c>
      <c r="H276" s="6">
        <f>IFERROR(__xludf.DUMMYFUNCTION("""COMPUTED_VALUE"""),0.0)</f>
        <v>0</v>
      </c>
      <c r="I276" s="6">
        <f>IFERROR(__xludf.DUMMYFUNCTION("""COMPUTED_VALUE"""),0.0)</f>
        <v>0</v>
      </c>
      <c r="J276" s="6">
        <f>IFERROR(__xludf.DUMMYFUNCTION("""COMPUTED_VALUE"""),0.0)</f>
        <v>0</v>
      </c>
      <c r="K276" s="6">
        <f>IFERROR(__xludf.DUMMYFUNCTION("""COMPUTED_VALUE"""),0.0)</f>
        <v>0</v>
      </c>
      <c r="L276" s="6">
        <f>IFERROR(__xludf.DUMMYFUNCTION("""COMPUTED_VALUE"""),0.0)</f>
        <v>0</v>
      </c>
      <c r="M276" s="6">
        <f>IFERROR(__xludf.DUMMYFUNCTION("""COMPUTED_VALUE"""),1.0)</f>
        <v>1</v>
      </c>
      <c r="N276" s="6">
        <f>IFERROR(__xludf.DUMMYFUNCTION("""COMPUTED_VALUE"""),0.0)</f>
        <v>0</v>
      </c>
      <c r="O276" s="6">
        <f>IFERROR(__xludf.DUMMYFUNCTION("""COMPUTED_VALUE"""),0.0)</f>
        <v>0</v>
      </c>
      <c r="P276" s="6">
        <f>IFERROR(__xludf.DUMMYFUNCTION("""COMPUTED_VALUE"""),0.0)</f>
        <v>0</v>
      </c>
      <c r="Q276" s="6">
        <f>IFERROR(__xludf.DUMMYFUNCTION("""COMPUTED_VALUE"""),0.0)</f>
        <v>0</v>
      </c>
      <c r="R276" s="6">
        <f>IFERROR(__xludf.DUMMYFUNCTION("""COMPUTED_VALUE"""),0.0)</f>
        <v>0</v>
      </c>
      <c r="S276" s="6">
        <f>IFERROR(__xludf.DUMMYFUNCTION("""COMPUTED_VALUE"""),0.0)</f>
        <v>0</v>
      </c>
      <c r="T276" s="6">
        <f>IFERROR(__xludf.DUMMYFUNCTION("""COMPUTED_VALUE"""),0.0)</f>
        <v>0</v>
      </c>
      <c r="U276" s="6">
        <f>IFERROR(__xludf.DUMMYFUNCTION("""COMPUTED_VALUE"""),0.0)</f>
        <v>0</v>
      </c>
      <c r="V276" s="4">
        <f t="shared" ref="V276:X276" si="275">SUM(D276, G276, J276, M276, P276, S276)</f>
        <v>2</v>
      </c>
      <c r="W276" s="4">
        <f t="shared" si="275"/>
        <v>0</v>
      </c>
      <c r="X276" s="4">
        <f t="shared" si="275"/>
        <v>1</v>
      </c>
    </row>
    <row r="277">
      <c r="A277" s="4" t="str">
        <f>IFERROR(__xludf.DUMMYFUNCTION("""COMPUTED_VALUE"""),"Школа 1596")</f>
        <v>Школа 1596</v>
      </c>
      <c r="B277" s="4" t="str">
        <f t="array" ref="B277">IFERROR(INDEX('Адреса школ'!F:F, MATCH(A277, 'Адреса школ'!E:E, 0)), "")</f>
        <v>55.64162, 37.371335</v>
      </c>
      <c r="C277" s="5" t="str">
        <f t="array" ref="C277">IFERROR(INDEX('Топ-400'!A:A, MATCH(A277, 'Топ-400'!E:E, 0)), "Вне рейтинга")</f>
        <v>233</v>
      </c>
      <c r="D277" s="6">
        <f>IFERROR(__xludf.DUMMYFUNCTION("""COMPUTED_VALUE"""),0.0)</f>
        <v>0</v>
      </c>
      <c r="E277" s="6">
        <f>IFERROR(__xludf.DUMMYFUNCTION("""COMPUTED_VALUE"""),0.0)</f>
        <v>0</v>
      </c>
      <c r="F277" s="6">
        <f>IFERROR(__xludf.DUMMYFUNCTION("""COMPUTED_VALUE"""),0.0)</f>
        <v>0</v>
      </c>
      <c r="G277" s="6">
        <f>IFERROR(__xludf.DUMMYFUNCTION("""COMPUTED_VALUE"""),0.0)</f>
        <v>0</v>
      </c>
      <c r="H277" s="6">
        <f>IFERROR(__xludf.DUMMYFUNCTION("""COMPUTED_VALUE"""),0.0)</f>
        <v>0</v>
      </c>
      <c r="I277" s="6">
        <f>IFERROR(__xludf.DUMMYFUNCTION("""COMPUTED_VALUE"""),0.0)</f>
        <v>0</v>
      </c>
      <c r="J277" s="6">
        <f>IFERROR(__xludf.DUMMYFUNCTION("""COMPUTED_VALUE"""),0.0)</f>
        <v>0</v>
      </c>
      <c r="K277" s="6">
        <f>IFERROR(__xludf.DUMMYFUNCTION("""COMPUTED_VALUE"""),0.0)</f>
        <v>0</v>
      </c>
      <c r="L277" s="6">
        <f>IFERROR(__xludf.DUMMYFUNCTION("""COMPUTED_VALUE"""),1.0)</f>
        <v>1</v>
      </c>
      <c r="M277" s="6">
        <f>IFERROR(__xludf.DUMMYFUNCTION("""COMPUTED_VALUE"""),1.0)</f>
        <v>1</v>
      </c>
      <c r="N277" s="6">
        <f>IFERROR(__xludf.DUMMYFUNCTION("""COMPUTED_VALUE"""),0.0)</f>
        <v>0</v>
      </c>
      <c r="O277" s="6">
        <f>IFERROR(__xludf.DUMMYFUNCTION("""COMPUTED_VALUE"""),0.0)</f>
        <v>0</v>
      </c>
      <c r="P277" s="6">
        <f>IFERROR(__xludf.DUMMYFUNCTION("""COMPUTED_VALUE"""),0.0)</f>
        <v>0</v>
      </c>
      <c r="Q277" s="6">
        <f>IFERROR(__xludf.DUMMYFUNCTION("""COMPUTED_VALUE"""),0.0)</f>
        <v>0</v>
      </c>
      <c r="R277" s="6">
        <f>IFERROR(__xludf.DUMMYFUNCTION("""COMPUTED_VALUE"""),0.0)</f>
        <v>0</v>
      </c>
      <c r="S277" s="6">
        <f>IFERROR(__xludf.DUMMYFUNCTION("""COMPUTED_VALUE"""),0.0)</f>
        <v>0</v>
      </c>
      <c r="T277" s="6">
        <f>IFERROR(__xludf.DUMMYFUNCTION("""COMPUTED_VALUE"""),0.0)</f>
        <v>0</v>
      </c>
      <c r="U277" s="6">
        <f>IFERROR(__xludf.DUMMYFUNCTION("""COMPUTED_VALUE"""),0.0)</f>
        <v>0</v>
      </c>
      <c r="V277" s="4">
        <f t="shared" ref="V277:X277" si="276">SUM(D277, G277, J277, M277, P277, S277)</f>
        <v>1</v>
      </c>
      <c r="W277" s="4">
        <f t="shared" si="276"/>
        <v>0</v>
      </c>
      <c r="X277" s="4">
        <f t="shared" si="276"/>
        <v>1</v>
      </c>
    </row>
    <row r="278">
      <c r="A278" s="4" t="str">
        <f>IFERROR(__xludf.DUMMYFUNCTION("""COMPUTED_VALUE"""),"Школа 1598")</f>
        <v>Школа 1598</v>
      </c>
      <c r="B278" s="4" t="str">
        <f t="array" ref="B278">IFERROR(INDEX('Адреса школ'!F:F, MATCH(A278, 'Адреса школ'!E:E, 0)), "")</f>
        <v>55.824516, 37.828021</v>
      </c>
      <c r="C278" s="5" t="str">
        <f t="array" ref="C278">IFERROR(INDEX('Топ-400'!A:A, MATCH(A278, 'Топ-400'!E:E, 0)), "Вне рейтинга")</f>
        <v>303</v>
      </c>
      <c r="D278" s="6">
        <f>IFERROR(__xludf.DUMMYFUNCTION("""COMPUTED_VALUE"""),1.0)</f>
        <v>1</v>
      </c>
      <c r="E278" s="6">
        <f>IFERROR(__xludf.DUMMYFUNCTION("""COMPUTED_VALUE"""),0.0)</f>
        <v>0</v>
      </c>
      <c r="F278" s="6">
        <f>IFERROR(__xludf.DUMMYFUNCTION("""COMPUTED_VALUE"""),0.0)</f>
        <v>0</v>
      </c>
      <c r="G278" s="6">
        <f>IFERROR(__xludf.DUMMYFUNCTION("""COMPUTED_VALUE"""),0.0)</f>
        <v>0</v>
      </c>
      <c r="H278" s="6">
        <f>IFERROR(__xludf.DUMMYFUNCTION("""COMPUTED_VALUE"""),0.0)</f>
        <v>0</v>
      </c>
      <c r="I278" s="6">
        <f>IFERROR(__xludf.DUMMYFUNCTION("""COMPUTED_VALUE"""),0.0)</f>
        <v>0</v>
      </c>
      <c r="J278" s="6">
        <f>IFERROR(__xludf.DUMMYFUNCTION("""COMPUTED_VALUE"""),0.0)</f>
        <v>0</v>
      </c>
      <c r="K278" s="6">
        <f>IFERROR(__xludf.DUMMYFUNCTION("""COMPUTED_VALUE"""),1.0)</f>
        <v>1</v>
      </c>
      <c r="L278" s="6">
        <f>IFERROR(__xludf.DUMMYFUNCTION("""COMPUTED_VALUE"""),1.0)</f>
        <v>1</v>
      </c>
      <c r="M278" s="6">
        <f>IFERROR(__xludf.DUMMYFUNCTION("""COMPUTED_VALUE"""),0.0)</f>
        <v>0</v>
      </c>
      <c r="N278" s="6">
        <f>IFERROR(__xludf.DUMMYFUNCTION("""COMPUTED_VALUE"""),0.0)</f>
        <v>0</v>
      </c>
      <c r="O278" s="6">
        <f>IFERROR(__xludf.DUMMYFUNCTION("""COMPUTED_VALUE"""),0.0)</f>
        <v>0</v>
      </c>
      <c r="P278" s="6">
        <f>IFERROR(__xludf.DUMMYFUNCTION("""COMPUTED_VALUE"""),0.0)</f>
        <v>0</v>
      </c>
      <c r="Q278" s="6">
        <f>IFERROR(__xludf.DUMMYFUNCTION("""COMPUTED_VALUE"""),0.0)</f>
        <v>0</v>
      </c>
      <c r="R278" s="6">
        <f>IFERROR(__xludf.DUMMYFUNCTION("""COMPUTED_VALUE"""),0.0)</f>
        <v>0</v>
      </c>
      <c r="S278" s="6">
        <f>IFERROR(__xludf.DUMMYFUNCTION("""COMPUTED_VALUE"""),0.0)</f>
        <v>0</v>
      </c>
      <c r="T278" s="6">
        <f>IFERROR(__xludf.DUMMYFUNCTION("""COMPUTED_VALUE"""),0.0)</f>
        <v>0</v>
      </c>
      <c r="U278" s="6">
        <f>IFERROR(__xludf.DUMMYFUNCTION("""COMPUTED_VALUE"""),0.0)</f>
        <v>0</v>
      </c>
      <c r="V278" s="4">
        <f t="shared" ref="V278:X278" si="277">SUM(D278, G278, J278, M278, P278, S278)</f>
        <v>1</v>
      </c>
      <c r="W278" s="4">
        <f t="shared" si="277"/>
        <v>1</v>
      </c>
      <c r="X278" s="4">
        <f t="shared" si="277"/>
        <v>1</v>
      </c>
    </row>
    <row r="279">
      <c r="A279" s="4" t="str">
        <f>IFERROR(__xludf.DUMMYFUNCTION("""COMPUTED_VALUE"""),"Школа 1601")</f>
        <v>Школа 1601</v>
      </c>
      <c r="B279" s="4" t="str">
        <f t="array" ref="B279">IFERROR(INDEX('Адреса школ'!F:F, MATCH(A279, 'Адреса школ'!E:E, 0)), "")</f>
        <v>55.791597, 37.577993</v>
      </c>
      <c r="C279" s="5" t="str">
        <f t="array" ref="C279">IFERROR(INDEX('Топ-400'!A:A, MATCH(A279, 'Топ-400'!E:E, 0)), "Вне рейтинга")</f>
        <v>337</v>
      </c>
      <c r="D279" s="6">
        <f>IFERROR(__xludf.DUMMYFUNCTION("""COMPUTED_VALUE"""),1.0)</f>
        <v>1</v>
      </c>
      <c r="E279" s="6">
        <f>IFERROR(__xludf.DUMMYFUNCTION("""COMPUTED_VALUE"""),1.0)</f>
        <v>1</v>
      </c>
      <c r="F279" s="6">
        <f>IFERROR(__xludf.DUMMYFUNCTION("""COMPUTED_VALUE"""),1.0)</f>
        <v>1</v>
      </c>
      <c r="G279" s="6">
        <f>IFERROR(__xludf.DUMMYFUNCTION("""COMPUTED_VALUE"""),1.0)</f>
        <v>1</v>
      </c>
      <c r="H279" s="6">
        <f>IFERROR(__xludf.DUMMYFUNCTION("""COMPUTED_VALUE"""),0.0)</f>
        <v>0</v>
      </c>
      <c r="I279" s="6">
        <f>IFERROR(__xludf.DUMMYFUNCTION("""COMPUTED_VALUE"""),0.0)</f>
        <v>0</v>
      </c>
      <c r="J279" s="6">
        <f>IFERROR(__xludf.DUMMYFUNCTION("""COMPUTED_VALUE"""),0.0)</f>
        <v>0</v>
      </c>
      <c r="K279" s="6">
        <f>IFERROR(__xludf.DUMMYFUNCTION("""COMPUTED_VALUE"""),0.0)</f>
        <v>0</v>
      </c>
      <c r="L279" s="6">
        <f>IFERROR(__xludf.DUMMYFUNCTION("""COMPUTED_VALUE"""),0.0)</f>
        <v>0</v>
      </c>
      <c r="M279" s="6">
        <f>IFERROR(__xludf.DUMMYFUNCTION("""COMPUTED_VALUE"""),1.0)</f>
        <v>1</v>
      </c>
      <c r="N279" s="6">
        <f>IFERROR(__xludf.DUMMYFUNCTION("""COMPUTED_VALUE"""),1.0)</f>
        <v>1</v>
      </c>
      <c r="O279" s="6">
        <f>IFERROR(__xludf.DUMMYFUNCTION("""COMPUTED_VALUE"""),1.0)</f>
        <v>1</v>
      </c>
      <c r="P279" s="6">
        <f>IFERROR(__xludf.DUMMYFUNCTION("""COMPUTED_VALUE"""),0.0)</f>
        <v>0</v>
      </c>
      <c r="Q279" s="6">
        <f>IFERROR(__xludf.DUMMYFUNCTION("""COMPUTED_VALUE"""),0.0)</f>
        <v>0</v>
      </c>
      <c r="R279" s="6">
        <f>IFERROR(__xludf.DUMMYFUNCTION("""COMPUTED_VALUE"""),0.0)</f>
        <v>0</v>
      </c>
      <c r="S279" s="6">
        <f>IFERROR(__xludf.DUMMYFUNCTION("""COMPUTED_VALUE"""),0.0)</f>
        <v>0</v>
      </c>
      <c r="T279" s="6">
        <f>IFERROR(__xludf.DUMMYFUNCTION("""COMPUTED_VALUE"""),0.0)</f>
        <v>0</v>
      </c>
      <c r="U279" s="6">
        <f>IFERROR(__xludf.DUMMYFUNCTION("""COMPUTED_VALUE"""),0.0)</f>
        <v>0</v>
      </c>
      <c r="V279" s="4">
        <f t="shared" ref="V279:X279" si="278">SUM(D279, G279, J279, M279, P279, S279)</f>
        <v>3</v>
      </c>
      <c r="W279" s="4">
        <f t="shared" si="278"/>
        <v>2</v>
      </c>
      <c r="X279" s="4">
        <f t="shared" si="278"/>
        <v>2</v>
      </c>
    </row>
    <row r="280">
      <c r="A280" s="4" t="str">
        <f>IFERROR(__xludf.DUMMYFUNCTION("""COMPUTED_VALUE"""),"Школа 1619")</f>
        <v>Школа 1619</v>
      </c>
      <c r="B280" s="4" t="str">
        <f t="array" ref="B280">IFERROR(INDEX('Адреса школ'!F:F, MATCH(A280, 'Адреса школ'!E:E, 0)), "")</f>
        <v>55.797301, 37.405094</v>
      </c>
      <c r="C280" s="5" t="str">
        <f t="array" ref="C280">IFERROR(INDEX('Топ-400'!A:A, MATCH(A280, 'Топ-400'!E:E, 0)), "Вне рейтинга")</f>
        <v>Вне рейтинга</v>
      </c>
      <c r="D280" s="6">
        <f>IFERROR(__xludf.DUMMYFUNCTION("""COMPUTED_VALUE"""),0.0)</f>
        <v>0</v>
      </c>
      <c r="E280" s="6">
        <f>IFERROR(__xludf.DUMMYFUNCTION("""COMPUTED_VALUE"""),0.0)</f>
        <v>0</v>
      </c>
      <c r="F280" s="6">
        <f>IFERROR(__xludf.DUMMYFUNCTION("""COMPUTED_VALUE"""),0.0)</f>
        <v>0</v>
      </c>
      <c r="G280" s="6">
        <f>IFERROR(__xludf.DUMMYFUNCTION("""COMPUTED_VALUE"""),0.0)</f>
        <v>0</v>
      </c>
      <c r="H280" s="6">
        <f>IFERROR(__xludf.DUMMYFUNCTION("""COMPUTED_VALUE"""),0.0)</f>
        <v>0</v>
      </c>
      <c r="I280" s="6">
        <f>IFERROR(__xludf.DUMMYFUNCTION("""COMPUTED_VALUE"""),1.0)</f>
        <v>1</v>
      </c>
      <c r="J280" s="6">
        <f>IFERROR(__xludf.DUMMYFUNCTION("""COMPUTED_VALUE"""),0.0)</f>
        <v>0</v>
      </c>
      <c r="K280" s="6">
        <f>IFERROR(__xludf.DUMMYFUNCTION("""COMPUTED_VALUE"""),0.0)</f>
        <v>0</v>
      </c>
      <c r="L280" s="6">
        <f>IFERROR(__xludf.DUMMYFUNCTION("""COMPUTED_VALUE"""),0.0)</f>
        <v>0</v>
      </c>
      <c r="M280" s="6">
        <f>IFERROR(__xludf.DUMMYFUNCTION("""COMPUTED_VALUE"""),0.0)</f>
        <v>0</v>
      </c>
      <c r="N280" s="6">
        <f>IFERROR(__xludf.DUMMYFUNCTION("""COMPUTED_VALUE"""),0.0)</f>
        <v>0</v>
      </c>
      <c r="O280" s="6">
        <f>IFERROR(__xludf.DUMMYFUNCTION("""COMPUTED_VALUE"""),1.0)</f>
        <v>1</v>
      </c>
      <c r="P280" s="6">
        <f>IFERROR(__xludf.DUMMYFUNCTION("""COMPUTED_VALUE"""),0.0)</f>
        <v>0</v>
      </c>
      <c r="Q280" s="6">
        <f>IFERROR(__xludf.DUMMYFUNCTION("""COMPUTED_VALUE"""),0.0)</f>
        <v>0</v>
      </c>
      <c r="R280" s="6">
        <f>IFERROR(__xludf.DUMMYFUNCTION("""COMPUTED_VALUE"""),0.0)</f>
        <v>0</v>
      </c>
      <c r="S280" s="6">
        <f>IFERROR(__xludf.DUMMYFUNCTION("""COMPUTED_VALUE"""),0.0)</f>
        <v>0</v>
      </c>
      <c r="T280" s="6">
        <f>IFERROR(__xludf.DUMMYFUNCTION("""COMPUTED_VALUE"""),0.0)</f>
        <v>0</v>
      </c>
      <c r="U280" s="6">
        <f>IFERROR(__xludf.DUMMYFUNCTION("""COMPUTED_VALUE"""),0.0)</f>
        <v>0</v>
      </c>
      <c r="V280" s="4">
        <f t="shared" ref="V280:X280" si="279">SUM(D280, G280, J280, M280, P280, S280)</f>
        <v>0</v>
      </c>
      <c r="W280" s="4">
        <f t="shared" si="279"/>
        <v>0</v>
      </c>
      <c r="X280" s="4">
        <f t="shared" si="279"/>
        <v>2</v>
      </c>
    </row>
    <row r="281">
      <c r="A281" s="4" t="str">
        <f>IFERROR(__xludf.DUMMYFUNCTION("""COMPUTED_VALUE"""),"Школа 1636")</f>
        <v>Школа 1636</v>
      </c>
      <c r="B281" s="4" t="str">
        <f t="array" ref="B281">IFERROR(INDEX('Адреса школ'!F:F, MATCH(A281, 'Адреса школ'!E:E, 0)), "")</f>
        <v>55.610692, 37.72838</v>
      </c>
      <c r="C281" s="5" t="str">
        <f t="array" ref="C281">IFERROR(INDEX('Топ-400'!A:A, MATCH(A281, 'Топ-400'!E:E, 0)), "Вне рейтинга")</f>
        <v>Вне рейтинга</v>
      </c>
      <c r="D281" s="6">
        <f>IFERROR(__xludf.DUMMYFUNCTION("""COMPUTED_VALUE"""),0.0)</f>
        <v>0</v>
      </c>
      <c r="E281" s="6">
        <f>IFERROR(__xludf.DUMMYFUNCTION("""COMPUTED_VALUE"""),0.0)</f>
        <v>0</v>
      </c>
      <c r="F281" s="6">
        <f>IFERROR(__xludf.DUMMYFUNCTION("""COMPUTED_VALUE"""),0.0)</f>
        <v>0</v>
      </c>
      <c r="G281" s="6">
        <f>IFERROR(__xludf.DUMMYFUNCTION("""COMPUTED_VALUE"""),1.0)</f>
        <v>1</v>
      </c>
      <c r="H281" s="6">
        <f>IFERROR(__xludf.DUMMYFUNCTION("""COMPUTED_VALUE"""),1.0)</f>
        <v>1</v>
      </c>
      <c r="I281" s="6">
        <f>IFERROR(__xludf.DUMMYFUNCTION("""COMPUTED_VALUE"""),1.0)</f>
        <v>1</v>
      </c>
      <c r="J281" s="6">
        <f>IFERROR(__xludf.DUMMYFUNCTION("""COMPUTED_VALUE"""),1.0)</f>
        <v>1</v>
      </c>
      <c r="K281" s="6">
        <f>IFERROR(__xludf.DUMMYFUNCTION("""COMPUTED_VALUE"""),1.0)</f>
        <v>1</v>
      </c>
      <c r="L281" s="6">
        <f>IFERROR(__xludf.DUMMYFUNCTION("""COMPUTED_VALUE"""),1.0)</f>
        <v>1</v>
      </c>
      <c r="M281" s="6">
        <f>IFERROR(__xludf.DUMMYFUNCTION("""COMPUTED_VALUE"""),0.0)</f>
        <v>0</v>
      </c>
      <c r="N281" s="6">
        <f>IFERROR(__xludf.DUMMYFUNCTION("""COMPUTED_VALUE"""),1.0)</f>
        <v>1</v>
      </c>
      <c r="O281" s="6">
        <f>IFERROR(__xludf.DUMMYFUNCTION("""COMPUTED_VALUE"""),1.0)</f>
        <v>1</v>
      </c>
      <c r="P281" s="6">
        <f>IFERROR(__xludf.DUMMYFUNCTION("""COMPUTED_VALUE"""),1.0)</f>
        <v>1</v>
      </c>
      <c r="Q281" s="6">
        <f>IFERROR(__xludf.DUMMYFUNCTION("""COMPUTED_VALUE"""),1.0)</f>
        <v>1</v>
      </c>
      <c r="R281" s="6">
        <f>IFERROR(__xludf.DUMMYFUNCTION("""COMPUTED_VALUE"""),1.0)</f>
        <v>1</v>
      </c>
      <c r="S281" s="6">
        <f>IFERROR(__xludf.DUMMYFUNCTION("""COMPUTED_VALUE"""),0.0)</f>
        <v>0</v>
      </c>
      <c r="T281" s="6">
        <f>IFERROR(__xludf.DUMMYFUNCTION("""COMPUTED_VALUE"""),0.0)</f>
        <v>0</v>
      </c>
      <c r="U281" s="6">
        <f>IFERROR(__xludf.DUMMYFUNCTION("""COMPUTED_VALUE"""),0.0)</f>
        <v>0</v>
      </c>
      <c r="V281" s="4">
        <f t="shared" ref="V281:X281" si="280">SUM(D281, G281, J281, M281, P281, S281)</f>
        <v>3</v>
      </c>
      <c r="W281" s="4">
        <f t="shared" si="280"/>
        <v>4</v>
      </c>
      <c r="X281" s="4">
        <f t="shared" si="280"/>
        <v>4</v>
      </c>
    </row>
    <row r="282">
      <c r="A282" s="4" t="str">
        <f>IFERROR(__xludf.DUMMYFUNCTION("""COMPUTED_VALUE"""),"Школа 1637")</f>
        <v>Школа 1637</v>
      </c>
      <c r="B282" s="4" t="str">
        <f t="array" ref="B282">IFERROR(INDEX('Адреса школ'!F:F, MATCH(A282, 'Адреса школ'!E:E, 0)), "")</f>
        <v>55.759527, 37.783644</v>
      </c>
      <c r="C282" s="5" t="str">
        <f t="array" ref="C282">IFERROR(INDEX('Топ-400'!A:A, MATCH(A282, 'Топ-400'!E:E, 0)), "Вне рейтинга")</f>
        <v>308</v>
      </c>
      <c r="D282" s="6">
        <f>IFERROR(__xludf.DUMMYFUNCTION("""COMPUTED_VALUE"""),0.0)</f>
        <v>0</v>
      </c>
      <c r="E282" s="6">
        <f>IFERROR(__xludf.DUMMYFUNCTION("""COMPUTED_VALUE"""),0.0)</f>
        <v>0</v>
      </c>
      <c r="F282" s="6">
        <f>IFERROR(__xludf.DUMMYFUNCTION("""COMPUTED_VALUE"""),0.0)</f>
        <v>0</v>
      </c>
      <c r="G282" s="6">
        <f>IFERROR(__xludf.DUMMYFUNCTION("""COMPUTED_VALUE"""),1.0)</f>
        <v>1</v>
      </c>
      <c r="H282" s="6">
        <f>IFERROR(__xludf.DUMMYFUNCTION("""COMPUTED_VALUE"""),0.0)</f>
        <v>0</v>
      </c>
      <c r="I282" s="6">
        <f>IFERROR(__xludf.DUMMYFUNCTION("""COMPUTED_VALUE"""),0.0)</f>
        <v>0</v>
      </c>
      <c r="J282" s="6">
        <f>IFERROR(__xludf.DUMMYFUNCTION("""COMPUTED_VALUE"""),0.0)</f>
        <v>0</v>
      </c>
      <c r="K282" s="6">
        <f>IFERROR(__xludf.DUMMYFUNCTION("""COMPUTED_VALUE"""),0.0)</f>
        <v>0</v>
      </c>
      <c r="L282" s="6">
        <f>IFERROR(__xludf.DUMMYFUNCTION("""COMPUTED_VALUE"""),0.0)</f>
        <v>0</v>
      </c>
      <c r="M282" s="6">
        <f>IFERROR(__xludf.DUMMYFUNCTION("""COMPUTED_VALUE"""),0.0)</f>
        <v>0</v>
      </c>
      <c r="N282" s="6">
        <f>IFERROR(__xludf.DUMMYFUNCTION("""COMPUTED_VALUE"""),0.0)</f>
        <v>0</v>
      </c>
      <c r="O282" s="6">
        <f>IFERROR(__xludf.DUMMYFUNCTION("""COMPUTED_VALUE"""),0.0)</f>
        <v>0</v>
      </c>
      <c r="P282" s="6">
        <f>IFERROR(__xludf.DUMMYFUNCTION("""COMPUTED_VALUE"""),1.0)</f>
        <v>1</v>
      </c>
      <c r="Q282" s="6">
        <f>IFERROR(__xludf.DUMMYFUNCTION("""COMPUTED_VALUE"""),1.0)</f>
        <v>1</v>
      </c>
      <c r="R282" s="6">
        <f>IFERROR(__xludf.DUMMYFUNCTION("""COMPUTED_VALUE"""),0.0)</f>
        <v>0</v>
      </c>
      <c r="S282" s="6">
        <f>IFERROR(__xludf.DUMMYFUNCTION("""COMPUTED_VALUE"""),0.0)</f>
        <v>0</v>
      </c>
      <c r="T282" s="6">
        <f>IFERROR(__xludf.DUMMYFUNCTION("""COMPUTED_VALUE"""),0.0)</f>
        <v>0</v>
      </c>
      <c r="U282" s="6">
        <f>IFERROR(__xludf.DUMMYFUNCTION("""COMPUTED_VALUE"""),0.0)</f>
        <v>0</v>
      </c>
      <c r="V282" s="4">
        <f t="shared" ref="V282:X282" si="281">SUM(D282, G282, J282, M282, P282, S282)</f>
        <v>2</v>
      </c>
      <c r="W282" s="4">
        <f t="shared" si="281"/>
        <v>1</v>
      </c>
      <c r="X282" s="4">
        <f t="shared" si="281"/>
        <v>0</v>
      </c>
    </row>
    <row r="283">
      <c r="A283" s="4" t="str">
        <f>IFERROR(__xludf.DUMMYFUNCTION("""COMPUTED_VALUE"""),"Школа 1679")</f>
        <v>Школа 1679</v>
      </c>
      <c r="B283" s="4" t="str">
        <f t="array" ref="B283">IFERROR(INDEX('Адреса школ'!F:F, MATCH(A283, 'Адреса школ'!E:E, 0)), "")</f>
        <v>55.827666, 37.519234</v>
      </c>
      <c r="C283" s="5" t="str">
        <f t="array" ref="C283">IFERROR(INDEX('Топ-400'!A:A, MATCH(A283, 'Топ-400'!E:E, 0)), "Вне рейтинга")</f>
        <v>Вне рейтинга</v>
      </c>
      <c r="D283" s="6">
        <f>IFERROR(__xludf.DUMMYFUNCTION("""COMPUTED_VALUE"""),0.0)</f>
        <v>0</v>
      </c>
      <c r="E283" s="6">
        <f>IFERROR(__xludf.DUMMYFUNCTION("""COMPUTED_VALUE"""),0.0)</f>
        <v>0</v>
      </c>
      <c r="F283" s="6">
        <f>IFERROR(__xludf.DUMMYFUNCTION("""COMPUTED_VALUE"""),0.0)</f>
        <v>0</v>
      </c>
      <c r="G283" s="6">
        <f>IFERROR(__xludf.DUMMYFUNCTION("""COMPUTED_VALUE"""),0.0)</f>
        <v>0</v>
      </c>
      <c r="H283" s="6">
        <f>IFERROR(__xludf.DUMMYFUNCTION("""COMPUTED_VALUE"""),0.0)</f>
        <v>0</v>
      </c>
      <c r="I283" s="6">
        <f>IFERROR(__xludf.DUMMYFUNCTION("""COMPUTED_VALUE"""),0.0)</f>
        <v>0</v>
      </c>
      <c r="J283" s="6">
        <f>IFERROR(__xludf.DUMMYFUNCTION("""COMPUTED_VALUE"""),1.0)</f>
        <v>1</v>
      </c>
      <c r="K283" s="6">
        <f>IFERROR(__xludf.DUMMYFUNCTION("""COMPUTED_VALUE"""),0.0)</f>
        <v>0</v>
      </c>
      <c r="L283" s="6">
        <f>IFERROR(__xludf.DUMMYFUNCTION("""COMPUTED_VALUE"""),0.0)</f>
        <v>0</v>
      </c>
      <c r="M283" s="6">
        <f>IFERROR(__xludf.DUMMYFUNCTION("""COMPUTED_VALUE"""),1.0)</f>
        <v>1</v>
      </c>
      <c r="N283" s="6">
        <f>IFERROR(__xludf.DUMMYFUNCTION("""COMPUTED_VALUE"""),0.0)</f>
        <v>0</v>
      </c>
      <c r="O283" s="6">
        <f>IFERROR(__xludf.DUMMYFUNCTION("""COMPUTED_VALUE"""),0.0)</f>
        <v>0</v>
      </c>
      <c r="P283" s="6">
        <f>IFERROR(__xludf.DUMMYFUNCTION("""COMPUTED_VALUE"""),0.0)</f>
        <v>0</v>
      </c>
      <c r="Q283" s="6">
        <f>IFERROR(__xludf.DUMMYFUNCTION("""COMPUTED_VALUE"""),0.0)</f>
        <v>0</v>
      </c>
      <c r="R283" s="6">
        <f>IFERROR(__xludf.DUMMYFUNCTION("""COMPUTED_VALUE"""),0.0)</f>
        <v>0</v>
      </c>
      <c r="S283" s="6">
        <f>IFERROR(__xludf.DUMMYFUNCTION("""COMPUTED_VALUE"""),0.0)</f>
        <v>0</v>
      </c>
      <c r="T283" s="6">
        <f>IFERROR(__xludf.DUMMYFUNCTION("""COMPUTED_VALUE"""),0.0)</f>
        <v>0</v>
      </c>
      <c r="U283" s="6">
        <f>IFERROR(__xludf.DUMMYFUNCTION("""COMPUTED_VALUE"""),0.0)</f>
        <v>0</v>
      </c>
      <c r="V283" s="4">
        <f t="shared" ref="V283:X283" si="282">SUM(D283, G283, J283, M283, P283, S283)</f>
        <v>2</v>
      </c>
      <c r="W283" s="4">
        <f t="shared" si="282"/>
        <v>0</v>
      </c>
      <c r="X283" s="4">
        <f t="shared" si="282"/>
        <v>0</v>
      </c>
    </row>
    <row r="284">
      <c r="A284" s="4" t="str">
        <f>IFERROR(__xludf.DUMMYFUNCTION("""COMPUTED_VALUE"""),"Школа 1694")</f>
        <v>Школа 1694</v>
      </c>
      <c r="B284" s="4" t="str">
        <f t="array" ref="B284">IFERROR(INDEX('Адреса школ'!F:F, MATCH(A284, 'Адреса школ'!E:E, 0)), "")</f>
        <v>55.612594, 37.544494</v>
      </c>
      <c r="C284" s="5" t="str">
        <f t="array" ref="C284">IFERROR(INDEX('Топ-400'!A:A, MATCH(A284, 'Топ-400'!E:E, 0)), "Вне рейтинга")</f>
        <v>Вне рейтинга</v>
      </c>
      <c r="D284" s="6">
        <f>IFERROR(__xludf.DUMMYFUNCTION("""COMPUTED_VALUE"""),0.0)</f>
        <v>0</v>
      </c>
      <c r="E284" s="6">
        <f>IFERROR(__xludf.DUMMYFUNCTION("""COMPUTED_VALUE"""),0.0)</f>
        <v>0</v>
      </c>
      <c r="F284" s="6">
        <f>IFERROR(__xludf.DUMMYFUNCTION("""COMPUTED_VALUE"""),0.0)</f>
        <v>0</v>
      </c>
      <c r="G284" s="6">
        <f>IFERROR(__xludf.DUMMYFUNCTION("""COMPUTED_VALUE"""),0.0)</f>
        <v>0</v>
      </c>
      <c r="H284" s="6">
        <f>IFERROR(__xludf.DUMMYFUNCTION("""COMPUTED_VALUE"""),0.0)</f>
        <v>0</v>
      </c>
      <c r="I284" s="6">
        <f>IFERROR(__xludf.DUMMYFUNCTION("""COMPUTED_VALUE"""),0.0)</f>
        <v>0</v>
      </c>
      <c r="J284" s="6">
        <f>IFERROR(__xludf.DUMMYFUNCTION("""COMPUTED_VALUE"""),0.0)</f>
        <v>0</v>
      </c>
      <c r="K284" s="6">
        <f>IFERROR(__xludf.DUMMYFUNCTION("""COMPUTED_VALUE"""),1.0)</f>
        <v>1</v>
      </c>
      <c r="L284" s="6">
        <f>IFERROR(__xludf.DUMMYFUNCTION("""COMPUTED_VALUE"""),1.0)</f>
        <v>1</v>
      </c>
      <c r="M284" s="6">
        <f>IFERROR(__xludf.DUMMYFUNCTION("""COMPUTED_VALUE"""),0.0)</f>
        <v>0</v>
      </c>
      <c r="N284" s="6">
        <f>IFERROR(__xludf.DUMMYFUNCTION("""COMPUTED_VALUE"""),0.0)</f>
        <v>0</v>
      </c>
      <c r="O284" s="6">
        <f>IFERROR(__xludf.DUMMYFUNCTION("""COMPUTED_VALUE"""),0.0)</f>
        <v>0</v>
      </c>
      <c r="P284" s="6">
        <f>IFERROR(__xludf.DUMMYFUNCTION("""COMPUTED_VALUE"""),1.0)</f>
        <v>1</v>
      </c>
      <c r="Q284" s="6">
        <f>IFERROR(__xludf.DUMMYFUNCTION("""COMPUTED_VALUE"""),0.0)</f>
        <v>0</v>
      </c>
      <c r="R284" s="6">
        <f>IFERROR(__xludf.DUMMYFUNCTION("""COMPUTED_VALUE"""),0.0)</f>
        <v>0</v>
      </c>
      <c r="S284" s="6">
        <f>IFERROR(__xludf.DUMMYFUNCTION("""COMPUTED_VALUE"""),0.0)</f>
        <v>0</v>
      </c>
      <c r="T284" s="6">
        <f>IFERROR(__xludf.DUMMYFUNCTION("""COMPUTED_VALUE"""),0.0)</f>
        <v>0</v>
      </c>
      <c r="U284" s="6">
        <f>IFERROR(__xludf.DUMMYFUNCTION("""COMPUTED_VALUE"""),0.0)</f>
        <v>0</v>
      </c>
      <c r="V284" s="4">
        <f t="shared" ref="V284:X284" si="283">SUM(D284, G284, J284, M284, P284, S284)</f>
        <v>1</v>
      </c>
      <c r="W284" s="4">
        <f t="shared" si="283"/>
        <v>1</v>
      </c>
      <c r="X284" s="4">
        <f t="shared" si="283"/>
        <v>1</v>
      </c>
    </row>
    <row r="285">
      <c r="A285" s="4" t="str">
        <f>IFERROR(__xludf.DUMMYFUNCTION("""COMPUTED_VALUE"""),"Школа 1741")</f>
        <v>Школа 1741</v>
      </c>
      <c r="B285" s="4" t="str">
        <f t="array" ref="B285">IFERROR(INDEX('Адреса школ'!F:F, MATCH(A285, 'Адреса школ'!E:E, 0)), "")</f>
        <v>55.666447, 37.455669</v>
      </c>
      <c r="C285" s="5" t="str">
        <f t="array" ref="C285">IFERROR(INDEX('Топ-400'!A:A, MATCH(A285, 'Топ-400'!E:E, 0)), "Вне рейтинга")</f>
        <v>239</v>
      </c>
      <c r="D285" s="6">
        <f>IFERROR(__xludf.DUMMYFUNCTION("""COMPUTED_VALUE"""),0.0)</f>
        <v>0</v>
      </c>
      <c r="E285" s="6">
        <f>IFERROR(__xludf.DUMMYFUNCTION("""COMPUTED_VALUE"""),1.0)</f>
        <v>1</v>
      </c>
      <c r="F285" s="6">
        <f>IFERROR(__xludf.DUMMYFUNCTION("""COMPUTED_VALUE"""),0.0)</f>
        <v>0</v>
      </c>
      <c r="G285" s="6">
        <f>IFERROR(__xludf.DUMMYFUNCTION("""COMPUTED_VALUE"""),0.0)</f>
        <v>0</v>
      </c>
      <c r="H285" s="6">
        <f>IFERROR(__xludf.DUMMYFUNCTION("""COMPUTED_VALUE"""),0.0)</f>
        <v>0</v>
      </c>
      <c r="I285" s="6">
        <f>IFERROR(__xludf.DUMMYFUNCTION("""COMPUTED_VALUE"""),0.0)</f>
        <v>0</v>
      </c>
      <c r="J285" s="6">
        <f>IFERROR(__xludf.DUMMYFUNCTION("""COMPUTED_VALUE"""),0.0)</f>
        <v>0</v>
      </c>
      <c r="K285" s="6">
        <f>IFERROR(__xludf.DUMMYFUNCTION("""COMPUTED_VALUE"""),0.0)</f>
        <v>0</v>
      </c>
      <c r="L285" s="6">
        <f>IFERROR(__xludf.DUMMYFUNCTION("""COMPUTED_VALUE"""),0.0)</f>
        <v>0</v>
      </c>
      <c r="M285" s="6">
        <f>IFERROR(__xludf.DUMMYFUNCTION("""COMPUTED_VALUE"""),0.0)</f>
        <v>0</v>
      </c>
      <c r="N285" s="6">
        <f>IFERROR(__xludf.DUMMYFUNCTION("""COMPUTED_VALUE"""),0.0)</f>
        <v>0</v>
      </c>
      <c r="O285" s="6">
        <f>IFERROR(__xludf.DUMMYFUNCTION("""COMPUTED_VALUE"""),0.0)</f>
        <v>0</v>
      </c>
      <c r="P285" s="6">
        <f>IFERROR(__xludf.DUMMYFUNCTION("""COMPUTED_VALUE"""),0.0)</f>
        <v>0</v>
      </c>
      <c r="Q285" s="6">
        <f>IFERROR(__xludf.DUMMYFUNCTION("""COMPUTED_VALUE"""),0.0)</f>
        <v>0</v>
      </c>
      <c r="R285" s="6">
        <f>IFERROR(__xludf.DUMMYFUNCTION("""COMPUTED_VALUE"""),0.0)</f>
        <v>0</v>
      </c>
      <c r="S285" s="6">
        <f>IFERROR(__xludf.DUMMYFUNCTION("""COMPUTED_VALUE"""),0.0)</f>
        <v>0</v>
      </c>
      <c r="T285" s="6">
        <f>IFERROR(__xludf.DUMMYFUNCTION("""COMPUTED_VALUE"""),0.0)</f>
        <v>0</v>
      </c>
      <c r="U285" s="6">
        <f>IFERROR(__xludf.DUMMYFUNCTION("""COMPUTED_VALUE"""),0.0)</f>
        <v>0</v>
      </c>
      <c r="V285" s="4">
        <f t="shared" ref="V285:X285" si="284">SUM(D285, G285, J285, M285, P285, S285)</f>
        <v>0</v>
      </c>
      <c r="W285" s="4">
        <f t="shared" si="284"/>
        <v>1</v>
      </c>
      <c r="X285" s="4">
        <f t="shared" si="284"/>
        <v>0</v>
      </c>
    </row>
    <row r="286">
      <c r="A286" s="4" t="str">
        <f>IFERROR(__xludf.DUMMYFUNCTION("""COMPUTED_VALUE"""),"Школа 1747")</f>
        <v>Школа 1747</v>
      </c>
      <c r="B286" s="4" t="str">
        <f t="array" ref="B286">IFERROR(INDEX('Адреса школ'!F:F, MATCH(A286, 'Адреса школ'!E:E, 0)), "")</f>
        <v>55.846062, 37.349955</v>
      </c>
      <c r="C286" s="5" t="str">
        <f t="array" ref="C286">IFERROR(INDEX('Топ-400'!A:A, MATCH(A286, 'Топ-400'!E:E, 0)), "Вне рейтинга")</f>
        <v>353</v>
      </c>
      <c r="D286" s="6">
        <f>IFERROR(__xludf.DUMMYFUNCTION("""COMPUTED_VALUE"""),1.0)</f>
        <v>1</v>
      </c>
      <c r="E286" s="6">
        <f>IFERROR(__xludf.DUMMYFUNCTION("""COMPUTED_VALUE"""),1.0)</f>
        <v>1</v>
      </c>
      <c r="F286" s="6">
        <f>IFERROR(__xludf.DUMMYFUNCTION("""COMPUTED_VALUE"""),1.0)</f>
        <v>1</v>
      </c>
      <c r="G286" s="6">
        <f>IFERROR(__xludf.DUMMYFUNCTION("""COMPUTED_VALUE"""),1.0)</f>
        <v>1</v>
      </c>
      <c r="H286" s="6">
        <f>IFERROR(__xludf.DUMMYFUNCTION("""COMPUTED_VALUE"""),1.0)</f>
        <v>1</v>
      </c>
      <c r="I286" s="6">
        <f>IFERROR(__xludf.DUMMYFUNCTION("""COMPUTED_VALUE"""),1.0)</f>
        <v>1</v>
      </c>
      <c r="J286" s="6">
        <f>IFERROR(__xludf.DUMMYFUNCTION("""COMPUTED_VALUE"""),0.0)</f>
        <v>0</v>
      </c>
      <c r="K286" s="6">
        <f>IFERROR(__xludf.DUMMYFUNCTION("""COMPUTED_VALUE"""),0.0)</f>
        <v>0</v>
      </c>
      <c r="L286" s="6">
        <f>IFERROR(__xludf.DUMMYFUNCTION("""COMPUTED_VALUE"""),0.0)</f>
        <v>0</v>
      </c>
      <c r="M286" s="6">
        <f>IFERROR(__xludf.DUMMYFUNCTION("""COMPUTED_VALUE"""),0.0)</f>
        <v>0</v>
      </c>
      <c r="N286" s="6">
        <f>IFERROR(__xludf.DUMMYFUNCTION("""COMPUTED_VALUE"""),1.0)</f>
        <v>1</v>
      </c>
      <c r="O286" s="6">
        <f>IFERROR(__xludf.DUMMYFUNCTION("""COMPUTED_VALUE"""),1.0)</f>
        <v>1</v>
      </c>
      <c r="P286" s="6">
        <f>IFERROR(__xludf.DUMMYFUNCTION("""COMPUTED_VALUE"""),0.0)</f>
        <v>0</v>
      </c>
      <c r="Q286" s="6">
        <f>IFERROR(__xludf.DUMMYFUNCTION("""COMPUTED_VALUE"""),0.0)</f>
        <v>0</v>
      </c>
      <c r="R286" s="6">
        <f>IFERROR(__xludf.DUMMYFUNCTION("""COMPUTED_VALUE"""),0.0)</f>
        <v>0</v>
      </c>
      <c r="S286" s="6">
        <f>IFERROR(__xludf.DUMMYFUNCTION("""COMPUTED_VALUE"""),0.0)</f>
        <v>0</v>
      </c>
      <c r="T286" s="6">
        <f>IFERROR(__xludf.DUMMYFUNCTION("""COMPUTED_VALUE"""),0.0)</f>
        <v>0</v>
      </c>
      <c r="U286" s="6">
        <f>IFERROR(__xludf.DUMMYFUNCTION("""COMPUTED_VALUE"""),0.0)</f>
        <v>0</v>
      </c>
      <c r="V286" s="4">
        <f t="shared" ref="V286:X286" si="285">SUM(D286, G286, J286, M286, P286, S286)</f>
        <v>2</v>
      </c>
      <c r="W286" s="4">
        <f t="shared" si="285"/>
        <v>3</v>
      </c>
      <c r="X286" s="4">
        <f t="shared" si="285"/>
        <v>3</v>
      </c>
    </row>
    <row r="287">
      <c r="A287" s="4" t="str">
        <f>IFERROR(__xludf.DUMMYFUNCTION("""COMPUTED_VALUE"""),"Школа 1748")</f>
        <v>Школа 1748</v>
      </c>
      <c r="B287" s="4" t="str">
        <f t="array" ref="B287">IFERROR(INDEX('Адреса школ'!F:F, MATCH(A287, 'Адреса школ'!E:E, 0)), "")</f>
        <v>55.80486, 37.827841</v>
      </c>
      <c r="C287" s="5" t="str">
        <f t="array" ref="C287">IFERROR(INDEX('Топ-400'!A:A, MATCH(A287, 'Топ-400'!E:E, 0)), "Вне рейтинга")</f>
        <v>78</v>
      </c>
      <c r="D287" s="6">
        <f>IFERROR(__xludf.DUMMYFUNCTION("""COMPUTED_VALUE"""),1.0)</f>
        <v>1</v>
      </c>
      <c r="E287" s="6">
        <f>IFERROR(__xludf.DUMMYFUNCTION("""COMPUTED_VALUE"""),1.0)</f>
        <v>1</v>
      </c>
      <c r="F287" s="6">
        <f>IFERROR(__xludf.DUMMYFUNCTION("""COMPUTED_VALUE"""),1.0)</f>
        <v>1</v>
      </c>
      <c r="G287" s="6">
        <f>IFERROR(__xludf.DUMMYFUNCTION("""COMPUTED_VALUE"""),1.0)</f>
        <v>1</v>
      </c>
      <c r="H287" s="6">
        <f>IFERROR(__xludf.DUMMYFUNCTION("""COMPUTED_VALUE"""),1.0)</f>
        <v>1</v>
      </c>
      <c r="I287" s="6">
        <f>IFERROR(__xludf.DUMMYFUNCTION("""COMPUTED_VALUE"""),1.0)</f>
        <v>1</v>
      </c>
      <c r="J287" s="6">
        <f>IFERROR(__xludf.DUMMYFUNCTION("""COMPUTED_VALUE"""),0.0)</f>
        <v>0</v>
      </c>
      <c r="K287" s="6">
        <f>IFERROR(__xludf.DUMMYFUNCTION("""COMPUTED_VALUE"""),0.0)</f>
        <v>0</v>
      </c>
      <c r="L287" s="6">
        <f>IFERROR(__xludf.DUMMYFUNCTION("""COMPUTED_VALUE"""),0.0)</f>
        <v>0</v>
      </c>
      <c r="M287" s="6">
        <f>IFERROR(__xludf.DUMMYFUNCTION("""COMPUTED_VALUE"""),0.0)</f>
        <v>0</v>
      </c>
      <c r="N287" s="6">
        <f>IFERROR(__xludf.DUMMYFUNCTION("""COMPUTED_VALUE"""),0.0)</f>
        <v>0</v>
      </c>
      <c r="O287" s="6">
        <f>IFERROR(__xludf.DUMMYFUNCTION("""COMPUTED_VALUE"""),0.0)</f>
        <v>0</v>
      </c>
      <c r="P287" s="6">
        <f>IFERROR(__xludf.DUMMYFUNCTION("""COMPUTED_VALUE"""),0.0)</f>
        <v>0</v>
      </c>
      <c r="Q287" s="6">
        <f>IFERROR(__xludf.DUMMYFUNCTION("""COMPUTED_VALUE"""),0.0)</f>
        <v>0</v>
      </c>
      <c r="R287" s="6">
        <f>IFERROR(__xludf.DUMMYFUNCTION("""COMPUTED_VALUE"""),0.0)</f>
        <v>0</v>
      </c>
      <c r="S287" s="6">
        <f>IFERROR(__xludf.DUMMYFUNCTION("""COMPUTED_VALUE"""),0.0)</f>
        <v>0</v>
      </c>
      <c r="T287" s="6">
        <f>IFERROR(__xludf.DUMMYFUNCTION("""COMPUTED_VALUE"""),0.0)</f>
        <v>0</v>
      </c>
      <c r="U287" s="6">
        <f>IFERROR(__xludf.DUMMYFUNCTION("""COMPUTED_VALUE"""),0.0)</f>
        <v>0</v>
      </c>
      <c r="V287" s="4">
        <f t="shared" ref="V287:X287" si="286">SUM(D287, G287, J287, M287, P287, S287)</f>
        <v>2</v>
      </c>
      <c r="W287" s="4">
        <f t="shared" si="286"/>
        <v>2</v>
      </c>
      <c r="X287" s="4">
        <f t="shared" si="286"/>
        <v>2</v>
      </c>
    </row>
    <row r="288">
      <c r="A288" s="4" t="str">
        <f>IFERROR(__xludf.DUMMYFUNCTION("""COMPUTED_VALUE"""),"Школа 1770")</f>
        <v>Школа 1770</v>
      </c>
      <c r="B288" s="4" t="str">
        <f t="array" ref="B288">IFERROR(INDEX('Адреса школ'!F:F, MATCH(A288, 'Адреса школ'!E:E, 0)), "")</f>
        <v>55.686173, 37.68862</v>
      </c>
      <c r="C288" s="5" t="str">
        <f t="array" ref="C288">IFERROR(INDEX('Топ-400'!A:A, MATCH(A288, 'Топ-400'!E:E, 0)), "Вне рейтинга")</f>
        <v>216</v>
      </c>
      <c r="D288" s="6">
        <f>IFERROR(__xludf.DUMMYFUNCTION("""COMPUTED_VALUE"""),1.0)</f>
        <v>1</v>
      </c>
      <c r="E288" s="6">
        <f>IFERROR(__xludf.DUMMYFUNCTION("""COMPUTED_VALUE"""),1.0)</f>
        <v>1</v>
      </c>
      <c r="F288" s="6">
        <f>IFERROR(__xludf.DUMMYFUNCTION("""COMPUTED_VALUE"""),1.0)</f>
        <v>1</v>
      </c>
      <c r="G288" s="6">
        <f>IFERROR(__xludf.DUMMYFUNCTION("""COMPUTED_VALUE"""),1.0)</f>
        <v>1</v>
      </c>
      <c r="H288" s="6">
        <f>IFERROR(__xludf.DUMMYFUNCTION("""COMPUTED_VALUE"""),0.0)</f>
        <v>0</v>
      </c>
      <c r="I288" s="6">
        <f>IFERROR(__xludf.DUMMYFUNCTION("""COMPUTED_VALUE"""),1.0)</f>
        <v>1</v>
      </c>
      <c r="J288" s="6">
        <f>IFERROR(__xludf.DUMMYFUNCTION("""COMPUTED_VALUE"""),0.0)</f>
        <v>0</v>
      </c>
      <c r="K288" s="6">
        <f>IFERROR(__xludf.DUMMYFUNCTION("""COMPUTED_VALUE"""),0.0)</f>
        <v>0</v>
      </c>
      <c r="L288" s="6">
        <f>IFERROR(__xludf.DUMMYFUNCTION("""COMPUTED_VALUE"""),0.0)</f>
        <v>0</v>
      </c>
      <c r="M288" s="6">
        <f>IFERROR(__xludf.DUMMYFUNCTION("""COMPUTED_VALUE"""),0.0)</f>
        <v>0</v>
      </c>
      <c r="N288" s="6">
        <f>IFERROR(__xludf.DUMMYFUNCTION("""COMPUTED_VALUE"""),0.0)</f>
        <v>0</v>
      </c>
      <c r="O288" s="6">
        <f>IFERROR(__xludf.DUMMYFUNCTION("""COMPUTED_VALUE"""),0.0)</f>
        <v>0</v>
      </c>
      <c r="P288" s="6">
        <f>IFERROR(__xludf.DUMMYFUNCTION("""COMPUTED_VALUE"""),1.0)</f>
        <v>1</v>
      </c>
      <c r="Q288" s="6">
        <f>IFERROR(__xludf.DUMMYFUNCTION("""COMPUTED_VALUE"""),1.0)</f>
        <v>1</v>
      </c>
      <c r="R288" s="6">
        <f>IFERROR(__xludf.DUMMYFUNCTION("""COMPUTED_VALUE"""),1.0)</f>
        <v>1</v>
      </c>
      <c r="S288" s="6">
        <f>IFERROR(__xludf.DUMMYFUNCTION("""COMPUTED_VALUE"""),0.0)</f>
        <v>0</v>
      </c>
      <c r="T288" s="6">
        <f>IFERROR(__xludf.DUMMYFUNCTION("""COMPUTED_VALUE"""),0.0)</f>
        <v>0</v>
      </c>
      <c r="U288" s="6">
        <f>IFERROR(__xludf.DUMMYFUNCTION("""COMPUTED_VALUE"""),0.0)</f>
        <v>0</v>
      </c>
      <c r="V288" s="4">
        <f t="shared" ref="V288:X288" si="287">SUM(D288, G288, J288, M288, P288, S288)</f>
        <v>3</v>
      </c>
      <c r="W288" s="4">
        <f t="shared" si="287"/>
        <v>2</v>
      </c>
      <c r="X288" s="4">
        <f t="shared" si="287"/>
        <v>3</v>
      </c>
    </row>
    <row r="289">
      <c r="A289" s="4" t="str">
        <f>IFERROR(__xludf.DUMMYFUNCTION("""COMPUTED_VALUE"""),"Школа 1786")</f>
        <v>Школа 1786</v>
      </c>
      <c r="B289" s="4" t="str">
        <f t="array" ref="B289">IFERROR(INDEX('Адреса школ'!F:F, MATCH(A289, 'Адреса школ'!E:E, 0)), "")</f>
        <v>55.534591, 37.495294</v>
      </c>
      <c r="C289" s="5" t="str">
        <f t="array" ref="C289">IFERROR(INDEX('Топ-400'!A:A, MATCH(A289, 'Топ-400'!E:E, 0)), "Вне рейтинга")</f>
        <v>290</v>
      </c>
      <c r="D289" s="6">
        <f>IFERROR(__xludf.DUMMYFUNCTION("""COMPUTED_VALUE"""),0.0)</f>
        <v>0</v>
      </c>
      <c r="E289" s="6">
        <f>IFERROR(__xludf.DUMMYFUNCTION("""COMPUTED_VALUE"""),0.0)</f>
        <v>0</v>
      </c>
      <c r="F289" s="6">
        <f>IFERROR(__xludf.DUMMYFUNCTION("""COMPUTED_VALUE"""),0.0)</f>
        <v>0</v>
      </c>
      <c r="G289" s="6">
        <f>IFERROR(__xludf.DUMMYFUNCTION("""COMPUTED_VALUE"""),0.0)</f>
        <v>0</v>
      </c>
      <c r="H289" s="6">
        <f>IFERROR(__xludf.DUMMYFUNCTION("""COMPUTED_VALUE"""),0.0)</f>
        <v>0</v>
      </c>
      <c r="I289" s="6">
        <f>IFERROR(__xludf.DUMMYFUNCTION("""COMPUTED_VALUE"""),0.0)</f>
        <v>0</v>
      </c>
      <c r="J289" s="6">
        <f>IFERROR(__xludf.DUMMYFUNCTION("""COMPUTED_VALUE"""),0.0)</f>
        <v>0</v>
      </c>
      <c r="K289" s="6">
        <f>IFERROR(__xludf.DUMMYFUNCTION("""COMPUTED_VALUE"""),0.0)</f>
        <v>0</v>
      </c>
      <c r="L289" s="6">
        <f>IFERROR(__xludf.DUMMYFUNCTION("""COMPUTED_VALUE"""),0.0)</f>
        <v>0</v>
      </c>
      <c r="M289" s="6">
        <f>IFERROR(__xludf.DUMMYFUNCTION("""COMPUTED_VALUE"""),0.0)</f>
        <v>0</v>
      </c>
      <c r="N289" s="6">
        <f>IFERROR(__xludf.DUMMYFUNCTION("""COMPUTED_VALUE"""),1.0)</f>
        <v>1</v>
      </c>
      <c r="O289" s="6">
        <f>IFERROR(__xludf.DUMMYFUNCTION("""COMPUTED_VALUE"""),1.0)</f>
        <v>1</v>
      </c>
      <c r="P289" s="6">
        <f>IFERROR(__xludf.DUMMYFUNCTION("""COMPUTED_VALUE"""),0.0)</f>
        <v>0</v>
      </c>
      <c r="Q289" s="6">
        <f>IFERROR(__xludf.DUMMYFUNCTION("""COMPUTED_VALUE"""),0.0)</f>
        <v>0</v>
      </c>
      <c r="R289" s="6">
        <f>IFERROR(__xludf.DUMMYFUNCTION("""COMPUTED_VALUE"""),0.0)</f>
        <v>0</v>
      </c>
      <c r="S289" s="6">
        <f>IFERROR(__xludf.DUMMYFUNCTION("""COMPUTED_VALUE"""),0.0)</f>
        <v>0</v>
      </c>
      <c r="T289" s="6">
        <f>IFERROR(__xludf.DUMMYFUNCTION("""COMPUTED_VALUE"""),0.0)</f>
        <v>0</v>
      </c>
      <c r="U289" s="6">
        <f>IFERROR(__xludf.DUMMYFUNCTION("""COMPUTED_VALUE"""),0.0)</f>
        <v>0</v>
      </c>
      <c r="V289" s="4">
        <f t="shared" ref="V289:X289" si="288">SUM(D289, G289, J289, M289, P289, S289)</f>
        <v>0</v>
      </c>
      <c r="W289" s="4">
        <f t="shared" si="288"/>
        <v>1</v>
      </c>
      <c r="X289" s="4">
        <f t="shared" si="288"/>
        <v>1</v>
      </c>
    </row>
    <row r="290">
      <c r="A290" s="4" t="str">
        <f>IFERROR(__xludf.DUMMYFUNCTION("""COMPUTED_VALUE"""),"Школа 1788")</f>
        <v>Школа 1788</v>
      </c>
      <c r="B290" s="4" t="str">
        <f t="array" ref="B290">IFERROR(INDEX('Адреса школ'!F:F, MATCH(A290, 'Адреса школ'!E:E, 0)), "")</f>
        <v>55.61814, 37.263133</v>
      </c>
      <c r="C290" s="5" t="str">
        <f t="array" ref="C290">IFERROR(INDEX('Топ-400'!A:A, MATCH(A290, 'Топ-400'!E:E, 0)), "Вне рейтинга")</f>
        <v>322</v>
      </c>
      <c r="D290" s="6">
        <f>IFERROR(__xludf.DUMMYFUNCTION("""COMPUTED_VALUE"""),1.0)</f>
        <v>1</v>
      </c>
      <c r="E290" s="6">
        <f>IFERROR(__xludf.DUMMYFUNCTION("""COMPUTED_VALUE"""),1.0)</f>
        <v>1</v>
      </c>
      <c r="F290" s="6">
        <f>IFERROR(__xludf.DUMMYFUNCTION("""COMPUTED_VALUE"""),1.0)</f>
        <v>1</v>
      </c>
      <c r="G290" s="6">
        <f>IFERROR(__xludf.DUMMYFUNCTION("""COMPUTED_VALUE"""),1.0)</f>
        <v>1</v>
      </c>
      <c r="H290" s="6">
        <f>IFERROR(__xludf.DUMMYFUNCTION("""COMPUTED_VALUE"""),1.0)</f>
        <v>1</v>
      </c>
      <c r="I290" s="6">
        <f>IFERROR(__xludf.DUMMYFUNCTION("""COMPUTED_VALUE"""),1.0)</f>
        <v>1</v>
      </c>
      <c r="J290" s="6">
        <f>IFERROR(__xludf.DUMMYFUNCTION("""COMPUTED_VALUE"""),1.0)</f>
        <v>1</v>
      </c>
      <c r="K290" s="6">
        <f>IFERROR(__xludf.DUMMYFUNCTION("""COMPUTED_VALUE"""),1.0)</f>
        <v>1</v>
      </c>
      <c r="L290" s="6">
        <f>IFERROR(__xludf.DUMMYFUNCTION("""COMPUTED_VALUE"""),1.0)</f>
        <v>1</v>
      </c>
      <c r="M290" s="6">
        <f>IFERROR(__xludf.DUMMYFUNCTION("""COMPUTED_VALUE"""),1.0)</f>
        <v>1</v>
      </c>
      <c r="N290" s="6">
        <f>IFERROR(__xludf.DUMMYFUNCTION("""COMPUTED_VALUE"""),1.0)</f>
        <v>1</v>
      </c>
      <c r="O290" s="6">
        <f>IFERROR(__xludf.DUMMYFUNCTION("""COMPUTED_VALUE"""),1.0)</f>
        <v>1</v>
      </c>
      <c r="P290" s="6">
        <f>IFERROR(__xludf.DUMMYFUNCTION("""COMPUTED_VALUE"""),0.0)</f>
        <v>0</v>
      </c>
      <c r="Q290" s="6">
        <f>IFERROR(__xludf.DUMMYFUNCTION("""COMPUTED_VALUE"""),0.0)</f>
        <v>0</v>
      </c>
      <c r="R290" s="6">
        <f>IFERROR(__xludf.DUMMYFUNCTION("""COMPUTED_VALUE"""),1.0)</f>
        <v>1</v>
      </c>
      <c r="S290" s="6">
        <f>IFERROR(__xludf.DUMMYFUNCTION("""COMPUTED_VALUE"""),0.0)</f>
        <v>0</v>
      </c>
      <c r="T290" s="6">
        <f>IFERROR(__xludf.DUMMYFUNCTION("""COMPUTED_VALUE"""),0.0)</f>
        <v>0</v>
      </c>
      <c r="U290" s="6">
        <f>IFERROR(__xludf.DUMMYFUNCTION("""COMPUTED_VALUE"""),0.0)</f>
        <v>0</v>
      </c>
      <c r="V290" s="4">
        <f t="shared" ref="V290:X290" si="289">SUM(D290, G290, J290, M290, P290, S290)</f>
        <v>4</v>
      </c>
      <c r="W290" s="4">
        <f t="shared" si="289"/>
        <v>4</v>
      </c>
      <c r="X290" s="4">
        <f t="shared" si="289"/>
        <v>5</v>
      </c>
    </row>
    <row r="291">
      <c r="A291" s="4" t="str">
        <f>IFERROR(__xludf.DUMMYFUNCTION("""COMPUTED_VALUE"""),"Школа 1793")</f>
        <v>Школа 1793</v>
      </c>
      <c r="B291" s="4" t="str">
        <f t="array" ref="B291">IFERROR(INDEX('Адреса школ'!F:F, MATCH(A291, 'Адреса школ'!E:E, 0)), "")</f>
        <v>55.691542, 37.851251</v>
      </c>
      <c r="C291" s="5" t="str">
        <f t="array" ref="C291">IFERROR(INDEX('Топ-400'!A:A, MATCH(A291, 'Топ-400'!E:E, 0)), "Вне рейтинга")</f>
        <v>137</v>
      </c>
      <c r="D291" s="6">
        <f>IFERROR(__xludf.DUMMYFUNCTION("""COMPUTED_VALUE"""),1.0)</f>
        <v>1</v>
      </c>
      <c r="E291" s="6">
        <f>IFERROR(__xludf.DUMMYFUNCTION("""COMPUTED_VALUE"""),1.0)</f>
        <v>1</v>
      </c>
      <c r="F291" s="6">
        <f>IFERROR(__xludf.DUMMYFUNCTION("""COMPUTED_VALUE"""),1.0)</f>
        <v>1</v>
      </c>
      <c r="G291" s="6">
        <f>IFERROR(__xludf.DUMMYFUNCTION("""COMPUTED_VALUE"""),1.0)</f>
        <v>1</v>
      </c>
      <c r="H291" s="6">
        <f>IFERROR(__xludf.DUMMYFUNCTION("""COMPUTED_VALUE"""),0.0)</f>
        <v>0</v>
      </c>
      <c r="I291" s="6">
        <f>IFERROR(__xludf.DUMMYFUNCTION("""COMPUTED_VALUE"""),1.0)</f>
        <v>1</v>
      </c>
      <c r="J291" s="6">
        <f>IFERROR(__xludf.DUMMYFUNCTION("""COMPUTED_VALUE"""),0.0)</f>
        <v>0</v>
      </c>
      <c r="K291" s="6">
        <f>IFERROR(__xludf.DUMMYFUNCTION("""COMPUTED_VALUE"""),0.0)</f>
        <v>0</v>
      </c>
      <c r="L291" s="6">
        <f>IFERROR(__xludf.DUMMYFUNCTION("""COMPUTED_VALUE"""),0.0)</f>
        <v>0</v>
      </c>
      <c r="M291" s="6">
        <f>IFERROR(__xludf.DUMMYFUNCTION("""COMPUTED_VALUE"""),1.0)</f>
        <v>1</v>
      </c>
      <c r="N291" s="6">
        <f>IFERROR(__xludf.DUMMYFUNCTION("""COMPUTED_VALUE"""),1.0)</f>
        <v>1</v>
      </c>
      <c r="O291" s="6">
        <f>IFERROR(__xludf.DUMMYFUNCTION("""COMPUTED_VALUE"""),1.0)</f>
        <v>1</v>
      </c>
      <c r="P291" s="6">
        <f>IFERROR(__xludf.DUMMYFUNCTION("""COMPUTED_VALUE"""),0.0)</f>
        <v>0</v>
      </c>
      <c r="Q291" s="6">
        <f>IFERROR(__xludf.DUMMYFUNCTION("""COMPUTED_VALUE"""),1.0)</f>
        <v>1</v>
      </c>
      <c r="R291" s="6">
        <f>IFERROR(__xludf.DUMMYFUNCTION("""COMPUTED_VALUE"""),1.0)</f>
        <v>1</v>
      </c>
      <c r="S291" s="6">
        <f>IFERROR(__xludf.DUMMYFUNCTION("""COMPUTED_VALUE"""),1.0)</f>
        <v>1</v>
      </c>
      <c r="T291" s="6">
        <f>IFERROR(__xludf.DUMMYFUNCTION("""COMPUTED_VALUE"""),1.0)</f>
        <v>1</v>
      </c>
      <c r="U291" s="6">
        <f>IFERROR(__xludf.DUMMYFUNCTION("""COMPUTED_VALUE"""),1.0)</f>
        <v>1</v>
      </c>
      <c r="V291" s="4">
        <f t="shared" ref="V291:X291" si="290">SUM(D291, G291, J291, M291, P291, S291)</f>
        <v>4</v>
      </c>
      <c r="W291" s="4">
        <f t="shared" si="290"/>
        <v>4</v>
      </c>
      <c r="X291" s="4">
        <f t="shared" si="290"/>
        <v>5</v>
      </c>
    </row>
    <row r="292">
      <c r="A292" s="4" t="str">
        <f>IFERROR(__xludf.DUMMYFUNCTION("""COMPUTED_VALUE"""),"Школа 1794")</f>
        <v>Школа 1794</v>
      </c>
      <c r="B292" s="4" t="str">
        <f t="array" ref="B292">IFERROR(INDEX('Адреса школ'!F:F, MATCH(A292, 'Адреса школ'!E:E, 0)), "")</f>
        <v>55.870072, 37.56777</v>
      </c>
      <c r="C292" s="5" t="str">
        <f t="array" ref="C292">IFERROR(INDEX('Топ-400'!A:A, MATCH(A292, 'Топ-400'!E:E, 0)), "Вне рейтинга")</f>
        <v>332</v>
      </c>
      <c r="D292" s="6">
        <f>IFERROR(__xludf.DUMMYFUNCTION("""COMPUTED_VALUE"""),0.0)</f>
        <v>0</v>
      </c>
      <c r="E292" s="6">
        <f>IFERROR(__xludf.DUMMYFUNCTION("""COMPUTED_VALUE"""),0.0)</f>
        <v>0</v>
      </c>
      <c r="F292" s="6">
        <f>IFERROR(__xludf.DUMMYFUNCTION("""COMPUTED_VALUE"""),0.0)</f>
        <v>0</v>
      </c>
      <c r="G292" s="6">
        <f>IFERROR(__xludf.DUMMYFUNCTION("""COMPUTED_VALUE"""),0.0)</f>
        <v>0</v>
      </c>
      <c r="H292" s="6">
        <f>IFERROR(__xludf.DUMMYFUNCTION("""COMPUTED_VALUE"""),0.0)</f>
        <v>0</v>
      </c>
      <c r="I292" s="6">
        <f>IFERROR(__xludf.DUMMYFUNCTION("""COMPUTED_VALUE"""),0.0)</f>
        <v>0</v>
      </c>
      <c r="J292" s="6">
        <f>IFERROR(__xludf.DUMMYFUNCTION("""COMPUTED_VALUE"""),0.0)</f>
        <v>0</v>
      </c>
      <c r="K292" s="6">
        <f>IFERROR(__xludf.DUMMYFUNCTION("""COMPUTED_VALUE"""),0.0)</f>
        <v>0</v>
      </c>
      <c r="L292" s="6">
        <f>IFERROR(__xludf.DUMMYFUNCTION("""COMPUTED_VALUE"""),1.0)</f>
        <v>1</v>
      </c>
      <c r="M292" s="6">
        <f>IFERROR(__xludf.DUMMYFUNCTION("""COMPUTED_VALUE"""),0.0)</f>
        <v>0</v>
      </c>
      <c r="N292" s="6">
        <f>IFERROR(__xludf.DUMMYFUNCTION("""COMPUTED_VALUE"""),0.0)</f>
        <v>0</v>
      </c>
      <c r="O292" s="6">
        <f>IFERROR(__xludf.DUMMYFUNCTION("""COMPUTED_VALUE"""),0.0)</f>
        <v>0</v>
      </c>
      <c r="P292" s="6">
        <f>IFERROR(__xludf.DUMMYFUNCTION("""COMPUTED_VALUE"""),0.0)</f>
        <v>0</v>
      </c>
      <c r="Q292" s="6">
        <f>IFERROR(__xludf.DUMMYFUNCTION("""COMPUTED_VALUE"""),0.0)</f>
        <v>0</v>
      </c>
      <c r="R292" s="6">
        <f>IFERROR(__xludf.DUMMYFUNCTION("""COMPUTED_VALUE"""),0.0)</f>
        <v>0</v>
      </c>
      <c r="S292" s="6">
        <f>IFERROR(__xludf.DUMMYFUNCTION("""COMPUTED_VALUE"""),0.0)</f>
        <v>0</v>
      </c>
      <c r="T292" s="6">
        <f>IFERROR(__xludf.DUMMYFUNCTION("""COMPUTED_VALUE"""),0.0)</f>
        <v>0</v>
      </c>
      <c r="U292" s="6">
        <f>IFERROR(__xludf.DUMMYFUNCTION("""COMPUTED_VALUE"""),0.0)</f>
        <v>0</v>
      </c>
      <c r="V292" s="4">
        <f t="shared" ref="V292:X292" si="291">SUM(D292, G292, J292, M292, P292, S292)</f>
        <v>0</v>
      </c>
      <c r="W292" s="4">
        <f t="shared" si="291"/>
        <v>0</v>
      </c>
      <c r="X292" s="4">
        <f t="shared" si="291"/>
        <v>1</v>
      </c>
    </row>
    <row r="293">
      <c r="A293" s="4" t="str">
        <f>IFERROR(__xludf.DUMMYFUNCTION("""COMPUTED_VALUE"""),"Школа 1795")</f>
        <v>Школа 1795</v>
      </c>
      <c r="B293" s="4" t="str">
        <f t="array" ref="B293">IFERROR(INDEX('Адреса школ'!F:F, MATCH(A293, 'Адреса школ'!E:E, 0)), "")</f>
        <v>55.827231, 37.752966</v>
      </c>
      <c r="C293" s="5" t="str">
        <f t="array" ref="C293">IFERROR(INDEX('Топ-400'!A:A, MATCH(A293, 'Топ-400'!E:E, 0)), "Вне рейтинга")</f>
        <v>224</v>
      </c>
      <c r="D293" s="6">
        <f>IFERROR(__xludf.DUMMYFUNCTION("""COMPUTED_VALUE"""),1.0)</f>
        <v>1</v>
      </c>
      <c r="E293" s="6">
        <f>IFERROR(__xludf.DUMMYFUNCTION("""COMPUTED_VALUE"""),0.0)</f>
        <v>0</v>
      </c>
      <c r="F293" s="6">
        <f>IFERROR(__xludf.DUMMYFUNCTION("""COMPUTED_VALUE"""),1.0)</f>
        <v>1</v>
      </c>
      <c r="G293" s="6">
        <f>IFERROR(__xludf.DUMMYFUNCTION("""COMPUTED_VALUE"""),0.0)</f>
        <v>0</v>
      </c>
      <c r="H293" s="6">
        <f>IFERROR(__xludf.DUMMYFUNCTION("""COMPUTED_VALUE"""),0.0)</f>
        <v>0</v>
      </c>
      <c r="I293" s="6">
        <f>IFERROR(__xludf.DUMMYFUNCTION("""COMPUTED_VALUE"""),0.0)</f>
        <v>0</v>
      </c>
      <c r="J293" s="6">
        <f>IFERROR(__xludf.DUMMYFUNCTION("""COMPUTED_VALUE"""),0.0)</f>
        <v>0</v>
      </c>
      <c r="K293" s="6">
        <f>IFERROR(__xludf.DUMMYFUNCTION("""COMPUTED_VALUE"""),0.0)</f>
        <v>0</v>
      </c>
      <c r="L293" s="6">
        <f>IFERROR(__xludf.DUMMYFUNCTION("""COMPUTED_VALUE"""),0.0)</f>
        <v>0</v>
      </c>
      <c r="M293" s="6">
        <f>IFERROR(__xludf.DUMMYFUNCTION("""COMPUTED_VALUE"""),0.0)</f>
        <v>0</v>
      </c>
      <c r="N293" s="6">
        <f>IFERROR(__xludf.DUMMYFUNCTION("""COMPUTED_VALUE"""),0.0)</f>
        <v>0</v>
      </c>
      <c r="O293" s="6">
        <f>IFERROR(__xludf.DUMMYFUNCTION("""COMPUTED_VALUE"""),0.0)</f>
        <v>0</v>
      </c>
      <c r="P293" s="6">
        <f>IFERROR(__xludf.DUMMYFUNCTION("""COMPUTED_VALUE"""),0.0)</f>
        <v>0</v>
      </c>
      <c r="Q293" s="6">
        <f>IFERROR(__xludf.DUMMYFUNCTION("""COMPUTED_VALUE"""),1.0)</f>
        <v>1</v>
      </c>
      <c r="R293" s="6">
        <f>IFERROR(__xludf.DUMMYFUNCTION("""COMPUTED_VALUE"""),1.0)</f>
        <v>1</v>
      </c>
      <c r="S293" s="6">
        <f>IFERROR(__xludf.DUMMYFUNCTION("""COMPUTED_VALUE"""),0.0)</f>
        <v>0</v>
      </c>
      <c r="T293" s="6">
        <f>IFERROR(__xludf.DUMMYFUNCTION("""COMPUTED_VALUE"""),0.0)</f>
        <v>0</v>
      </c>
      <c r="U293" s="6">
        <f>IFERROR(__xludf.DUMMYFUNCTION("""COMPUTED_VALUE"""),0.0)</f>
        <v>0</v>
      </c>
      <c r="V293" s="4">
        <f t="shared" ref="V293:X293" si="292">SUM(D293, G293, J293, M293, P293, S293)</f>
        <v>1</v>
      </c>
      <c r="W293" s="4">
        <f t="shared" si="292"/>
        <v>1</v>
      </c>
      <c r="X293" s="4">
        <f t="shared" si="292"/>
        <v>2</v>
      </c>
    </row>
    <row r="294">
      <c r="A294" s="4" t="str">
        <f>IFERROR(__xludf.DUMMYFUNCTION("""COMPUTED_VALUE"""),"Школа 1797")</f>
        <v>Школа 1797</v>
      </c>
      <c r="B294" s="4" t="str">
        <f t="array" ref="B294">IFERROR(INDEX('Адреса школ'!F:F, MATCH(A294, 'Адреса школ'!E:E, 0)), "")</f>
        <v>55.811831, 37.71512</v>
      </c>
      <c r="C294" s="5" t="str">
        <f t="array" ref="C294">IFERROR(INDEX('Топ-400'!A:A, MATCH(A294, 'Топ-400'!E:E, 0)), "Вне рейтинга")</f>
        <v>71</v>
      </c>
      <c r="D294" s="6">
        <f>IFERROR(__xludf.DUMMYFUNCTION("""COMPUTED_VALUE"""),1.0)</f>
        <v>1</v>
      </c>
      <c r="E294" s="6">
        <f>IFERROR(__xludf.DUMMYFUNCTION("""COMPUTED_VALUE"""),1.0)</f>
        <v>1</v>
      </c>
      <c r="F294" s="6">
        <f>IFERROR(__xludf.DUMMYFUNCTION("""COMPUTED_VALUE"""),1.0)</f>
        <v>1</v>
      </c>
      <c r="G294" s="6">
        <f>IFERROR(__xludf.DUMMYFUNCTION("""COMPUTED_VALUE"""),0.0)</f>
        <v>0</v>
      </c>
      <c r="H294" s="6">
        <f>IFERROR(__xludf.DUMMYFUNCTION("""COMPUTED_VALUE"""),0.0)</f>
        <v>0</v>
      </c>
      <c r="I294" s="6">
        <f>IFERROR(__xludf.DUMMYFUNCTION("""COMPUTED_VALUE"""),0.0)</f>
        <v>0</v>
      </c>
      <c r="J294" s="6">
        <f>IFERROR(__xludf.DUMMYFUNCTION("""COMPUTED_VALUE"""),0.0)</f>
        <v>0</v>
      </c>
      <c r="K294" s="6">
        <f>IFERROR(__xludf.DUMMYFUNCTION("""COMPUTED_VALUE"""),0.0)</f>
        <v>0</v>
      </c>
      <c r="L294" s="6">
        <f>IFERROR(__xludf.DUMMYFUNCTION("""COMPUTED_VALUE"""),0.0)</f>
        <v>0</v>
      </c>
      <c r="M294" s="6">
        <f>IFERROR(__xludf.DUMMYFUNCTION("""COMPUTED_VALUE"""),0.0)</f>
        <v>0</v>
      </c>
      <c r="N294" s="6">
        <f>IFERROR(__xludf.DUMMYFUNCTION("""COMPUTED_VALUE"""),0.0)</f>
        <v>0</v>
      </c>
      <c r="O294" s="6">
        <f>IFERROR(__xludf.DUMMYFUNCTION("""COMPUTED_VALUE"""),0.0)</f>
        <v>0</v>
      </c>
      <c r="P294" s="6">
        <f>IFERROR(__xludf.DUMMYFUNCTION("""COMPUTED_VALUE"""),0.0)</f>
        <v>0</v>
      </c>
      <c r="Q294" s="6">
        <f>IFERROR(__xludf.DUMMYFUNCTION("""COMPUTED_VALUE"""),0.0)</f>
        <v>0</v>
      </c>
      <c r="R294" s="6">
        <f>IFERROR(__xludf.DUMMYFUNCTION("""COMPUTED_VALUE"""),0.0)</f>
        <v>0</v>
      </c>
      <c r="S294" s="6">
        <f>IFERROR(__xludf.DUMMYFUNCTION("""COMPUTED_VALUE"""),0.0)</f>
        <v>0</v>
      </c>
      <c r="T294" s="6">
        <f>IFERROR(__xludf.DUMMYFUNCTION("""COMPUTED_VALUE"""),0.0)</f>
        <v>0</v>
      </c>
      <c r="U294" s="6">
        <f>IFERROR(__xludf.DUMMYFUNCTION("""COMPUTED_VALUE"""),0.0)</f>
        <v>0</v>
      </c>
      <c r="V294" s="4">
        <f t="shared" ref="V294:X294" si="293">SUM(D294, G294, J294, M294, P294, S294)</f>
        <v>1</v>
      </c>
      <c r="W294" s="4">
        <f t="shared" si="293"/>
        <v>1</v>
      </c>
      <c r="X294" s="4">
        <f t="shared" si="293"/>
        <v>1</v>
      </c>
    </row>
    <row r="295">
      <c r="A295" s="4" t="str">
        <f>IFERROR(__xludf.DUMMYFUNCTION("""COMPUTED_VALUE"""),"Школа 1798")</f>
        <v>Школа 1798</v>
      </c>
      <c r="B295" s="4" t="str">
        <f t="array" ref="B295">IFERROR(INDEX('Адреса школ'!F:F, MATCH(A295, 'Адреса школ'!E:E, 0)), "")</f>
        <v>55.752668, 37.813351</v>
      </c>
      <c r="C295" s="5" t="str">
        <f t="array" ref="C295">IFERROR(INDEX('Топ-400'!A:A, MATCH(A295, 'Топ-400'!E:E, 0)), "Вне рейтинга")</f>
        <v>305</v>
      </c>
      <c r="D295" s="6">
        <f>IFERROR(__xludf.DUMMYFUNCTION("""COMPUTED_VALUE"""),0.0)</f>
        <v>0</v>
      </c>
      <c r="E295" s="6">
        <f>IFERROR(__xludf.DUMMYFUNCTION("""COMPUTED_VALUE"""),1.0)</f>
        <v>1</v>
      </c>
      <c r="F295" s="6">
        <f>IFERROR(__xludf.DUMMYFUNCTION("""COMPUTED_VALUE"""),1.0)</f>
        <v>1</v>
      </c>
      <c r="G295" s="6">
        <f>IFERROR(__xludf.DUMMYFUNCTION("""COMPUTED_VALUE"""),0.0)</f>
        <v>0</v>
      </c>
      <c r="H295" s="6">
        <f>IFERROR(__xludf.DUMMYFUNCTION("""COMPUTED_VALUE"""),0.0)</f>
        <v>0</v>
      </c>
      <c r="I295" s="6">
        <f>IFERROR(__xludf.DUMMYFUNCTION("""COMPUTED_VALUE"""),0.0)</f>
        <v>0</v>
      </c>
      <c r="J295" s="6">
        <f>IFERROR(__xludf.DUMMYFUNCTION("""COMPUTED_VALUE"""),0.0)</f>
        <v>0</v>
      </c>
      <c r="K295" s="6">
        <f>IFERROR(__xludf.DUMMYFUNCTION("""COMPUTED_VALUE"""),0.0)</f>
        <v>0</v>
      </c>
      <c r="L295" s="6">
        <f>IFERROR(__xludf.DUMMYFUNCTION("""COMPUTED_VALUE"""),0.0)</f>
        <v>0</v>
      </c>
      <c r="M295" s="6">
        <f>IFERROR(__xludf.DUMMYFUNCTION("""COMPUTED_VALUE"""),1.0)</f>
        <v>1</v>
      </c>
      <c r="N295" s="6">
        <f>IFERROR(__xludf.DUMMYFUNCTION("""COMPUTED_VALUE"""),0.0)</f>
        <v>0</v>
      </c>
      <c r="O295" s="6">
        <f>IFERROR(__xludf.DUMMYFUNCTION("""COMPUTED_VALUE"""),1.0)</f>
        <v>1</v>
      </c>
      <c r="P295" s="6">
        <f>IFERROR(__xludf.DUMMYFUNCTION("""COMPUTED_VALUE"""),0.0)</f>
        <v>0</v>
      </c>
      <c r="Q295" s="6">
        <f>IFERROR(__xludf.DUMMYFUNCTION("""COMPUTED_VALUE"""),0.0)</f>
        <v>0</v>
      </c>
      <c r="R295" s="6">
        <f>IFERROR(__xludf.DUMMYFUNCTION("""COMPUTED_VALUE"""),0.0)</f>
        <v>0</v>
      </c>
      <c r="S295" s="6">
        <f>IFERROR(__xludf.DUMMYFUNCTION("""COMPUTED_VALUE"""),0.0)</f>
        <v>0</v>
      </c>
      <c r="T295" s="6">
        <f>IFERROR(__xludf.DUMMYFUNCTION("""COMPUTED_VALUE"""),0.0)</f>
        <v>0</v>
      </c>
      <c r="U295" s="6">
        <f>IFERROR(__xludf.DUMMYFUNCTION("""COMPUTED_VALUE"""),0.0)</f>
        <v>0</v>
      </c>
      <c r="V295" s="4">
        <f t="shared" ref="V295:X295" si="294">SUM(D295, G295, J295, M295, P295, S295)</f>
        <v>1</v>
      </c>
      <c r="W295" s="4">
        <f t="shared" si="294"/>
        <v>1</v>
      </c>
      <c r="X295" s="4">
        <f t="shared" si="294"/>
        <v>2</v>
      </c>
    </row>
    <row r="296">
      <c r="A296" s="4" t="str">
        <f>IFERROR(__xludf.DUMMYFUNCTION("""COMPUTED_VALUE"""),"Школа 1799")</f>
        <v>Школа 1799</v>
      </c>
      <c r="B296" s="4" t="str">
        <f t="array" ref="B296">IFERROR(INDEX('Адреса школ'!F:F, MATCH(A296, 'Адреса школ'!E:E, 0)), "")</f>
        <v>55.744216, 37.621462</v>
      </c>
      <c r="C296" s="5" t="str">
        <f t="array" ref="C296">IFERROR(INDEX('Топ-400'!A:A, MATCH(A296, 'Топ-400'!E:E, 0)), "Вне рейтинга")</f>
        <v>135</v>
      </c>
      <c r="D296" s="6">
        <f>IFERROR(__xludf.DUMMYFUNCTION("""COMPUTED_VALUE"""),1.0)</f>
        <v>1</v>
      </c>
      <c r="E296" s="6">
        <f>IFERROR(__xludf.DUMMYFUNCTION("""COMPUTED_VALUE"""),0.0)</f>
        <v>0</v>
      </c>
      <c r="F296" s="6">
        <f>IFERROR(__xludf.DUMMYFUNCTION("""COMPUTED_VALUE"""),0.0)</f>
        <v>0</v>
      </c>
      <c r="G296" s="6">
        <f>IFERROR(__xludf.DUMMYFUNCTION("""COMPUTED_VALUE"""),1.0)</f>
        <v>1</v>
      </c>
      <c r="H296" s="6">
        <f>IFERROR(__xludf.DUMMYFUNCTION("""COMPUTED_VALUE"""),0.0)</f>
        <v>0</v>
      </c>
      <c r="I296" s="6">
        <f>IFERROR(__xludf.DUMMYFUNCTION("""COMPUTED_VALUE"""),1.0)</f>
        <v>1</v>
      </c>
      <c r="J296" s="6">
        <f>IFERROR(__xludf.DUMMYFUNCTION("""COMPUTED_VALUE"""),1.0)</f>
        <v>1</v>
      </c>
      <c r="K296" s="6">
        <f>IFERROR(__xludf.DUMMYFUNCTION("""COMPUTED_VALUE"""),1.0)</f>
        <v>1</v>
      </c>
      <c r="L296" s="6">
        <f>IFERROR(__xludf.DUMMYFUNCTION("""COMPUTED_VALUE"""),1.0)</f>
        <v>1</v>
      </c>
      <c r="M296" s="6">
        <f>IFERROR(__xludf.DUMMYFUNCTION("""COMPUTED_VALUE"""),1.0)</f>
        <v>1</v>
      </c>
      <c r="N296" s="6">
        <f>IFERROR(__xludf.DUMMYFUNCTION("""COMPUTED_VALUE"""),1.0)</f>
        <v>1</v>
      </c>
      <c r="O296" s="6">
        <f>IFERROR(__xludf.DUMMYFUNCTION("""COMPUTED_VALUE"""),1.0)</f>
        <v>1</v>
      </c>
      <c r="P296" s="6">
        <f>IFERROR(__xludf.DUMMYFUNCTION("""COMPUTED_VALUE"""),1.0)</f>
        <v>1</v>
      </c>
      <c r="Q296" s="6">
        <f>IFERROR(__xludf.DUMMYFUNCTION("""COMPUTED_VALUE"""),1.0)</f>
        <v>1</v>
      </c>
      <c r="R296" s="6">
        <f>IFERROR(__xludf.DUMMYFUNCTION("""COMPUTED_VALUE"""),0.0)</f>
        <v>0</v>
      </c>
      <c r="S296" s="6">
        <f>IFERROR(__xludf.DUMMYFUNCTION("""COMPUTED_VALUE"""),0.0)</f>
        <v>0</v>
      </c>
      <c r="T296" s="6">
        <f>IFERROR(__xludf.DUMMYFUNCTION("""COMPUTED_VALUE"""),0.0)</f>
        <v>0</v>
      </c>
      <c r="U296" s="6">
        <f>IFERROR(__xludf.DUMMYFUNCTION("""COMPUTED_VALUE"""),0.0)</f>
        <v>0</v>
      </c>
      <c r="V296" s="4">
        <f t="shared" ref="V296:X296" si="295">SUM(D296, G296, J296, M296, P296, S296)</f>
        <v>5</v>
      </c>
      <c r="W296" s="4">
        <f t="shared" si="295"/>
        <v>3</v>
      </c>
      <c r="X296" s="4">
        <f t="shared" si="295"/>
        <v>3</v>
      </c>
    </row>
    <row r="297">
      <c r="A297" s="4" t="str">
        <f>IFERROR(__xludf.DUMMYFUNCTION("""COMPUTED_VALUE"""),"Школа 1811")</f>
        <v>Школа 1811</v>
      </c>
      <c r="B297" s="4" t="str">
        <f t="array" ref="B297">IFERROR(INDEX('Адреса школ'!F:F, MATCH(A297, 'Адреса школ'!E:E, 0)), "")</f>
        <v>55.793915, 37.814726</v>
      </c>
      <c r="C297" s="5" t="str">
        <f t="array" ref="C297">IFERROR(INDEX('Топ-400'!A:A, MATCH(A297, 'Топ-400'!E:E, 0)), "Вне рейтинга")</f>
        <v>171</v>
      </c>
      <c r="D297" s="6">
        <f>IFERROR(__xludf.DUMMYFUNCTION("""COMPUTED_VALUE"""),1.0)</f>
        <v>1</v>
      </c>
      <c r="E297" s="6">
        <f>IFERROR(__xludf.DUMMYFUNCTION("""COMPUTED_VALUE"""),1.0)</f>
        <v>1</v>
      </c>
      <c r="F297" s="6">
        <f>IFERROR(__xludf.DUMMYFUNCTION("""COMPUTED_VALUE"""),1.0)</f>
        <v>1</v>
      </c>
      <c r="G297" s="6">
        <f>IFERROR(__xludf.DUMMYFUNCTION("""COMPUTED_VALUE"""),1.0)</f>
        <v>1</v>
      </c>
      <c r="H297" s="6">
        <f>IFERROR(__xludf.DUMMYFUNCTION("""COMPUTED_VALUE"""),1.0)</f>
        <v>1</v>
      </c>
      <c r="I297" s="6">
        <f>IFERROR(__xludf.DUMMYFUNCTION("""COMPUTED_VALUE"""),1.0)</f>
        <v>1</v>
      </c>
      <c r="J297" s="6">
        <f>IFERROR(__xludf.DUMMYFUNCTION("""COMPUTED_VALUE"""),0.0)</f>
        <v>0</v>
      </c>
      <c r="K297" s="6">
        <f>IFERROR(__xludf.DUMMYFUNCTION("""COMPUTED_VALUE"""),0.0)</f>
        <v>0</v>
      </c>
      <c r="L297" s="6">
        <f>IFERROR(__xludf.DUMMYFUNCTION("""COMPUTED_VALUE"""),0.0)</f>
        <v>0</v>
      </c>
      <c r="M297" s="6">
        <f>IFERROR(__xludf.DUMMYFUNCTION("""COMPUTED_VALUE"""),1.0)</f>
        <v>1</v>
      </c>
      <c r="N297" s="6">
        <f>IFERROR(__xludf.DUMMYFUNCTION("""COMPUTED_VALUE"""),1.0)</f>
        <v>1</v>
      </c>
      <c r="O297" s="6">
        <f>IFERROR(__xludf.DUMMYFUNCTION("""COMPUTED_VALUE"""),1.0)</f>
        <v>1</v>
      </c>
      <c r="P297" s="6">
        <f>IFERROR(__xludf.DUMMYFUNCTION("""COMPUTED_VALUE"""),1.0)</f>
        <v>1</v>
      </c>
      <c r="Q297" s="6">
        <f>IFERROR(__xludf.DUMMYFUNCTION("""COMPUTED_VALUE"""),1.0)</f>
        <v>1</v>
      </c>
      <c r="R297" s="6">
        <f>IFERROR(__xludf.DUMMYFUNCTION("""COMPUTED_VALUE"""),1.0)</f>
        <v>1</v>
      </c>
      <c r="S297" s="6">
        <f>IFERROR(__xludf.DUMMYFUNCTION("""COMPUTED_VALUE"""),0.0)</f>
        <v>0</v>
      </c>
      <c r="T297" s="6">
        <f>IFERROR(__xludf.DUMMYFUNCTION("""COMPUTED_VALUE"""),0.0)</f>
        <v>0</v>
      </c>
      <c r="U297" s="6">
        <f>IFERROR(__xludf.DUMMYFUNCTION("""COMPUTED_VALUE"""),0.0)</f>
        <v>0</v>
      </c>
      <c r="V297" s="4">
        <f t="shared" ref="V297:X297" si="296">SUM(D297, G297, J297, M297, P297, S297)</f>
        <v>4</v>
      </c>
      <c r="W297" s="4">
        <f t="shared" si="296"/>
        <v>4</v>
      </c>
      <c r="X297" s="4">
        <f t="shared" si="296"/>
        <v>4</v>
      </c>
    </row>
    <row r="298">
      <c r="A298" s="4" t="str">
        <f>IFERROR(__xludf.DUMMYFUNCTION("""COMPUTED_VALUE"""),"Школа 1852")</f>
        <v>Школа 1852</v>
      </c>
      <c r="B298" s="4" t="str">
        <f t="array" ref="B298">IFERROR(INDEX('Адреса школ'!F:F, MATCH(A298, 'Адреса школ'!E:E, 0)), "")</f>
        <v>55.755956, 37.779305</v>
      </c>
      <c r="C298" s="5" t="str">
        <f t="array" ref="C298">IFERROR(INDEX('Топ-400'!A:A, MATCH(A298, 'Топ-400'!E:E, 0)), "Вне рейтинга")</f>
        <v>174</v>
      </c>
      <c r="D298" s="6">
        <f>IFERROR(__xludf.DUMMYFUNCTION("""COMPUTED_VALUE"""),1.0)</f>
        <v>1</v>
      </c>
      <c r="E298" s="6">
        <f>IFERROR(__xludf.DUMMYFUNCTION("""COMPUTED_VALUE"""),1.0)</f>
        <v>1</v>
      </c>
      <c r="F298" s="6">
        <f>IFERROR(__xludf.DUMMYFUNCTION("""COMPUTED_VALUE"""),1.0)</f>
        <v>1</v>
      </c>
      <c r="G298" s="6">
        <f>IFERROR(__xludf.DUMMYFUNCTION("""COMPUTED_VALUE"""),0.0)</f>
        <v>0</v>
      </c>
      <c r="H298" s="6">
        <f>IFERROR(__xludf.DUMMYFUNCTION("""COMPUTED_VALUE"""),0.0)</f>
        <v>0</v>
      </c>
      <c r="I298" s="6">
        <f>IFERROR(__xludf.DUMMYFUNCTION("""COMPUTED_VALUE"""),0.0)</f>
        <v>0</v>
      </c>
      <c r="J298" s="6">
        <f>IFERROR(__xludf.DUMMYFUNCTION("""COMPUTED_VALUE"""),0.0)</f>
        <v>0</v>
      </c>
      <c r="K298" s="6">
        <f>IFERROR(__xludf.DUMMYFUNCTION("""COMPUTED_VALUE"""),0.0)</f>
        <v>0</v>
      </c>
      <c r="L298" s="6">
        <f>IFERROR(__xludf.DUMMYFUNCTION("""COMPUTED_VALUE"""),0.0)</f>
        <v>0</v>
      </c>
      <c r="M298" s="6">
        <f>IFERROR(__xludf.DUMMYFUNCTION("""COMPUTED_VALUE"""),0.0)</f>
        <v>0</v>
      </c>
      <c r="N298" s="6">
        <f>IFERROR(__xludf.DUMMYFUNCTION("""COMPUTED_VALUE"""),0.0)</f>
        <v>0</v>
      </c>
      <c r="O298" s="6">
        <f>IFERROR(__xludf.DUMMYFUNCTION("""COMPUTED_VALUE"""),0.0)</f>
        <v>0</v>
      </c>
      <c r="P298" s="6">
        <f>IFERROR(__xludf.DUMMYFUNCTION("""COMPUTED_VALUE"""),0.0)</f>
        <v>0</v>
      </c>
      <c r="Q298" s="6">
        <f>IFERROR(__xludf.DUMMYFUNCTION("""COMPUTED_VALUE"""),0.0)</f>
        <v>0</v>
      </c>
      <c r="R298" s="6">
        <f>IFERROR(__xludf.DUMMYFUNCTION("""COMPUTED_VALUE"""),0.0)</f>
        <v>0</v>
      </c>
      <c r="S298" s="6">
        <f>IFERROR(__xludf.DUMMYFUNCTION("""COMPUTED_VALUE"""),0.0)</f>
        <v>0</v>
      </c>
      <c r="T298" s="6">
        <f>IFERROR(__xludf.DUMMYFUNCTION("""COMPUTED_VALUE"""),0.0)</f>
        <v>0</v>
      </c>
      <c r="U298" s="6">
        <f>IFERROR(__xludf.DUMMYFUNCTION("""COMPUTED_VALUE"""),0.0)</f>
        <v>0</v>
      </c>
      <c r="V298" s="4">
        <f t="shared" ref="V298:X298" si="297">SUM(D298, G298, J298, M298, P298, S298)</f>
        <v>1</v>
      </c>
      <c r="W298" s="4">
        <f t="shared" si="297"/>
        <v>1</v>
      </c>
      <c r="X298" s="4">
        <f t="shared" si="297"/>
        <v>1</v>
      </c>
    </row>
    <row r="299">
      <c r="A299" s="4" t="str">
        <f>IFERROR(__xludf.DUMMYFUNCTION("""COMPUTED_VALUE"""),"Школа 1861")</f>
        <v>Школа 1861</v>
      </c>
      <c r="B299" s="4" t="str">
        <f t="array" ref="B299">IFERROR(INDEX('Адреса школ'!F:F, MATCH(A299, 'Адреса школ'!E:E, 0)), "")</f>
        <v>55.577398, 37.67184</v>
      </c>
      <c r="C299" s="5" t="str">
        <f t="array" ref="C299">IFERROR(INDEX('Топ-400'!A:A, MATCH(A299, 'Топ-400'!E:E, 0)), "Вне рейтинга")</f>
        <v>390</v>
      </c>
      <c r="D299" s="6">
        <f>IFERROR(__xludf.DUMMYFUNCTION("""COMPUTED_VALUE"""),0.0)</f>
        <v>0</v>
      </c>
      <c r="E299" s="6">
        <f>IFERROR(__xludf.DUMMYFUNCTION("""COMPUTED_VALUE"""),0.0)</f>
        <v>0</v>
      </c>
      <c r="F299" s="6">
        <f>IFERROR(__xludf.DUMMYFUNCTION("""COMPUTED_VALUE"""),0.0)</f>
        <v>0</v>
      </c>
      <c r="G299" s="6">
        <f>IFERROR(__xludf.DUMMYFUNCTION("""COMPUTED_VALUE"""),1.0)</f>
        <v>1</v>
      </c>
      <c r="H299" s="6">
        <f>IFERROR(__xludf.DUMMYFUNCTION("""COMPUTED_VALUE"""),1.0)</f>
        <v>1</v>
      </c>
      <c r="I299" s="6">
        <f>IFERROR(__xludf.DUMMYFUNCTION("""COMPUTED_VALUE"""),1.0)</f>
        <v>1</v>
      </c>
      <c r="J299" s="6">
        <f>IFERROR(__xludf.DUMMYFUNCTION("""COMPUTED_VALUE"""),1.0)</f>
        <v>1</v>
      </c>
      <c r="K299" s="6">
        <f>IFERROR(__xludf.DUMMYFUNCTION("""COMPUTED_VALUE"""),1.0)</f>
        <v>1</v>
      </c>
      <c r="L299" s="6">
        <f>IFERROR(__xludf.DUMMYFUNCTION("""COMPUTED_VALUE"""),1.0)</f>
        <v>1</v>
      </c>
      <c r="M299" s="6">
        <f>IFERROR(__xludf.DUMMYFUNCTION("""COMPUTED_VALUE"""),1.0)</f>
        <v>1</v>
      </c>
      <c r="N299" s="6">
        <f>IFERROR(__xludf.DUMMYFUNCTION("""COMPUTED_VALUE"""),1.0)</f>
        <v>1</v>
      </c>
      <c r="O299" s="6">
        <f>IFERROR(__xludf.DUMMYFUNCTION("""COMPUTED_VALUE"""),1.0)</f>
        <v>1</v>
      </c>
      <c r="P299" s="6">
        <f>IFERROR(__xludf.DUMMYFUNCTION("""COMPUTED_VALUE"""),1.0)</f>
        <v>1</v>
      </c>
      <c r="Q299" s="6">
        <f>IFERROR(__xludf.DUMMYFUNCTION("""COMPUTED_VALUE"""),1.0)</f>
        <v>1</v>
      </c>
      <c r="R299" s="6">
        <f>IFERROR(__xludf.DUMMYFUNCTION("""COMPUTED_VALUE"""),1.0)</f>
        <v>1</v>
      </c>
      <c r="S299" s="6">
        <f>IFERROR(__xludf.DUMMYFUNCTION("""COMPUTED_VALUE"""),0.0)</f>
        <v>0</v>
      </c>
      <c r="T299" s="6">
        <f>IFERROR(__xludf.DUMMYFUNCTION("""COMPUTED_VALUE"""),0.0)</f>
        <v>0</v>
      </c>
      <c r="U299" s="6">
        <f>IFERROR(__xludf.DUMMYFUNCTION("""COMPUTED_VALUE"""),0.0)</f>
        <v>0</v>
      </c>
      <c r="V299" s="4">
        <f t="shared" ref="V299:X299" si="298">SUM(D299, G299, J299, M299, P299, S299)</f>
        <v>4</v>
      </c>
      <c r="W299" s="4">
        <f t="shared" si="298"/>
        <v>4</v>
      </c>
      <c r="X299" s="4">
        <f t="shared" si="298"/>
        <v>4</v>
      </c>
    </row>
    <row r="300">
      <c r="A300" s="4" t="str">
        <f>IFERROR(__xludf.DUMMYFUNCTION("""COMPUTED_VALUE"""),"Школа 1862")</f>
        <v>Школа 1862</v>
      </c>
      <c r="B300" s="4" t="str">
        <f t="array" ref="B300">IFERROR(INDEX('Адреса школ'!F:F, MATCH(A300, 'Адреса школ'!E:E, 0)), "")</f>
        <v>55.646172, 37.613728</v>
      </c>
      <c r="C300" s="5" t="str">
        <f t="array" ref="C300">IFERROR(INDEX('Топ-400'!A:A, MATCH(A300, 'Топ-400'!E:E, 0)), "Вне рейтинга")</f>
        <v>297</v>
      </c>
      <c r="D300" s="6">
        <f>IFERROR(__xludf.DUMMYFUNCTION("""COMPUTED_VALUE"""),1.0)</f>
        <v>1</v>
      </c>
      <c r="E300" s="6">
        <f>IFERROR(__xludf.DUMMYFUNCTION("""COMPUTED_VALUE"""),0.0)</f>
        <v>0</v>
      </c>
      <c r="F300" s="6">
        <f>IFERROR(__xludf.DUMMYFUNCTION("""COMPUTED_VALUE"""),0.0)</f>
        <v>0</v>
      </c>
      <c r="G300" s="6">
        <f>IFERROR(__xludf.DUMMYFUNCTION("""COMPUTED_VALUE"""),1.0)</f>
        <v>1</v>
      </c>
      <c r="H300" s="6">
        <f>IFERROR(__xludf.DUMMYFUNCTION("""COMPUTED_VALUE"""),0.0)</f>
        <v>0</v>
      </c>
      <c r="I300" s="6">
        <f>IFERROR(__xludf.DUMMYFUNCTION("""COMPUTED_VALUE"""),1.0)</f>
        <v>1</v>
      </c>
      <c r="J300" s="6">
        <f>IFERROR(__xludf.DUMMYFUNCTION("""COMPUTED_VALUE"""),1.0)</f>
        <v>1</v>
      </c>
      <c r="K300" s="6">
        <f>IFERROR(__xludf.DUMMYFUNCTION("""COMPUTED_VALUE"""),1.0)</f>
        <v>1</v>
      </c>
      <c r="L300" s="6">
        <f>IFERROR(__xludf.DUMMYFUNCTION("""COMPUTED_VALUE"""),1.0)</f>
        <v>1</v>
      </c>
      <c r="M300" s="6">
        <f>IFERROR(__xludf.DUMMYFUNCTION("""COMPUTED_VALUE"""),0.0)</f>
        <v>0</v>
      </c>
      <c r="N300" s="6">
        <f>IFERROR(__xludf.DUMMYFUNCTION("""COMPUTED_VALUE"""),1.0)</f>
        <v>1</v>
      </c>
      <c r="O300" s="6">
        <f>IFERROR(__xludf.DUMMYFUNCTION("""COMPUTED_VALUE"""),1.0)</f>
        <v>1</v>
      </c>
      <c r="P300" s="6">
        <f>IFERROR(__xludf.DUMMYFUNCTION("""COMPUTED_VALUE"""),1.0)</f>
        <v>1</v>
      </c>
      <c r="Q300" s="6">
        <f>IFERROR(__xludf.DUMMYFUNCTION("""COMPUTED_VALUE"""),1.0)</f>
        <v>1</v>
      </c>
      <c r="R300" s="6">
        <f>IFERROR(__xludf.DUMMYFUNCTION("""COMPUTED_VALUE"""),1.0)</f>
        <v>1</v>
      </c>
      <c r="S300" s="6">
        <f>IFERROR(__xludf.DUMMYFUNCTION("""COMPUTED_VALUE"""),0.0)</f>
        <v>0</v>
      </c>
      <c r="T300" s="6">
        <f>IFERROR(__xludf.DUMMYFUNCTION("""COMPUTED_VALUE"""),0.0)</f>
        <v>0</v>
      </c>
      <c r="U300" s="6">
        <f>IFERROR(__xludf.DUMMYFUNCTION("""COMPUTED_VALUE"""),0.0)</f>
        <v>0</v>
      </c>
      <c r="V300" s="4">
        <f t="shared" ref="V300:X300" si="299">SUM(D300, G300, J300, M300, P300, S300)</f>
        <v>4</v>
      </c>
      <c r="W300" s="4">
        <f t="shared" si="299"/>
        <v>3</v>
      </c>
      <c r="X300" s="4">
        <f t="shared" si="299"/>
        <v>4</v>
      </c>
    </row>
    <row r="301">
      <c r="A301" s="4" t="str">
        <f>IFERROR(__xludf.DUMMYFUNCTION("""COMPUTED_VALUE"""),"Школа 1874")</f>
        <v>Школа 1874</v>
      </c>
      <c r="B301" s="4" t="str">
        <f t="array" ref="B301">IFERROR(INDEX('Адреса школ'!F:F, MATCH(A301, 'Адреса школ'!E:E, 0)), "")</f>
        <v>55.803074, 37.463152</v>
      </c>
      <c r="C301" s="5" t="str">
        <f t="array" ref="C301">IFERROR(INDEX('Топ-400'!A:A, MATCH(A301, 'Топ-400'!E:E, 0)), "Вне рейтинга")</f>
        <v>359</v>
      </c>
      <c r="D301" s="6">
        <f>IFERROR(__xludf.DUMMYFUNCTION("""COMPUTED_VALUE"""),0.0)</f>
        <v>0</v>
      </c>
      <c r="E301" s="6">
        <f>IFERROR(__xludf.DUMMYFUNCTION("""COMPUTED_VALUE"""),0.0)</f>
        <v>0</v>
      </c>
      <c r="F301" s="6">
        <f>IFERROR(__xludf.DUMMYFUNCTION("""COMPUTED_VALUE"""),1.0)</f>
        <v>1</v>
      </c>
      <c r="G301" s="6">
        <f>IFERROR(__xludf.DUMMYFUNCTION("""COMPUTED_VALUE"""),0.0)</f>
        <v>0</v>
      </c>
      <c r="H301" s="6">
        <f>IFERROR(__xludf.DUMMYFUNCTION("""COMPUTED_VALUE"""),0.0)</f>
        <v>0</v>
      </c>
      <c r="I301" s="6">
        <f>IFERROR(__xludf.DUMMYFUNCTION("""COMPUTED_VALUE"""),0.0)</f>
        <v>0</v>
      </c>
      <c r="J301" s="6">
        <f>IFERROR(__xludf.DUMMYFUNCTION("""COMPUTED_VALUE"""),0.0)</f>
        <v>0</v>
      </c>
      <c r="K301" s="6">
        <f>IFERROR(__xludf.DUMMYFUNCTION("""COMPUTED_VALUE"""),0.0)</f>
        <v>0</v>
      </c>
      <c r="L301" s="6">
        <f>IFERROR(__xludf.DUMMYFUNCTION("""COMPUTED_VALUE"""),0.0)</f>
        <v>0</v>
      </c>
      <c r="M301" s="6">
        <f>IFERROR(__xludf.DUMMYFUNCTION("""COMPUTED_VALUE"""),1.0)</f>
        <v>1</v>
      </c>
      <c r="N301" s="6">
        <f>IFERROR(__xludf.DUMMYFUNCTION("""COMPUTED_VALUE"""),0.0)</f>
        <v>0</v>
      </c>
      <c r="O301" s="6">
        <f>IFERROR(__xludf.DUMMYFUNCTION("""COMPUTED_VALUE"""),0.0)</f>
        <v>0</v>
      </c>
      <c r="P301" s="6">
        <f>IFERROR(__xludf.DUMMYFUNCTION("""COMPUTED_VALUE"""),0.0)</f>
        <v>0</v>
      </c>
      <c r="Q301" s="6">
        <f>IFERROR(__xludf.DUMMYFUNCTION("""COMPUTED_VALUE"""),0.0)</f>
        <v>0</v>
      </c>
      <c r="R301" s="6">
        <f>IFERROR(__xludf.DUMMYFUNCTION("""COMPUTED_VALUE"""),0.0)</f>
        <v>0</v>
      </c>
      <c r="S301" s="6">
        <f>IFERROR(__xludf.DUMMYFUNCTION("""COMPUTED_VALUE"""),0.0)</f>
        <v>0</v>
      </c>
      <c r="T301" s="6">
        <f>IFERROR(__xludf.DUMMYFUNCTION("""COMPUTED_VALUE"""),0.0)</f>
        <v>0</v>
      </c>
      <c r="U301" s="6">
        <f>IFERROR(__xludf.DUMMYFUNCTION("""COMPUTED_VALUE"""),0.0)</f>
        <v>0</v>
      </c>
      <c r="V301" s="4">
        <f t="shared" ref="V301:X301" si="300">SUM(D301, G301, J301, M301, P301, S301)</f>
        <v>1</v>
      </c>
      <c r="W301" s="4">
        <f t="shared" si="300"/>
        <v>0</v>
      </c>
      <c r="X301" s="4">
        <f t="shared" si="300"/>
        <v>1</v>
      </c>
    </row>
    <row r="302">
      <c r="A302" s="4" t="str">
        <f>IFERROR(__xludf.DUMMYFUNCTION("""COMPUTED_VALUE"""),"Школа 1883")</f>
        <v>Школа 1883</v>
      </c>
      <c r="B302" s="4" t="str">
        <f t="array" ref="B302">IFERROR(INDEX('Адреса школ'!F:F, MATCH(A302, 'Адреса школ'!E:E, 0)), "")</f>
        <v>55.54947, 37.547198</v>
      </c>
      <c r="C302" s="5" t="str">
        <f t="array" ref="C302">IFERROR(INDEX('Топ-400'!A:A, MATCH(A302, 'Топ-400'!E:E, 0)), "Вне рейтинга")</f>
        <v>160</v>
      </c>
      <c r="D302" s="6">
        <f>IFERROR(__xludf.DUMMYFUNCTION("""COMPUTED_VALUE"""),1.0)</f>
        <v>1</v>
      </c>
      <c r="E302" s="6">
        <f>IFERROR(__xludf.DUMMYFUNCTION("""COMPUTED_VALUE"""),1.0)</f>
        <v>1</v>
      </c>
      <c r="F302" s="6">
        <f>IFERROR(__xludf.DUMMYFUNCTION("""COMPUTED_VALUE"""),1.0)</f>
        <v>1</v>
      </c>
      <c r="G302" s="6">
        <f>IFERROR(__xludf.DUMMYFUNCTION("""COMPUTED_VALUE"""),0.0)</f>
        <v>0</v>
      </c>
      <c r="H302" s="6">
        <f>IFERROR(__xludf.DUMMYFUNCTION("""COMPUTED_VALUE"""),0.0)</f>
        <v>0</v>
      </c>
      <c r="I302" s="6">
        <f>IFERROR(__xludf.DUMMYFUNCTION("""COMPUTED_VALUE"""),0.0)</f>
        <v>0</v>
      </c>
      <c r="J302" s="6">
        <f>IFERROR(__xludf.DUMMYFUNCTION("""COMPUTED_VALUE"""),0.0)</f>
        <v>0</v>
      </c>
      <c r="K302" s="6">
        <f>IFERROR(__xludf.DUMMYFUNCTION("""COMPUTED_VALUE"""),0.0)</f>
        <v>0</v>
      </c>
      <c r="L302" s="6">
        <f>IFERROR(__xludf.DUMMYFUNCTION("""COMPUTED_VALUE"""),0.0)</f>
        <v>0</v>
      </c>
      <c r="M302" s="6">
        <f>IFERROR(__xludf.DUMMYFUNCTION("""COMPUTED_VALUE"""),1.0)</f>
        <v>1</v>
      </c>
      <c r="N302" s="6">
        <f>IFERROR(__xludf.DUMMYFUNCTION("""COMPUTED_VALUE"""),1.0)</f>
        <v>1</v>
      </c>
      <c r="O302" s="6">
        <f>IFERROR(__xludf.DUMMYFUNCTION("""COMPUTED_VALUE"""),1.0)</f>
        <v>1</v>
      </c>
      <c r="P302" s="6">
        <f>IFERROR(__xludf.DUMMYFUNCTION("""COMPUTED_VALUE"""),0.0)</f>
        <v>0</v>
      </c>
      <c r="Q302" s="6">
        <f>IFERROR(__xludf.DUMMYFUNCTION("""COMPUTED_VALUE"""),0.0)</f>
        <v>0</v>
      </c>
      <c r="R302" s="6">
        <f>IFERROR(__xludf.DUMMYFUNCTION("""COMPUTED_VALUE"""),0.0)</f>
        <v>0</v>
      </c>
      <c r="S302" s="6">
        <f>IFERROR(__xludf.DUMMYFUNCTION("""COMPUTED_VALUE"""),0.0)</f>
        <v>0</v>
      </c>
      <c r="T302" s="6">
        <f>IFERROR(__xludf.DUMMYFUNCTION("""COMPUTED_VALUE"""),0.0)</f>
        <v>0</v>
      </c>
      <c r="U302" s="6">
        <f>IFERROR(__xludf.DUMMYFUNCTION("""COMPUTED_VALUE"""),0.0)</f>
        <v>0</v>
      </c>
      <c r="V302" s="4">
        <f t="shared" ref="V302:X302" si="301">SUM(D302, G302, J302, M302, P302, S302)</f>
        <v>2</v>
      </c>
      <c r="W302" s="4">
        <f t="shared" si="301"/>
        <v>2</v>
      </c>
      <c r="X302" s="4">
        <f t="shared" si="301"/>
        <v>2</v>
      </c>
    </row>
    <row r="303">
      <c r="A303" s="4" t="str">
        <f>IFERROR(__xludf.DUMMYFUNCTION("""COMPUTED_VALUE"""),"Школа 1900")</f>
        <v>Школа 1900</v>
      </c>
      <c r="B303" s="4" t="str">
        <f t="array" ref="B303">IFERROR(INDEX('Адреса школ'!F:F, MATCH(A303, 'Адреса школ'!E:E, 0)), "")</f>
        <v>55.841417, 37.361157</v>
      </c>
      <c r="C303" s="5" t="str">
        <f t="array" ref="C303">IFERROR(INDEX('Топ-400'!A:A, MATCH(A303, 'Топ-400'!E:E, 0)), "Вне рейтинга")</f>
        <v>267</v>
      </c>
      <c r="D303" s="6">
        <f>IFERROR(__xludf.DUMMYFUNCTION("""COMPUTED_VALUE"""),1.0)</f>
        <v>1</v>
      </c>
      <c r="E303" s="6">
        <f>IFERROR(__xludf.DUMMYFUNCTION("""COMPUTED_VALUE"""),1.0)</f>
        <v>1</v>
      </c>
      <c r="F303" s="6">
        <f>IFERROR(__xludf.DUMMYFUNCTION("""COMPUTED_VALUE"""),1.0)</f>
        <v>1</v>
      </c>
      <c r="G303" s="6">
        <f>IFERROR(__xludf.DUMMYFUNCTION("""COMPUTED_VALUE"""),0.0)</f>
        <v>0</v>
      </c>
      <c r="H303" s="6">
        <f>IFERROR(__xludf.DUMMYFUNCTION("""COMPUTED_VALUE"""),0.0)</f>
        <v>0</v>
      </c>
      <c r="I303" s="6">
        <f>IFERROR(__xludf.DUMMYFUNCTION("""COMPUTED_VALUE"""),0.0)</f>
        <v>0</v>
      </c>
      <c r="J303" s="6">
        <f>IFERROR(__xludf.DUMMYFUNCTION("""COMPUTED_VALUE"""),0.0)</f>
        <v>0</v>
      </c>
      <c r="K303" s="6">
        <f>IFERROR(__xludf.DUMMYFUNCTION("""COMPUTED_VALUE"""),0.0)</f>
        <v>0</v>
      </c>
      <c r="L303" s="6">
        <f>IFERROR(__xludf.DUMMYFUNCTION("""COMPUTED_VALUE"""),1.0)</f>
        <v>1</v>
      </c>
      <c r="M303" s="6">
        <f>IFERROR(__xludf.DUMMYFUNCTION("""COMPUTED_VALUE"""),0.0)</f>
        <v>0</v>
      </c>
      <c r="N303" s="6">
        <f>IFERROR(__xludf.DUMMYFUNCTION("""COMPUTED_VALUE"""),0.0)</f>
        <v>0</v>
      </c>
      <c r="O303" s="6">
        <f>IFERROR(__xludf.DUMMYFUNCTION("""COMPUTED_VALUE"""),0.0)</f>
        <v>0</v>
      </c>
      <c r="P303" s="6">
        <f>IFERROR(__xludf.DUMMYFUNCTION("""COMPUTED_VALUE"""),0.0)</f>
        <v>0</v>
      </c>
      <c r="Q303" s="6">
        <f>IFERROR(__xludf.DUMMYFUNCTION("""COMPUTED_VALUE"""),0.0)</f>
        <v>0</v>
      </c>
      <c r="R303" s="6">
        <f>IFERROR(__xludf.DUMMYFUNCTION("""COMPUTED_VALUE"""),0.0)</f>
        <v>0</v>
      </c>
      <c r="S303" s="6">
        <f>IFERROR(__xludf.DUMMYFUNCTION("""COMPUTED_VALUE"""),0.0)</f>
        <v>0</v>
      </c>
      <c r="T303" s="6">
        <f>IFERROR(__xludf.DUMMYFUNCTION("""COMPUTED_VALUE"""),0.0)</f>
        <v>0</v>
      </c>
      <c r="U303" s="6">
        <f>IFERROR(__xludf.DUMMYFUNCTION("""COMPUTED_VALUE"""),0.0)</f>
        <v>0</v>
      </c>
      <c r="V303" s="4">
        <f t="shared" ref="V303:X303" si="302">SUM(D303, G303, J303, M303, P303, S303)</f>
        <v>1</v>
      </c>
      <c r="W303" s="4">
        <f t="shared" si="302"/>
        <v>1</v>
      </c>
      <c r="X303" s="4">
        <f t="shared" si="302"/>
        <v>2</v>
      </c>
    </row>
    <row r="304">
      <c r="A304" s="4" t="str">
        <f>IFERROR(__xludf.DUMMYFUNCTION("""COMPUTED_VALUE"""),"Школа 1905")</f>
        <v>Школа 1905</v>
      </c>
      <c r="B304" s="4" t="str">
        <f t="array" ref="B304">IFERROR(INDEX('Адреса школ'!F:F, MATCH(A304, 'Адреса школ'!E:E, 0)), "")</f>
        <v>55.682595, 37.860019</v>
      </c>
      <c r="C304" s="5" t="str">
        <f t="array" ref="C304">IFERROR(INDEX('Топ-400'!A:A, MATCH(A304, 'Топ-400'!E:E, 0)), "Вне рейтинга")</f>
        <v>281</v>
      </c>
      <c r="D304" s="6">
        <f>IFERROR(__xludf.DUMMYFUNCTION("""COMPUTED_VALUE"""),1.0)</f>
        <v>1</v>
      </c>
      <c r="E304" s="6">
        <f>IFERROR(__xludf.DUMMYFUNCTION("""COMPUTED_VALUE"""),1.0)</f>
        <v>1</v>
      </c>
      <c r="F304" s="6">
        <f>IFERROR(__xludf.DUMMYFUNCTION("""COMPUTED_VALUE"""),1.0)</f>
        <v>1</v>
      </c>
      <c r="G304" s="6">
        <f>IFERROR(__xludf.DUMMYFUNCTION("""COMPUTED_VALUE"""),0.0)</f>
        <v>0</v>
      </c>
      <c r="H304" s="6">
        <f>IFERROR(__xludf.DUMMYFUNCTION("""COMPUTED_VALUE"""),0.0)</f>
        <v>0</v>
      </c>
      <c r="I304" s="6">
        <f>IFERROR(__xludf.DUMMYFUNCTION("""COMPUTED_VALUE"""),0.0)</f>
        <v>0</v>
      </c>
      <c r="J304" s="6">
        <f>IFERROR(__xludf.DUMMYFUNCTION("""COMPUTED_VALUE"""),0.0)</f>
        <v>0</v>
      </c>
      <c r="K304" s="6">
        <f>IFERROR(__xludf.DUMMYFUNCTION("""COMPUTED_VALUE"""),0.0)</f>
        <v>0</v>
      </c>
      <c r="L304" s="6">
        <f>IFERROR(__xludf.DUMMYFUNCTION("""COMPUTED_VALUE"""),0.0)</f>
        <v>0</v>
      </c>
      <c r="M304" s="6">
        <f>IFERROR(__xludf.DUMMYFUNCTION("""COMPUTED_VALUE"""),1.0)</f>
        <v>1</v>
      </c>
      <c r="N304" s="6">
        <f>IFERROR(__xludf.DUMMYFUNCTION("""COMPUTED_VALUE"""),0.0)</f>
        <v>0</v>
      </c>
      <c r="O304" s="6">
        <f>IFERROR(__xludf.DUMMYFUNCTION("""COMPUTED_VALUE"""),0.0)</f>
        <v>0</v>
      </c>
      <c r="P304" s="6">
        <f>IFERROR(__xludf.DUMMYFUNCTION("""COMPUTED_VALUE"""),0.0)</f>
        <v>0</v>
      </c>
      <c r="Q304" s="6">
        <f>IFERROR(__xludf.DUMMYFUNCTION("""COMPUTED_VALUE"""),0.0)</f>
        <v>0</v>
      </c>
      <c r="R304" s="6">
        <f>IFERROR(__xludf.DUMMYFUNCTION("""COMPUTED_VALUE"""),0.0)</f>
        <v>0</v>
      </c>
      <c r="S304" s="6">
        <f>IFERROR(__xludf.DUMMYFUNCTION("""COMPUTED_VALUE"""),0.0)</f>
        <v>0</v>
      </c>
      <c r="T304" s="6">
        <f>IFERROR(__xludf.DUMMYFUNCTION("""COMPUTED_VALUE"""),0.0)</f>
        <v>0</v>
      </c>
      <c r="U304" s="6">
        <f>IFERROR(__xludf.DUMMYFUNCTION("""COMPUTED_VALUE"""),0.0)</f>
        <v>0</v>
      </c>
      <c r="V304" s="4">
        <f t="shared" ref="V304:X304" si="303">SUM(D304, G304, J304, M304, P304, S304)</f>
        <v>2</v>
      </c>
      <c r="W304" s="4">
        <f t="shared" si="303"/>
        <v>1</v>
      </c>
      <c r="X304" s="4">
        <f t="shared" si="303"/>
        <v>1</v>
      </c>
    </row>
    <row r="305">
      <c r="A305" s="4" t="str">
        <f>IFERROR(__xludf.DUMMYFUNCTION("""COMPUTED_VALUE"""),"Школа 1935")</f>
        <v>Школа 1935</v>
      </c>
      <c r="B305" s="4" t="str">
        <f t="array" ref="B305">IFERROR(INDEX('Адреса школ'!F:F, MATCH(A305, 'Адреса школ'!E:E, 0)), "")</f>
        <v>55.680493, 37.855383</v>
      </c>
      <c r="C305" s="5" t="str">
        <f t="array" ref="C305">IFERROR(INDEX('Топ-400'!A:A, MATCH(A305, 'Топ-400'!E:E, 0)), "Вне рейтинга")</f>
        <v>Вне рейтинга</v>
      </c>
      <c r="D305" s="6">
        <f>IFERROR(__xludf.DUMMYFUNCTION("""COMPUTED_VALUE"""),0.0)</f>
        <v>0</v>
      </c>
      <c r="E305" s="6">
        <f>IFERROR(__xludf.DUMMYFUNCTION("""COMPUTED_VALUE"""),1.0)</f>
        <v>1</v>
      </c>
      <c r="F305" s="6">
        <f>IFERROR(__xludf.DUMMYFUNCTION("""COMPUTED_VALUE"""),1.0)</f>
        <v>1</v>
      </c>
      <c r="G305" s="6">
        <f>IFERROR(__xludf.DUMMYFUNCTION("""COMPUTED_VALUE"""),0.0)</f>
        <v>0</v>
      </c>
      <c r="H305" s="6">
        <f>IFERROR(__xludf.DUMMYFUNCTION("""COMPUTED_VALUE"""),0.0)</f>
        <v>0</v>
      </c>
      <c r="I305" s="6">
        <f>IFERROR(__xludf.DUMMYFUNCTION("""COMPUTED_VALUE"""),0.0)</f>
        <v>0</v>
      </c>
      <c r="J305" s="6">
        <f>IFERROR(__xludf.DUMMYFUNCTION("""COMPUTED_VALUE"""),0.0)</f>
        <v>0</v>
      </c>
      <c r="K305" s="6">
        <f>IFERROR(__xludf.DUMMYFUNCTION("""COMPUTED_VALUE"""),0.0)</f>
        <v>0</v>
      </c>
      <c r="L305" s="6">
        <f>IFERROR(__xludf.DUMMYFUNCTION("""COMPUTED_VALUE"""),0.0)</f>
        <v>0</v>
      </c>
      <c r="M305" s="6">
        <f>IFERROR(__xludf.DUMMYFUNCTION("""COMPUTED_VALUE"""),1.0)</f>
        <v>1</v>
      </c>
      <c r="N305" s="6">
        <f>IFERROR(__xludf.DUMMYFUNCTION("""COMPUTED_VALUE"""),0.0)</f>
        <v>0</v>
      </c>
      <c r="O305" s="6">
        <f>IFERROR(__xludf.DUMMYFUNCTION("""COMPUTED_VALUE"""),1.0)</f>
        <v>1</v>
      </c>
      <c r="P305" s="6">
        <f>IFERROR(__xludf.DUMMYFUNCTION("""COMPUTED_VALUE"""),0.0)</f>
        <v>0</v>
      </c>
      <c r="Q305" s="6">
        <f>IFERROR(__xludf.DUMMYFUNCTION("""COMPUTED_VALUE"""),0.0)</f>
        <v>0</v>
      </c>
      <c r="R305" s="6">
        <f>IFERROR(__xludf.DUMMYFUNCTION("""COMPUTED_VALUE"""),0.0)</f>
        <v>0</v>
      </c>
      <c r="S305" s="6">
        <f>IFERROR(__xludf.DUMMYFUNCTION("""COMPUTED_VALUE"""),0.0)</f>
        <v>0</v>
      </c>
      <c r="T305" s="6">
        <f>IFERROR(__xludf.DUMMYFUNCTION("""COMPUTED_VALUE"""),0.0)</f>
        <v>0</v>
      </c>
      <c r="U305" s="6">
        <f>IFERROR(__xludf.DUMMYFUNCTION("""COMPUTED_VALUE"""),0.0)</f>
        <v>0</v>
      </c>
      <c r="V305" s="4">
        <f t="shared" ref="V305:X305" si="304">SUM(D305, G305, J305, M305, P305, S305)</f>
        <v>1</v>
      </c>
      <c r="W305" s="4">
        <f t="shared" si="304"/>
        <v>1</v>
      </c>
      <c r="X305" s="4">
        <f t="shared" si="304"/>
        <v>2</v>
      </c>
    </row>
    <row r="306">
      <c r="A306" s="4" t="str">
        <f>IFERROR(__xludf.DUMMYFUNCTION("""COMPUTED_VALUE"""),"Школа 1944")</f>
        <v>Школа 1944</v>
      </c>
      <c r="B306" s="4" t="str">
        <f t="array" ref="B306">IFERROR(INDEX('Адреса школ'!F:F, MATCH(A306, 'Адреса школ'!E:E, 0)), "")</f>
        <v>55.842378, 37.349183</v>
      </c>
      <c r="C306" s="5" t="str">
        <f t="array" ref="C306">IFERROR(INDEX('Топ-400'!A:A, MATCH(A306, 'Топ-400'!E:E, 0)), "Вне рейтинга")</f>
        <v>119</v>
      </c>
      <c r="D306" s="6">
        <f>IFERROR(__xludf.DUMMYFUNCTION("""COMPUTED_VALUE"""),0.0)</f>
        <v>0</v>
      </c>
      <c r="E306" s="6">
        <f>IFERROR(__xludf.DUMMYFUNCTION("""COMPUTED_VALUE"""),0.0)</f>
        <v>0</v>
      </c>
      <c r="F306" s="6">
        <f>IFERROR(__xludf.DUMMYFUNCTION("""COMPUTED_VALUE"""),0.0)</f>
        <v>0</v>
      </c>
      <c r="G306" s="6">
        <f>IFERROR(__xludf.DUMMYFUNCTION("""COMPUTED_VALUE"""),0.0)</f>
        <v>0</v>
      </c>
      <c r="H306" s="6">
        <f>IFERROR(__xludf.DUMMYFUNCTION("""COMPUTED_VALUE"""),0.0)</f>
        <v>0</v>
      </c>
      <c r="I306" s="6">
        <f>IFERROR(__xludf.DUMMYFUNCTION("""COMPUTED_VALUE"""),0.0)</f>
        <v>0</v>
      </c>
      <c r="J306" s="6">
        <f>IFERROR(__xludf.DUMMYFUNCTION("""COMPUTED_VALUE"""),0.0)</f>
        <v>0</v>
      </c>
      <c r="K306" s="6">
        <f>IFERROR(__xludf.DUMMYFUNCTION("""COMPUTED_VALUE"""),0.0)</f>
        <v>0</v>
      </c>
      <c r="L306" s="6">
        <f>IFERROR(__xludf.DUMMYFUNCTION("""COMPUTED_VALUE"""),0.0)</f>
        <v>0</v>
      </c>
      <c r="M306" s="6">
        <f>IFERROR(__xludf.DUMMYFUNCTION("""COMPUTED_VALUE"""),1.0)</f>
        <v>1</v>
      </c>
      <c r="N306" s="6">
        <f>IFERROR(__xludf.DUMMYFUNCTION("""COMPUTED_VALUE"""),0.0)</f>
        <v>0</v>
      </c>
      <c r="O306" s="6">
        <f>IFERROR(__xludf.DUMMYFUNCTION("""COMPUTED_VALUE"""),1.0)</f>
        <v>1</v>
      </c>
      <c r="P306" s="6">
        <f>IFERROR(__xludf.DUMMYFUNCTION("""COMPUTED_VALUE"""),1.0)</f>
        <v>1</v>
      </c>
      <c r="Q306" s="6">
        <f>IFERROR(__xludf.DUMMYFUNCTION("""COMPUTED_VALUE"""),0.0)</f>
        <v>0</v>
      </c>
      <c r="R306" s="6">
        <f>IFERROR(__xludf.DUMMYFUNCTION("""COMPUTED_VALUE"""),0.0)</f>
        <v>0</v>
      </c>
      <c r="S306" s="6">
        <f>IFERROR(__xludf.DUMMYFUNCTION("""COMPUTED_VALUE"""),0.0)</f>
        <v>0</v>
      </c>
      <c r="T306" s="6">
        <f>IFERROR(__xludf.DUMMYFUNCTION("""COMPUTED_VALUE"""),0.0)</f>
        <v>0</v>
      </c>
      <c r="U306" s="6">
        <f>IFERROR(__xludf.DUMMYFUNCTION("""COMPUTED_VALUE"""),0.0)</f>
        <v>0</v>
      </c>
      <c r="V306" s="4">
        <f t="shared" ref="V306:X306" si="305">SUM(D306, G306, J306, M306, P306, S306)</f>
        <v>2</v>
      </c>
      <c r="W306" s="4">
        <f t="shared" si="305"/>
        <v>0</v>
      </c>
      <c r="X306" s="4">
        <f t="shared" si="305"/>
        <v>1</v>
      </c>
    </row>
    <row r="307">
      <c r="A307" s="4" t="str">
        <f>IFERROR(__xludf.DUMMYFUNCTION("""COMPUTED_VALUE"""),"Школа 1945")</f>
        <v>Школа 1945</v>
      </c>
      <c r="B307" s="4" t="str">
        <f t="array" ref="B307">IFERROR(INDEX('Адреса школ'!F:F, MATCH(A307, 'Адреса школ'!E:E, 0)), "")</f>
        <v>55.570472, 37.584685</v>
      </c>
      <c r="C307" s="5" t="str">
        <f t="array" ref="C307">IFERROR(INDEX('Топ-400'!A:A, MATCH(A307, 'Топ-400'!E:E, 0)), "Вне рейтинга")</f>
        <v>Вне рейтинга</v>
      </c>
      <c r="D307" s="6">
        <f>IFERROR(__xludf.DUMMYFUNCTION("""COMPUTED_VALUE"""),0.0)</f>
        <v>0</v>
      </c>
      <c r="E307" s="6">
        <f>IFERROR(__xludf.DUMMYFUNCTION("""COMPUTED_VALUE"""),0.0)</f>
        <v>0</v>
      </c>
      <c r="F307" s="6">
        <f>IFERROR(__xludf.DUMMYFUNCTION("""COMPUTED_VALUE"""),0.0)</f>
        <v>0</v>
      </c>
      <c r="G307" s="6">
        <f>IFERROR(__xludf.DUMMYFUNCTION("""COMPUTED_VALUE"""),0.0)</f>
        <v>0</v>
      </c>
      <c r="H307" s="6">
        <f>IFERROR(__xludf.DUMMYFUNCTION("""COMPUTED_VALUE"""),0.0)</f>
        <v>0</v>
      </c>
      <c r="I307" s="6">
        <f>IFERROR(__xludf.DUMMYFUNCTION("""COMPUTED_VALUE"""),0.0)</f>
        <v>0</v>
      </c>
      <c r="J307" s="6">
        <f>IFERROR(__xludf.DUMMYFUNCTION("""COMPUTED_VALUE"""),1.0)</f>
        <v>1</v>
      </c>
      <c r="K307" s="6">
        <f>IFERROR(__xludf.DUMMYFUNCTION("""COMPUTED_VALUE"""),0.0)</f>
        <v>0</v>
      </c>
      <c r="L307" s="6">
        <f>IFERROR(__xludf.DUMMYFUNCTION("""COMPUTED_VALUE"""),1.0)</f>
        <v>1</v>
      </c>
      <c r="M307" s="6">
        <f>IFERROR(__xludf.DUMMYFUNCTION("""COMPUTED_VALUE"""),1.0)</f>
        <v>1</v>
      </c>
      <c r="N307" s="6">
        <f>IFERROR(__xludf.DUMMYFUNCTION("""COMPUTED_VALUE"""),1.0)</f>
        <v>1</v>
      </c>
      <c r="O307" s="6">
        <f>IFERROR(__xludf.DUMMYFUNCTION("""COMPUTED_VALUE"""),1.0)</f>
        <v>1</v>
      </c>
      <c r="P307" s="6">
        <f>IFERROR(__xludf.DUMMYFUNCTION("""COMPUTED_VALUE"""),0.0)</f>
        <v>0</v>
      </c>
      <c r="Q307" s="6">
        <f>IFERROR(__xludf.DUMMYFUNCTION("""COMPUTED_VALUE"""),0.0)</f>
        <v>0</v>
      </c>
      <c r="R307" s="6">
        <f>IFERROR(__xludf.DUMMYFUNCTION("""COMPUTED_VALUE"""),0.0)</f>
        <v>0</v>
      </c>
      <c r="S307" s="6">
        <f>IFERROR(__xludf.DUMMYFUNCTION("""COMPUTED_VALUE"""),0.0)</f>
        <v>0</v>
      </c>
      <c r="T307" s="6">
        <f>IFERROR(__xludf.DUMMYFUNCTION("""COMPUTED_VALUE"""),0.0)</f>
        <v>0</v>
      </c>
      <c r="U307" s="6">
        <f>IFERROR(__xludf.DUMMYFUNCTION("""COMPUTED_VALUE"""),0.0)</f>
        <v>0</v>
      </c>
      <c r="V307" s="4">
        <f t="shared" ref="V307:X307" si="306">SUM(D307, G307, J307, M307, P307, S307)</f>
        <v>2</v>
      </c>
      <c r="W307" s="4">
        <f t="shared" si="306"/>
        <v>1</v>
      </c>
      <c r="X307" s="4">
        <f t="shared" si="306"/>
        <v>2</v>
      </c>
    </row>
    <row r="308">
      <c r="A308" s="4" t="str">
        <f>IFERROR(__xludf.DUMMYFUNCTION("""COMPUTED_VALUE"""),"Школа 1948")</f>
        <v>Школа 1948</v>
      </c>
      <c r="B308" s="4" t="str">
        <f t="array" ref="B308">IFERROR(INDEX('Адреса школ'!F:F, MATCH(A308, 'Адреса школ'!E:E, 0)), "")</f>
        <v>55.664639, 37.559047</v>
      </c>
      <c r="C308" s="5" t="str">
        <f t="array" ref="C308">IFERROR(INDEX('Топ-400'!A:A, MATCH(A308, 'Топ-400'!E:E, 0)), "Вне рейтинга")</f>
        <v>158</v>
      </c>
      <c r="D308" s="6">
        <f>IFERROR(__xludf.DUMMYFUNCTION("""COMPUTED_VALUE"""),0.0)</f>
        <v>0</v>
      </c>
      <c r="E308" s="6">
        <f>IFERROR(__xludf.DUMMYFUNCTION("""COMPUTED_VALUE"""),0.0)</f>
        <v>0</v>
      </c>
      <c r="F308" s="6">
        <f>IFERROR(__xludf.DUMMYFUNCTION("""COMPUTED_VALUE"""),0.0)</f>
        <v>0</v>
      </c>
      <c r="G308" s="6">
        <f>IFERROR(__xludf.DUMMYFUNCTION("""COMPUTED_VALUE"""),0.0)</f>
        <v>0</v>
      </c>
      <c r="H308" s="6">
        <f>IFERROR(__xludf.DUMMYFUNCTION("""COMPUTED_VALUE"""),0.0)</f>
        <v>0</v>
      </c>
      <c r="I308" s="6">
        <f>IFERROR(__xludf.DUMMYFUNCTION("""COMPUTED_VALUE"""),0.0)</f>
        <v>0</v>
      </c>
      <c r="J308" s="6">
        <f>IFERROR(__xludf.DUMMYFUNCTION("""COMPUTED_VALUE"""),0.0)</f>
        <v>0</v>
      </c>
      <c r="K308" s="6">
        <f>IFERROR(__xludf.DUMMYFUNCTION("""COMPUTED_VALUE"""),0.0)</f>
        <v>0</v>
      </c>
      <c r="L308" s="6">
        <f>IFERROR(__xludf.DUMMYFUNCTION("""COMPUTED_VALUE"""),0.0)</f>
        <v>0</v>
      </c>
      <c r="M308" s="6">
        <f>IFERROR(__xludf.DUMMYFUNCTION("""COMPUTED_VALUE"""),1.0)</f>
        <v>1</v>
      </c>
      <c r="N308" s="6">
        <f>IFERROR(__xludf.DUMMYFUNCTION("""COMPUTED_VALUE"""),1.0)</f>
        <v>1</v>
      </c>
      <c r="O308" s="6">
        <f>IFERROR(__xludf.DUMMYFUNCTION("""COMPUTED_VALUE"""),1.0)</f>
        <v>1</v>
      </c>
      <c r="P308" s="6">
        <f>IFERROR(__xludf.DUMMYFUNCTION("""COMPUTED_VALUE"""),0.0)</f>
        <v>0</v>
      </c>
      <c r="Q308" s="6">
        <f>IFERROR(__xludf.DUMMYFUNCTION("""COMPUTED_VALUE"""),0.0)</f>
        <v>0</v>
      </c>
      <c r="R308" s="6">
        <f>IFERROR(__xludf.DUMMYFUNCTION("""COMPUTED_VALUE"""),0.0)</f>
        <v>0</v>
      </c>
      <c r="S308" s="6">
        <f>IFERROR(__xludf.DUMMYFUNCTION("""COMPUTED_VALUE"""),0.0)</f>
        <v>0</v>
      </c>
      <c r="T308" s="6">
        <f>IFERROR(__xludf.DUMMYFUNCTION("""COMPUTED_VALUE"""),0.0)</f>
        <v>0</v>
      </c>
      <c r="U308" s="6">
        <f>IFERROR(__xludf.DUMMYFUNCTION("""COMPUTED_VALUE"""),0.0)</f>
        <v>0</v>
      </c>
      <c r="V308" s="4">
        <f t="shared" ref="V308:X308" si="307">SUM(D308, G308, J308, M308, P308, S308)</f>
        <v>1</v>
      </c>
      <c r="W308" s="4">
        <f t="shared" si="307"/>
        <v>1</v>
      </c>
      <c r="X308" s="4">
        <f t="shared" si="307"/>
        <v>1</v>
      </c>
    </row>
    <row r="309">
      <c r="A309" s="4" t="str">
        <f>IFERROR(__xludf.DUMMYFUNCTION("""COMPUTED_VALUE"""),"Школа 1950")</f>
        <v>Школа 1950</v>
      </c>
      <c r="B309" s="4" t="str">
        <f t="array" ref="B309">IFERROR(INDEX('Адреса школ'!F:F, MATCH(A309, 'Адреса школ'!E:E, 0)), "")</f>
        <v>55.766354, 37.58446</v>
      </c>
      <c r="C309" s="5" t="str">
        <f t="array" ref="C309">IFERROR(INDEX('Топ-400'!A:A, MATCH(A309, 'Топ-400'!E:E, 0)), "Вне рейтинга")</f>
        <v>129</v>
      </c>
      <c r="D309" s="6">
        <f>IFERROR(__xludf.DUMMYFUNCTION("""COMPUTED_VALUE"""),0.0)</f>
        <v>0</v>
      </c>
      <c r="E309" s="6">
        <f>IFERROR(__xludf.DUMMYFUNCTION("""COMPUTED_VALUE"""),0.0)</f>
        <v>0</v>
      </c>
      <c r="F309" s="6">
        <f>IFERROR(__xludf.DUMMYFUNCTION("""COMPUTED_VALUE"""),0.0)</f>
        <v>0</v>
      </c>
      <c r="G309" s="6">
        <f>IFERROR(__xludf.DUMMYFUNCTION("""COMPUTED_VALUE"""),1.0)</f>
        <v>1</v>
      </c>
      <c r="H309" s="6">
        <f>IFERROR(__xludf.DUMMYFUNCTION("""COMPUTED_VALUE"""),0.0)</f>
        <v>0</v>
      </c>
      <c r="I309" s="6">
        <f>IFERROR(__xludf.DUMMYFUNCTION("""COMPUTED_VALUE"""),1.0)</f>
        <v>1</v>
      </c>
      <c r="J309" s="6">
        <f>IFERROR(__xludf.DUMMYFUNCTION("""COMPUTED_VALUE"""),0.0)</f>
        <v>0</v>
      </c>
      <c r="K309" s="6">
        <f>IFERROR(__xludf.DUMMYFUNCTION("""COMPUTED_VALUE"""),0.0)</f>
        <v>0</v>
      </c>
      <c r="L309" s="6">
        <f>IFERROR(__xludf.DUMMYFUNCTION("""COMPUTED_VALUE"""),0.0)</f>
        <v>0</v>
      </c>
      <c r="M309" s="6">
        <f>IFERROR(__xludf.DUMMYFUNCTION("""COMPUTED_VALUE"""),0.0)</f>
        <v>0</v>
      </c>
      <c r="N309" s="6">
        <f>IFERROR(__xludf.DUMMYFUNCTION("""COMPUTED_VALUE"""),0.0)</f>
        <v>0</v>
      </c>
      <c r="O309" s="6">
        <f>IFERROR(__xludf.DUMMYFUNCTION("""COMPUTED_VALUE"""),0.0)</f>
        <v>0</v>
      </c>
      <c r="P309" s="6">
        <f>IFERROR(__xludf.DUMMYFUNCTION("""COMPUTED_VALUE"""),1.0)</f>
        <v>1</v>
      </c>
      <c r="Q309" s="6">
        <f>IFERROR(__xludf.DUMMYFUNCTION("""COMPUTED_VALUE"""),1.0)</f>
        <v>1</v>
      </c>
      <c r="R309" s="6">
        <f>IFERROR(__xludf.DUMMYFUNCTION("""COMPUTED_VALUE"""),1.0)</f>
        <v>1</v>
      </c>
      <c r="S309" s="6">
        <f>IFERROR(__xludf.DUMMYFUNCTION("""COMPUTED_VALUE"""),0.0)</f>
        <v>0</v>
      </c>
      <c r="T309" s="6">
        <f>IFERROR(__xludf.DUMMYFUNCTION("""COMPUTED_VALUE"""),0.0)</f>
        <v>0</v>
      </c>
      <c r="U309" s="6">
        <f>IFERROR(__xludf.DUMMYFUNCTION("""COMPUTED_VALUE"""),0.0)</f>
        <v>0</v>
      </c>
      <c r="V309" s="4">
        <f t="shared" ref="V309:X309" si="308">SUM(D309, G309, J309, M309, P309, S309)</f>
        <v>2</v>
      </c>
      <c r="W309" s="4">
        <f t="shared" si="308"/>
        <v>1</v>
      </c>
      <c r="X309" s="4">
        <f t="shared" si="308"/>
        <v>2</v>
      </c>
    </row>
    <row r="310">
      <c r="A310" s="4" t="str">
        <f>IFERROR(__xludf.DUMMYFUNCTION("""COMPUTED_VALUE"""),"Школа 1955")</f>
        <v>Школа 1955</v>
      </c>
      <c r="B310" s="4" t="str">
        <f t="array" ref="B310">IFERROR(INDEX('Адреса школ'!F:F, MATCH(A310, 'Адреса школ'!E:E, 0)), "")</f>
        <v>55.879475, 37.688773</v>
      </c>
      <c r="C310" s="5" t="str">
        <f t="array" ref="C310">IFERROR(INDEX('Топ-400'!A:A, MATCH(A310, 'Топ-400'!E:E, 0)), "Вне рейтинга")</f>
        <v>111</v>
      </c>
      <c r="D310" s="6">
        <f>IFERROR(__xludf.DUMMYFUNCTION("""COMPUTED_VALUE"""),1.0)</f>
        <v>1</v>
      </c>
      <c r="E310" s="6">
        <f>IFERROR(__xludf.DUMMYFUNCTION("""COMPUTED_VALUE"""),0.0)</f>
        <v>0</v>
      </c>
      <c r="F310" s="6">
        <f>IFERROR(__xludf.DUMMYFUNCTION("""COMPUTED_VALUE"""),1.0)</f>
        <v>1</v>
      </c>
      <c r="G310" s="6">
        <f>IFERROR(__xludf.DUMMYFUNCTION("""COMPUTED_VALUE"""),0.0)</f>
        <v>0</v>
      </c>
      <c r="H310" s="6">
        <f>IFERROR(__xludf.DUMMYFUNCTION("""COMPUTED_VALUE"""),0.0)</f>
        <v>0</v>
      </c>
      <c r="I310" s="6">
        <f>IFERROR(__xludf.DUMMYFUNCTION("""COMPUTED_VALUE"""),0.0)</f>
        <v>0</v>
      </c>
      <c r="J310" s="6">
        <f>IFERROR(__xludf.DUMMYFUNCTION("""COMPUTED_VALUE"""),0.0)</f>
        <v>0</v>
      </c>
      <c r="K310" s="6">
        <f>IFERROR(__xludf.DUMMYFUNCTION("""COMPUTED_VALUE"""),0.0)</f>
        <v>0</v>
      </c>
      <c r="L310" s="6">
        <f>IFERROR(__xludf.DUMMYFUNCTION("""COMPUTED_VALUE"""),0.0)</f>
        <v>0</v>
      </c>
      <c r="M310" s="6">
        <f>IFERROR(__xludf.DUMMYFUNCTION("""COMPUTED_VALUE"""),0.0)</f>
        <v>0</v>
      </c>
      <c r="N310" s="6">
        <f>IFERROR(__xludf.DUMMYFUNCTION("""COMPUTED_VALUE"""),0.0)</f>
        <v>0</v>
      </c>
      <c r="O310" s="6">
        <f>IFERROR(__xludf.DUMMYFUNCTION("""COMPUTED_VALUE"""),0.0)</f>
        <v>0</v>
      </c>
      <c r="P310" s="6">
        <f>IFERROR(__xludf.DUMMYFUNCTION("""COMPUTED_VALUE"""),0.0)</f>
        <v>0</v>
      </c>
      <c r="Q310" s="6">
        <f>IFERROR(__xludf.DUMMYFUNCTION("""COMPUTED_VALUE"""),0.0)</f>
        <v>0</v>
      </c>
      <c r="R310" s="6">
        <f>IFERROR(__xludf.DUMMYFUNCTION("""COMPUTED_VALUE"""),0.0)</f>
        <v>0</v>
      </c>
      <c r="S310" s="6">
        <f>IFERROR(__xludf.DUMMYFUNCTION("""COMPUTED_VALUE"""),0.0)</f>
        <v>0</v>
      </c>
      <c r="T310" s="6">
        <f>IFERROR(__xludf.DUMMYFUNCTION("""COMPUTED_VALUE"""),0.0)</f>
        <v>0</v>
      </c>
      <c r="U310" s="6">
        <f>IFERROR(__xludf.DUMMYFUNCTION("""COMPUTED_VALUE"""),0.0)</f>
        <v>0</v>
      </c>
      <c r="V310" s="4">
        <f t="shared" ref="V310:X310" si="309">SUM(D310, G310, J310, M310, P310, S310)</f>
        <v>1</v>
      </c>
      <c r="W310" s="4">
        <f t="shared" si="309"/>
        <v>0</v>
      </c>
      <c r="X310" s="4">
        <f t="shared" si="309"/>
        <v>1</v>
      </c>
    </row>
    <row r="311">
      <c r="A311" s="4" t="str">
        <f>IFERROR(__xludf.DUMMYFUNCTION("""COMPUTED_VALUE"""),"Школа 1980")</f>
        <v>Школа 1980</v>
      </c>
      <c r="B311" s="4" t="str">
        <f t="array" ref="B311">IFERROR(INDEX('Адреса школ'!F:F, MATCH(A311, 'Адреса школ'!E:E, 0)), "")</f>
        <v>55.532487, 37.528774</v>
      </c>
      <c r="C311" s="5" t="str">
        <f t="array" ref="C311">IFERROR(INDEX('Топ-400'!A:A, MATCH(A311, 'Топ-400'!E:E, 0)), "Вне рейтинга")</f>
        <v>68</v>
      </c>
      <c r="D311" s="6">
        <f>IFERROR(__xludf.DUMMYFUNCTION("""COMPUTED_VALUE"""),1.0)</f>
        <v>1</v>
      </c>
      <c r="E311" s="6">
        <f>IFERROR(__xludf.DUMMYFUNCTION("""COMPUTED_VALUE"""),1.0)</f>
        <v>1</v>
      </c>
      <c r="F311" s="6">
        <f>IFERROR(__xludf.DUMMYFUNCTION("""COMPUTED_VALUE"""),1.0)</f>
        <v>1</v>
      </c>
      <c r="G311" s="6">
        <f>IFERROR(__xludf.DUMMYFUNCTION("""COMPUTED_VALUE"""),0.0)</f>
        <v>0</v>
      </c>
      <c r="H311" s="6">
        <f>IFERROR(__xludf.DUMMYFUNCTION("""COMPUTED_VALUE"""),0.0)</f>
        <v>0</v>
      </c>
      <c r="I311" s="6">
        <f>IFERROR(__xludf.DUMMYFUNCTION("""COMPUTED_VALUE"""),0.0)</f>
        <v>0</v>
      </c>
      <c r="J311" s="6">
        <f>IFERROR(__xludf.DUMMYFUNCTION("""COMPUTED_VALUE"""),0.0)</f>
        <v>0</v>
      </c>
      <c r="K311" s="6">
        <f>IFERROR(__xludf.DUMMYFUNCTION("""COMPUTED_VALUE"""),0.0)</f>
        <v>0</v>
      </c>
      <c r="L311" s="6">
        <f>IFERROR(__xludf.DUMMYFUNCTION("""COMPUTED_VALUE"""),0.0)</f>
        <v>0</v>
      </c>
      <c r="M311" s="6">
        <f>IFERROR(__xludf.DUMMYFUNCTION("""COMPUTED_VALUE"""),0.0)</f>
        <v>0</v>
      </c>
      <c r="N311" s="6">
        <f>IFERROR(__xludf.DUMMYFUNCTION("""COMPUTED_VALUE"""),0.0)</f>
        <v>0</v>
      </c>
      <c r="O311" s="6">
        <f>IFERROR(__xludf.DUMMYFUNCTION("""COMPUTED_VALUE"""),0.0)</f>
        <v>0</v>
      </c>
      <c r="P311" s="6">
        <f>IFERROR(__xludf.DUMMYFUNCTION("""COMPUTED_VALUE"""),1.0)</f>
        <v>1</v>
      </c>
      <c r="Q311" s="6">
        <f>IFERROR(__xludf.DUMMYFUNCTION("""COMPUTED_VALUE"""),1.0)</f>
        <v>1</v>
      </c>
      <c r="R311" s="6">
        <f>IFERROR(__xludf.DUMMYFUNCTION("""COMPUTED_VALUE"""),1.0)</f>
        <v>1</v>
      </c>
      <c r="S311" s="6">
        <f>IFERROR(__xludf.DUMMYFUNCTION("""COMPUTED_VALUE"""),0.0)</f>
        <v>0</v>
      </c>
      <c r="T311" s="6">
        <f>IFERROR(__xludf.DUMMYFUNCTION("""COMPUTED_VALUE"""),0.0)</f>
        <v>0</v>
      </c>
      <c r="U311" s="6">
        <f>IFERROR(__xludf.DUMMYFUNCTION("""COMPUTED_VALUE"""),0.0)</f>
        <v>0</v>
      </c>
      <c r="V311" s="4">
        <f t="shared" ref="V311:X311" si="310">SUM(D311, G311, J311, M311, P311, S311)</f>
        <v>2</v>
      </c>
      <c r="W311" s="4">
        <f t="shared" si="310"/>
        <v>2</v>
      </c>
      <c r="X311" s="4">
        <f t="shared" si="310"/>
        <v>2</v>
      </c>
    </row>
    <row r="312">
      <c r="A312" s="4" t="str">
        <f>IFERROR(__xludf.DUMMYFUNCTION("""COMPUTED_VALUE"""),"Школа 1981")</f>
        <v>Школа 1981</v>
      </c>
      <c r="B312" s="4" t="str">
        <f t="array" ref="B312">IFERROR(INDEX('Адреса школ'!F:F, MATCH(A312, 'Адреса школ'!E:E, 0)), "")</f>
        <v>55.550045, 37.537595</v>
      </c>
      <c r="C312" s="5" t="str">
        <f t="array" ref="C312">IFERROR(INDEX('Топ-400'!A:A, MATCH(A312, 'Топ-400'!E:E, 0)), "Вне рейтинга")</f>
        <v>387</v>
      </c>
      <c r="D312" s="6">
        <f>IFERROR(__xludf.DUMMYFUNCTION("""COMPUTED_VALUE"""),1.0)</f>
        <v>1</v>
      </c>
      <c r="E312" s="6">
        <f>IFERROR(__xludf.DUMMYFUNCTION("""COMPUTED_VALUE"""),1.0)</f>
        <v>1</v>
      </c>
      <c r="F312" s="6">
        <f>IFERROR(__xludf.DUMMYFUNCTION("""COMPUTED_VALUE"""),1.0)</f>
        <v>1</v>
      </c>
      <c r="G312" s="6">
        <f>IFERROR(__xludf.DUMMYFUNCTION("""COMPUTED_VALUE"""),0.0)</f>
        <v>0</v>
      </c>
      <c r="H312" s="6">
        <f>IFERROR(__xludf.DUMMYFUNCTION("""COMPUTED_VALUE"""),0.0)</f>
        <v>0</v>
      </c>
      <c r="I312" s="6">
        <f>IFERROR(__xludf.DUMMYFUNCTION("""COMPUTED_VALUE"""),0.0)</f>
        <v>0</v>
      </c>
      <c r="J312" s="6">
        <f>IFERROR(__xludf.DUMMYFUNCTION("""COMPUTED_VALUE"""),0.0)</f>
        <v>0</v>
      </c>
      <c r="K312" s="6">
        <f>IFERROR(__xludf.DUMMYFUNCTION("""COMPUTED_VALUE"""),0.0)</f>
        <v>0</v>
      </c>
      <c r="L312" s="6">
        <f>IFERROR(__xludf.DUMMYFUNCTION("""COMPUTED_VALUE"""),0.0)</f>
        <v>0</v>
      </c>
      <c r="M312" s="6">
        <f>IFERROR(__xludf.DUMMYFUNCTION("""COMPUTED_VALUE"""),0.0)</f>
        <v>0</v>
      </c>
      <c r="N312" s="6">
        <f>IFERROR(__xludf.DUMMYFUNCTION("""COMPUTED_VALUE"""),0.0)</f>
        <v>0</v>
      </c>
      <c r="O312" s="6">
        <f>IFERROR(__xludf.DUMMYFUNCTION("""COMPUTED_VALUE"""),0.0)</f>
        <v>0</v>
      </c>
      <c r="P312" s="6">
        <f>IFERROR(__xludf.DUMMYFUNCTION("""COMPUTED_VALUE"""),0.0)</f>
        <v>0</v>
      </c>
      <c r="Q312" s="6">
        <f>IFERROR(__xludf.DUMMYFUNCTION("""COMPUTED_VALUE"""),0.0)</f>
        <v>0</v>
      </c>
      <c r="R312" s="6">
        <f>IFERROR(__xludf.DUMMYFUNCTION("""COMPUTED_VALUE"""),0.0)</f>
        <v>0</v>
      </c>
      <c r="S312" s="6">
        <f>IFERROR(__xludf.DUMMYFUNCTION("""COMPUTED_VALUE"""),0.0)</f>
        <v>0</v>
      </c>
      <c r="T312" s="6">
        <f>IFERROR(__xludf.DUMMYFUNCTION("""COMPUTED_VALUE"""),0.0)</f>
        <v>0</v>
      </c>
      <c r="U312" s="6">
        <f>IFERROR(__xludf.DUMMYFUNCTION("""COMPUTED_VALUE"""),0.0)</f>
        <v>0</v>
      </c>
      <c r="V312" s="4">
        <f t="shared" ref="V312:X312" si="311">SUM(D312, G312, J312, M312, P312, S312)</f>
        <v>1</v>
      </c>
      <c r="W312" s="4">
        <f t="shared" si="311"/>
        <v>1</v>
      </c>
      <c r="X312" s="4">
        <f t="shared" si="311"/>
        <v>1</v>
      </c>
    </row>
    <row r="313">
      <c r="A313" s="4" t="str">
        <f>IFERROR(__xludf.DUMMYFUNCTION("""COMPUTED_VALUE"""),"Школа 1985")</f>
        <v>Школа 1985</v>
      </c>
      <c r="B313" s="4" t="str">
        <f t="array" ref="B313">IFERROR(INDEX('Адреса школ'!F:F, MATCH(A313, 'Адреса школ'!E:E, 0)), "")</f>
        <v>55.886993, 37.39205</v>
      </c>
      <c r="C313" s="5" t="str">
        <f t="array" ref="C313">IFERROR(INDEX('Топ-400'!A:A, MATCH(A313, 'Топ-400'!E:E, 0)), "Вне рейтинга")</f>
        <v>Вне рейтинга</v>
      </c>
      <c r="D313" s="6">
        <f>IFERROR(__xludf.DUMMYFUNCTION("""COMPUTED_VALUE"""),0.0)</f>
        <v>0</v>
      </c>
      <c r="E313" s="6">
        <f>IFERROR(__xludf.DUMMYFUNCTION("""COMPUTED_VALUE"""),0.0)</f>
        <v>0</v>
      </c>
      <c r="F313" s="6">
        <f>IFERROR(__xludf.DUMMYFUNCTION("""COMPUTED_VALUE"""),1.0)</f>
        <v>1</v>
      </c>
      <c r="G313" s="6">
        <f>IFERROR(__xludf.DUMMYFUNCTION("""COMPUTED_VALUE"""),0.0)</f>
        <v>0</v>
      </c>
      <c r="H313" s="6">
        <f>IFERROR(__xludf.DUMMYFUNCTION("""COMPUTED_VALUE"""),0.0)</f>
        <v>0</v>
      </c>
      <c r="I313" s="6">
        <f>IFERROR(__xludf.DUMMYFUNCTION("""COMPUTED_VALUE"""),0.0)</f>
        <v>0</v>
      </c>
      <c r="J313" s="6">
        <f>IFERROR(__xludf.DUMMYFUNCTION("""COMPUTED_VALUE"""),0.0)</f>
        <v>0</v>
      </c>
      <c r="K313" s="6">
        <f>IFERROR(__xludf.DUMMYFUNCTION("""COMPUTED_VALUE"""),0.0)</f>
        <v>0</v>
      </c>
      <c r="L313" s="6">
        <f>IFERROR(__xludf.DUMMYFUNCTION("""COMPUTED_VALUE"""),0.0)</f>
        <v>0</v>
      </c>
      <c r="M313" s="6">
        <f>IFERROR(__xludf.DUMMYFUNCTION("""COMPUTED_VALUE"""),0.0)</f>
        <v>0</v>
      </c>
      <c r="N313" s="6">
        <f>IFERROR(__xludf.DUMMYFUNCTION("""COMPUTED_VALUE"""),1.0)</f>
        <v>1</v>
      </c>
      <c r="O313" s="6">
        <f>IFERROR(__xludf.DUMMYFUNCTION("""COMPUTED_VALUE"""),1.0)</f>
        <v>1</v>
      </c>
      <c r="P313" s="6">
        <f>IFERROR(__xludf.DUMMYFUNCTION("""COMPUTED_VALUE"""),0.0)</f>
        <v>0</v>
      </c>
      <c r="Q313" s="6">
        <f>IFERROR(__xludf.DUMMYFUNCTION("""COMPUTED_VALUE"""),0.0)</f>
        <v>0</v>
      </c>
      <c r="R313" s="6">
        <f>IFERROR(__xludf.DUMMYFUNCTION("""COMPUTED_VALUE"""),0.0)</f>
        <v>0</v>
      </c>
      <c r="S313" s="6">
        <f>IFERROR(__xludf.DUMMYFUNCTION("""COMPUTED_VALUE"""),0.0)</f>
        <v>0</v>
      </c>
      <c r="T313" s="6">
        <f>IFERROR(__xludf.DUMMYFUNCTION("""COMPUTED_VALUE"""),0.0)</f>
        <v>0</v>
      </c>
      <c r="U313" s="6">
        <f>IFERROR(__xludf.DUMMYFUNCTION("""COMPUTED_VALUE"""),0.0)</f>
        <v>0</v>
      </c>
      <c r="V313" s="4">
        <f t="shared" ref="V313:X313" si="312">SUM(D313, G313, J313, M313, P313, S313)</f>
        <v>0</v>
      </c>
      <c r="W313" s="4">
        <f t="shared" si="312"/>
        <v>1</v>
      </c>
      <c r="X313" s="4">
        <f t="shared" si="312"/>
        <v>2</v>
      </c>
    </row>
    <row r="314">
      <c r="A314" s="4" t="str">
        <f>IFERROR(__xludf.DUMMYFUNCTION("""COMPUTED_VALUE"""),"Школа 1987")</f>
        <v>Школа 1987</v>
      </c>
      <c r="B314" s="4" t="str">
        <f t="array" ref="B314">IFERROR(INDEX('Адреса школ'!F:F, MATCH(A314, 'Адреса школ'!E:E, 0)), "")</f>
        <v>55.658545, 37.775038</v>
      </c>
      <c r="C314" s="5" t="str">
        <f t="array" ref="C314">IFERROR(INDEX('Топ-400'!A:A, MATCH(A314, 'Топ-400'!E:E, 0)), "Вне рейтинга")</f>
        <v>Вне рейтинга</v>
      </c>
      <c r="D314" s="6">
        <f>IFERROR(__xludf.DUMMYFUNCTION("""COMPUTED_VALUE"""),0.0)</f>
        <v>0</v>
      </c>
      <c r="E314" s="6">
        <f>IFERROR(__xludf.DUMMYFUNCTION("""COMPUTED_VALUE"""),0.0)</f>
        <v>0</v>
      </c>
      <c r="F314" s="6">
        <f>IFERROR(__xludf.DUMMYFUNCTION("""COMPUTED_VALUE"""),0.0)</f>
        <v>0</v>
      </c>
      <c r="G314" s="6">
        <f>IFERROR(__xludf.DUMMYFUNCTION("""COMPUTED_VALUE"""),0.0)</f>
        <v>0</v>
      </c>
      <c r="H314" s="6">
        <f>IFERROR(__xludf.DUMMYFUNCTION("""COMPUTED_VALUE"""),0.0)</f>
        <v>0</v>
      </c>
      <c r="I314" s="6">
        <f>IFERROR(__xludf.DUMMYFUNCTION("""COMPUTED_VALUE"""),0.0)</f>
        <v>0</v>
      </c>
      <c r="J314" s="6">
        <f>IFERROR(__xludf.DUMMYFUNCTION("""COMPUTED_VALUE"""),0.0)</f>
        <v>0</v>
      </c>
      <c r="K314" s="6">
        <f>IFERROR(__xludf.DUMMYFUNCTION("""COMPUTED_VALUE"""),0.0)</f>
        <v>0</v>
      </c>
      <c r="L314" s="6">
        <f>IFERROR(__xludf.DUMMYFUNCTION("""COMPUTED_VALUE"""),0.0)</f>
        <v>0</v>
      </c>
      <c r="M314" s="6">
        <f>IFERROR(__xludf.DUMMYFUNCTION("""COMPUTED_VALUE"""),0.0)</f>
        <v>0</v>
      </c>
      <c r="N314" s="6">
        <f>IFERROR(__xludf.DUMMYFUNCTION("""COMPUTED_VALUE"""),0.0)</f>
        <v>0</v>
      </c>
      <c r="O314" s="6">
        <f>IFERROR(__xludf.DUMMYFUNCTION("""COMPUTED_VALUE"""),1.0)</f>
        <v>1</v>
      </c>
      <c r="P314" s="6">
        <f>IFERROR(__xludf.DUMMYFUNCTION("""COMPUTED_VALUE"""),0.0)</f>
        <v>0</v>
      </c>
      <c r="Q314" s="6">
        <f>IFERROR(__xludf.DUMMYFUNCTION("""COMPUTED_VALUE"""),0.0)</f>
        <v>0</v>
      </c>
      <c r="R314" s="6">
        <f>IFERROR(__xludf.DUMMYFUNCTION("""COMPUTED_VALUE"""),0.0)</f>
        <v>0</v>
      </c>
      <c r="S314" s="6">
        <f>IFERROR(__xludf.DUMMYFUNCTION("""COMPUTED_VALUE"""),0.0)</f>
        <v>0</v>
      </c>
      <c r="T314" s="6">
        <f>IFERROR(__xludf.DUMMYFUNCTION("""COMPUTED_VALUE"""),0.0)</f>
        <v>0</v>
      </c>
      <c r="U314" s="6">
        <f>IFERROR(__xludf.DUMMYFUNCTION("""COMPUTED_VALUE"""),0.0)</f>
        <v>0</v>
      </c>
      <c r="V314" s="4">
        <f t="shared" ref="V314:X314" si="313">SUM(D314, G314, J314, M314, P314, S314)</f>
        <v>0</v>
      </c>
      <c r="W314" s="4">
        <f t="shared" si="313"/>
        <v>0</v>
      </c>
      <c r="X314" s="4">
        <f t="shared" si="313"/>
        <v>1</v>
      </c>
    </row>
    <row r="315">
      <c r="A315" s="4" t="str">
        <f>IFERROR(__xludf.DUMMYFUNCTION("""COMPUTED_VALUE"""),"Школа 1995")</f>
        <v>Школа 1995</v>
      </c>
      <c r="B315" s="4" t="str">
        <f t="array" ref="B315">IFERROR(INDEX('Адреса школ'!F:F, MATCH(A315, 'Адреса школ'!E:E, 0)), "")</f>
        <v>55.64605, 37.498653</v>
      </c>
      <c r="C315" s="5" t="str">
        <f t="array" ref="C315">IFERROR(INDEX('Топ-400'!A:A, MATCH(A315, 'Топ-400'!E:E, 0)), "Вне рейтинга")</f>
        <v>383</v>
      </c>
      <c r="D315" s="6">
        <f>IFERROR(__xludf.DUMMYFUNCTION("""COMPUTED_VALUE"""),1.0)</f>
        <v>1</v>
      </c>
      <c r="E315" s="6">
        <f>IFERROR(__xludf.DUMMYFUNCTION("""COMPUTED_VALUE"""),0.0)</f>
        <v>0</v>
      </c>
      <c r="F315" s="6">
        <f>IFERROR(__xludf.DUMMYFUNCTION("""COMPUTED_VALUE"""),1.0)</f>
        <v>1</v>
      </c>
      <c r="G315" s="6">
        <f>IFERROR(__xludf.DUMMYFUNCTION("""COMPUTED_VALUE"""),1.0)</f>
        <v>1</v>
      </c>
      <c r="H315" s="6">
        <f>IFERROR(__xludf.DUMMYFUNCTION("""COMPUTED_VALUE"""),0.0)</f>
        <v>0</v>
      </c>
      <c r="I315" s="6">
        <f>IFERROR(__xludf.DUMMYFUNCTION("""COMPUTED_VALUE"""),1.0)</f>
        <v>1</v>
      </c>
      <c r="J315" s="6">
        <f>IFERROR(__xludf.DUMMYFUNCTION("""COMPUTED_VALUE"""),0.0)</f>
        <v>0</v>
      </c>
      <c r="K315" s="6">
        <f>IFERROR(__xludf.DUMMYFUNCTION("""COMPUTED_VALUE"""),0.0)</f>
        <v>0</v>
      </c>
      <c r="L315" s="6">
        <f>IFERROR(__xludf.DUMMYFUNCTION("""COMPUTED_VALUE"""),0.0)</f>
        <v>0</v>
      </c>
      <c r="M315" s="6">
        <f>IFERROR(__xludf.DUMMYFUNCTION("""COMPUTED_VALUE"""),1.0)</f>
        <v>1</v>
      </c>
      <c r="N315" s="6">
        <f>IFERROR(__xludf.DUMMYFUNCTION("""COMPUTED_VALUE"""),1.0)</f>
        <v>1</v>
      </c>
      <c r="O315" s="6">
        <f>IFERROR(__xludf.DUMMYFUNCTION("""COMPUTED_VALUE"""),1.0)</f>
        <v>1</v>
      </c>
      <c r="P315" s="6">
        <f>IFERROR(__xludf.DUMMYFUNCTION("""COMPUTED_VALUE"""),0.0)</f>
        <v>0</v>
      </c>
      <c r="Q315" s="6">
        <f>IFERROR(__xludf.DUMMYFUNCTION("""COMPUTED_VALUE"""),0.0)</f>
        <v>0</v>
      </c>
      <c r="R315" s="6">
        <f>IFERROR(__xludf.DUMMYFUNCTION("""COMPUTED_VALUE"""),0.0)</f>
        <v>0</v>
      </c>
      <c r="S315" s="6">
        <f>IFERROR(__xludf.DUMMYFUNCTION("""COMPUTED_VALUE"""),0.0)</f>
        <v>0</v>
      </c>
      <c r="T315" s="6">
        <f>IFERROR(__xludf.DUMMYFUNCTION("""COMPUTED_VALUE"""),0.0)</f>
        <v>0</v>
      </c>
      <c r="U315" s="6">
        <f>IFERROR(__xludf.DUMMYFUNCTION("""COMPUTED_VALUE"""),0.0)</f>
        <v>0</v>
      </c>
      <c r="V315" s="4">
        <f t="shared" ref="V315:X315" si="314">SUM(D315, G315, J315, M315, P315, S315)</f>
        <v>3</v>
      </c>
      <c r="W315" s="4">
        <f t="shared" si="314"/>
        <v>1</v>
      </c>
      <c r="X315" s="4">
        <f t="shared" si="314"/>
        <v>3</v>
      </c>
    </row>
    <row r="316">
      <c r="A316" s="4" t="str">
        <f>IFERROR(__xludf.DUMMYFUNCTION("""COMPUTED_VALUE"""),"Школа 1998")</f>
        <v>Школа 1998</v>
      </c>
      <c r="B316" s="4" t="str">
        <f t="array" ref="B316">IFERROR(INDEX('Адреса школ'!F:F, MATCH(A316, 'Адреса школ'!E:E, 0)), "")</f>
        <v>55.755819, 37.617644</v>
      </c>
      <c r="C316" s="5" t="str">
        <f t="array" ref="C316">IFERROR(INDEX('Топ-400'!A:A, MATCH(A316, 'Топ-400'!E:E, 0)), "Вне рейтинга")</f>
        <v>295</v>
      </c>
      <c r="D316" s="6">
        <f>IFERROR(__xludf.DUMMYFUNCTION("""COMPUTED_VALUE"""),1.0)</f>
        <v>1</v>
      </c>
      <c r="E316" s="6">
        <f>IFERROR(__xludf.DUMMYFUNCTION("""COMPUTED_VALUE"""),0.0)</f>
        <v>0</v>
      </c>
      <c r="F316" s="6">
        <f>IFERROR(__xludf.DUMMYFUNCTION("""COMPUTED_VALUE"""),1.0)</f>
        <v>1</v>
      </c>
      <c r="G316" s="6">
        <f>IFERROR(__xludf.DUMMYFUNCTION("""COMPUTED_VALUE"""),0.0)</f>
        <v>0</v>
      </c>
      <c r="H316" s="6">
        <f>IFERROR(__xludf.DUMMYFUNCTION("""COMPUTED_VALUE"""),0.0)</f>
        <v>0</v>
      </c>
      <c r="I316" s="6">
        <f>IFERROR(__xludf.DUMMYFUNCTION("""COMPUTED_VALUE"""),0.0)</f>
        <v>0</v>
      </c>
      <c r="J316" s="6">
        <f>IFERROR(__xludf.DUMMYFUNCTION("""COMPUTED_VALUE"""),0.0)</f>
        <v>0</v>
      </c>
      <c r="K316" s="6">
        <f>IFERROR(__xludf.DUMMYFUNCTION("""COMPUTED_VALUE"""),0.0)</f>
        <v>0</v>
      </c>
      <c r="L316" s="6">
        <f>IFERROR(__xludf.DUMMYFUNCTION("""COMPUTED_VALUE"""),0.0)</f>
        <v>0</v>
      </c>
      <c r="M316" s="6">
        <f>IFERROR(__xludf.DUMMYFUNCTION("""COMPUTED_VALUE"""),0.0)</f>
        <v>0</v>
      </c>
      <c r="N316" s="6">
        <f>IFERROR(__xludf.DUMMYFUNCTION("""COMPUTED_VALUE"""),0.0)</f>
        <v>0</v>
      </c>
      <c r="O316" s="6">
        <f>IFERROR(__xludf.DUMMYFUNCTION("""COMPUTED_VALUE"""),0.0)</f>
        <v>0</v>
      </c>
      <c r="P316" s="6">
        <f>IFERROR(__xludf.DUMMYFUNCTION("""COMPUTED_VALUE"""),0.0)</f>
        <v>0</v>
      </c>
      <c r="Q316" s="6">
        <f>IFERROR(__xludf.DUMMYFUNCTION("""COMPUTED_VALUE"""),0.0)</f>
        <v>0</v>
      </c>
      <c r="R316" s="6">
        <f>IFERROR(__xludf.DUMMYFUNCTION("""COMPUTED_VALUE"""),0.0)</f>
        <v>0</v>
      </c>
      <c r="S316" s="6">
        <f>IFERROR(__xludf.DUMMYFUNCTION("""COMPUTED_VALUE"""),0.0)</f>
        <v>0</v>
      </c>
      <c r="T316" s="6">
        <f>IFERROR(__xludf.DUMMYFUNCTION("""COMPUTED_VALUE"""),0.0)</f>
        <v>0</v>
      </c>
      <c r="U316" s="6">
        <f>IFERROR(__xludf.DUMMYFUNCTION("""COMPUTED_VALUE"""),0.0)</f>
        <v>0</v>
      </c>
      <c r="V316" s="4">
        <f t="shared" ref="V316:X316" si="315">SUM(D316, G316, J316, M316, P316, S316)</f>
        <v>1</v>
      </c>
      <c r="W316" s="4">
        <f t="shared" si="315"/>
        <v>0</v>
      </c>
      <c r="X316" s="4">
        <f t="shared" si="315"/>
        <v>1</v>
      </c>
    </row>
    <row r="317">
      <c r="A317" s="4" t="str">
        <f>IFERROR(__xludf.DUMMYFUNCTION("""COMPUTED_VALUE"""),"Школа 2000")</f>
        <v>Школа 2000</v>
      </c>
      <c r="B317" s="4" t="str">
        <f t="array" ref="B317">IFERROR(INDEX('Адреса школ'!F:F, MATCH(A317, 'Адреса школ'!E:E, 0)), "")</f>
        <v>55.642225, 37.659982</v>
      </c>
      <c r="C317" s="5" t="str">
        <f t="array" ref="C317">IFERROR(INDEX('Топ-400'!A:A, MATCH(A317, 'Топ-400'!E:E, 0)), "Вне рейтинга")</f>
        <v>Вне рейтинга</v>
      </c>
      <c r="D317" s="6">
        <f>IFERROR(__xludf.DUMMYFUNCTION("""COMPUTED_VALUE"""),1.0)</f>
        <v>1</v>
      </c>
      <c r="E317" s="6">
        <f>IFERROR(__xludf.DUMMYFUNCTION("""COMPUTED_VALUE"""),0.0)</f>
        <v>0</v>
      </c>
      <c r="F317" s="6">
        <f>IFERROR(__xludf.DUMMYFUNCTION("""COMPUTED_VALUE"""),1.0)</f>
        <v>1</v>
      </c>
      <c r="G317" s="6">
        <f>IFERROR(__xludf.DUMMYFUNCTION("""COMPUTED_VALUE"""),0.0)</f>
        <v>0</v>
      </c>
      <c r="H317" s="6">
        <f>IFERROR(__xludf.DUMMYFUNCTION("""COMPUTED_VALUE"""),0.0)</f>
        <v>0</v>
      </c>
      <c r="I317" s="6">
        <f>IFERROR(__xludf.DUMMYFUNCTION("""COMPUTED_VALUE"""),0.0)</f>
        <v>0</v>
      </c>
      <c r="J317" s="6">
        <f>IFERROR(__xludf.DUMMYFUNCTION("""COMPUTED_VALUE"""),0.0)</f>
        <v>0</v>
      </c>
      <c r="K317" s="6">
        <f>IFERROR(__xludf.DUMMYFUNCTION("""COMPUTED_VALUE"""),0.0)</f>
        <v>0</v>
      </c>
      <c r="L317" s="6">
        <f>IFERROR(__xludf.DUMMYFUNCTION("""COMPUTED_VALUE"""),0.0)</f>
        <v>0</v>
      </c>
      <c r="M317" s="6">
        <f>IFERROR(__xludf.DUMMYFUNCTION("""COMPUTED_VALUE"""),1.0)</f>
        <v>1</v>
      </c>
      <c r="N317" s="6">
        <f>IFERROR(__xludf.DUMMYFUNCTION("""COMPUTED_VALUE"""),0.0)</f>
        <v>0</v>
      </c>
      <c r="O317" s="6">
        <f>IFERROR(__xludf.DUMMYFUNCTION("""COMPUTED_VALUE"""),0.0)</f>
        <v>0</v>
      </c>
      <c r="P317" s="6">
        <f>IFERROR(__xludf.DUMMYFUNCTION("""COMPUTED_VALUE"""),1.0)</f>
        <v>1</v>
      </c>
      <c r="Q317" s="6">
        <f>IFERROR(__xludf.DUMMYFUNCTION("""COMPUTED_VALUE"""),1.0)</f>
        <v>1</v>
      </c>
      <c r="R317" s="6">
        <f>IFERROR(__xludf.DUMMYFUNCTION("""COMPUTED_VALUE"""),1.0)</f>
        <v>1</v>
      </c>
      <c r="S317" s="6">
        <f>IFERROR(__xludf.DUMMYFUNCTION("""COMPUTED_VALUE"""),0.0)</f>
        <v>0</v>
      </c>
      <c r="T317" s="6">
        <f>IFERROR(__xludf.DUMMYFUNCTION("""COMPUTED_VALUE"""),0.0)</f>
        <v>0</v>
      </c>
      <c r="U317" s="6">
        <f>IFERROR(__xludf.DUMMYFUNCTION("""COMPUTED_VALUE"""),0.0)</f>
        <v>0</v>
      </c>
      <c r="V317" s="4">
        <f t="shared" ref="V317:X317" si="316">SUM(D317, G317, J317, M317, P317, S317)</f>
        <v>3</v>
      </c>
      <c r="W317" s="4">
        <f t="shared" si="316"/>
        <v>1</v>
      </c>
      <c r="X317" s="4">
        <f t="shared" si="316"/>
        <v>2</v>
      </c>
    </row>
    <row r="318">
      <c r="A318" s="4" t="str">
        <f>IFERROR(__xludf.DUMMYFUNCTION("""COMPUTED_VALUE"""),"Школа 2005")</f>
        <v>Школа 2005</v>
      </c>
      <c r="B318" s="4" t="str">
        <f t="array" ref="B318">IFERROR(INDEX('Адреса школ'!F:F, MATCH(A318, 'Адреса школ'!E:E, 0)), "")</f>
        <v>55.894192, 37.395778</v>
      </c>
      <c r="C318" s="5" t="str">
        <f t="array" ref="C318">IFERROR(INDEX('Топ-400'!A:A, MATCH(A318, 'Топ-400'!E:E, 0)), "Вне рейтинга")</f>
        <v>117</v>
      </c>
      <c r="D318" s="6">
        <f>IFERROR(__xludf.DUMMYFUNCTION("""COMPUTED_VALUE"""),1.0)</f>
        <v>1</v>
      </c>
      <c r="E318" s="6">
        <f>IFERROR(__xludf.DUMMYFUNCTION("""COMPUTED_VALUE"""),1.0)</f>
        <v>1</v>
      </c>
      <c r="F318" s="6">
        <f>IFERROR(__xludf.DUMMYFUNCTION("""COMPUTED_VALUE"""),1.0)</f>
        <v>1</v>
      </c>
      <c r="G318" s="6">
        <f>IFERROR(__xludf.DUMMYFUNCTION("""COMPUTED_VALUE"""),1.0)</f>
        <v>1</v>
      </c>
      <c r="H318" s="6">
        <f>IFERROR(__xludf.DUMMYFUNCTION("""COMPUTED_VALUE"""),1.0)</f>
        <v>1</v>
      </c>
      <c r="I318" s="6">
        <f>IFERROR(__xludf.DUMMYFUNCTION("""COMPUTED_VALUE"""),1.0)</f>
        <v>1</v>
      </c>
      <c r="J318" s="6">
        <f>IFERROR(__xludf.DUMMYFUNCTION("""COMPUTED_VALUE"""),1.0)</f>
        <v>1</v>
      </c>
      <c r="K318" s="6">
        <f>IFERROR(__xludf.DUMMYFUNCTION("""COMPUTED_VALUE"""),1.0)</f>
        <v>1</v>
      </c>
      <c r="L318" s="6">
        <f>IFERROR(__xludf.DUMMYFUNCTION("""COMPUTED_VALUE"""),1.0)</f>
        <v>1</v>
      </c>
      <c r="M318" s="6">
        <f>IFERROR(__xludf.DUMMYFUNCTION("""COMPUTED_VALUE"""),1.0)</f>
        <v>1</v>
      </c>
      <c r="N318" s="6">
        <f>IFERROR(__xludf.DUMMYFUNCTION("""COMPUTED_VALUE"""),1.0)</f>
        <v>1</v>
      </c>
      <c r="O318" s="6">
        <f>IFERROR(__xludf.DUMMYFUNCTION("""COMPUTED_VALUE"""),1.0)</f>
        <v>1</v>
      </c>
      <c r="P318" s="6">
        <f>IFERROR(__xludf.DUMMYFUNCTION("""COMPUTED_VALUE"""),1.0)</f>
        <v>1</v>
      </c>
      <c r="Q318" s="6">
        <f>IFERROR(__xludf.DUMMYFUNCTION("""COMPUTED_VALUE"""),1.0)</f>
        <v>1</v>
      </c>
      <c r="R318" s="6">
        <f>IFERROR(__xludf.DUMMYFUNCTION("""COMPUTED_VALUE"""),1.0)</f>
        <v>1</v>
      </c>
      <c r="S318" s="6">
        <f>IFERROR(__xludf.DUMMYFUNCTION("""COMPUTED_VALUE"""),0.0)</f>
        <v>0</v>
      </c>
      <c r="T318" s="6">
        <f>IFERROR(__xludf.DUMMYFUNCTION("""COMPUTED_VALUE"""),0.0)</f>
        <v>0</v>
      </c>
      <c r="U318" s="6">
        <f>IFERROR(__xludf.DUMMYFUNCTION("""COMPUTED_VALUE"""),0.0)</f>
        <v>0</v>
      </c>
      <c r="V318" s="4">
        <f t="shared" ref="V318:X318" si="317">SUM(D318, G318, J318, M318, P318, S318)</f>
        <v>5</v>
      </c>
      <c r="W318" s="4">
        <f t="shared" si="317"/>
        <v>5</v>
      </c>
      <c r="X318" s="4">
        <f t="shared" si="317"/>
        <v>5</v>
      </c>
    </row>
    <row r="319">
      <c r="A319" s="4" t="str">
        <f>IFERROR(__xludf.DUMMYFUNCTION("""COMPUTED_VALUE"""),"Школа 2006")</f>
        <v>Школа 2006</v>
      </c>
      <c r="B319" s="4" t="str">
        <f t="array" ref="B319">IFERROR(INDEX('Адреса школ'!F:F, MATCH(A319, 'Адреса школ'!E:E, 0)), "")</f>
        <v>55.565768, 37.582367</v>
      </c>
      <c r="C319" s="5" t="str">
        <f t="array" ref="C319">IFERROR(INDEX('Топ-400'!A:A, MATCH(A319, 'Топ-400'!E:E, 0)), "Вне рейтинга")</f>
        <v>208</v>
      </c>
      <c r="D319" s="6">
        <f>IFERROR(__xludf.DUMMYFUNCTION("""COMPUTED_VALUE"""),0.0)</f>
        <v>0</v>
      </c>
      <c r="E319" s="6">
        <f>IFERROR(__xludf.DUMMYFUNCTION("""COMPUTED_VALUE"""),1.0)</f>
        <v>1</v>
      </c>
      <c r="F319" s="6">
        <f>IFERROR(__xludf.DUMMYFUNCTION("""COMPUTED_VALUE"""),1.0)</f>
        <v>1</v>
      </c>
      <c r="G319" s="6">
        <f>IFERROR(__xludf.DUMMYFUNCTION("""COMPUTED_VALUE"""),1.0)</f>
        <v>1</v>
      </c>
      <c r="H319" s="6">
        <f>IFERROR(__xludf.DUMMYFUNCTION("""COMPUTED_VALUE"""),1.0)</f>
        <v>1</v>
      </c>
      <c r="I319" s="6">
        <f>IFERROR(__xludf.DUMMYFUNCTION("""COMPUTED_VALUE"""),1.0)</f>
        <v>1</v>
      </c>
      <c r="J319" s="6">
        <f>IFERROR(__xludf.DUMMYFUNCTION("""COMPUTED_VALUE"""),1.0)</f>
        <v>1</v>
      </c>
      <c r="K319" s="6">
        <f>IFERROR(__xludf.DUMMYFUNCTION("""COMPUTED_VALUE"""),1.0)</f>
        <v>1</v>
      </c>
      <c r="L319" s="6">
        <f>IFERROR(__xludf.DUMMYFUNCTION("""COMPUTED_VALUE"""),1.0)</f>
        <v>1</v>
      </c>
      <c r="M319" s="6">
        <f>IFERROR(__xludf.DUMMYFUNCTION("""COMPUTED_VALUE"""),1.0)</f>
        <v>1</v>
      </c>
      <c r="N319" s="6">
        <f>IFERROR(__xludf.DUMMYFUNCTION("""COMPUTED_VALUE"""),1.0)</f>
        <v>1</v>
      </c>
      <c r="O319" s="6">
        <f>IFERROR(__xludf.DUMMYFUNCTION("""COMPUTED_VALUE"""),1.0)</f>
        <v>1</v>
      </c>
      <c r="P319" s="6">
        <f>IFERROR(__xludf.DUMMYFUNCTION("""COMPUTED_VALUE"""),0.0)</f>
        <v>0</v>
      </c>
      <c r="Q319" s="6">
        <f>IFERROR(__xludf.DUMMYFUNCTION("""COMPUTED_VALUE"""),0.0)</f>
        <v>0</v>
      </c>
      <c r="R319" s="6">
        <f>IFERROR(__xludf.DUMMYFUNCTION("""COMPUTED_VALUE"""),1.0)</f>
        <v>1</v>
      </c>
      <c r="S319" s="6">
        <f>IFERROR(__xludf.DUMMYFUNCTION("""COMPUTED_VALUE"""),0.0)</f>
        <v>0</v>
      </c>
      <c r="T319" s="6">
        <f>IFERROR(__xludf.DUMMYFUNCTION("""COMPUTED_VALUE"""),0.0)</f>
        <v>0</v>
      </c>
      <c r="U319" s="6">
        <f>IFERROR(__xludf.DUMMYFUNCTION("""COMPUTED_VALUE"""),0.0)</f>
        <v>0</v>
      </c>
      <c r="V319" s="4">
        <f t="shared" ref="V319:X319" si="318">SUM(D319, G319, J319, M319, P319, S319)</f>
        <v>3</v>
      </c>
      <c r="W319" s="4">
        <f t="shared" si="318"/>
        <v>4</v>
      </c>
      <c r="X319" s="4">
        <f t="shared" si="318"/>
        <v>5</v>
      </c>
    </row>
    <row r="320">
      <c r="A320" s="4" t="str">
        <f>IFERROR(__xludf.DUMMYFUNCTION("""COMPUTED_VALUE"""),"Школа 2009")</f>
        <v>Школа 2009</v>
      </c>
      <c r="B320" s="4" t="str">
        <f t="array" ref="B320">IFERROR(INDEX('Адреса школ'!F:F, MATCH(A320, 'Адреса школ'!E:E, 0)), "")</f>
        <v>55.540501, 37.519243</v>
      </c>
      <c r="C320" s="5" t="str">
        <f t="array" ref="C320">IFERROR(INDEX('Топ-400'!A:A, MATCH(A320, 'Топ-400'!E:E, 0)), "Вне рейтинга")</f>
        <v>161</v>
      </c>
      <c r="D320" s="6">
        <f>IFERROR(__xludf.DUMMYFUNCTION("""COMPUTED_VALUE"""),1.0)</f>
        <v>1</v>
      </c>
      <c r="E320" s="6">
        <f>IFERROR(__xludf.DUMMYFUNCTION("""COMPUTED_VALUE"""),1.0)</f>
        <v>1</v>
      </c>
      <c r="F320" s="6">
        <f>IFERROR(__xludf.DUMMYFUNCTION("""COMPUTED_VALUE"""),1.0)</f>
        <v>1</v>
      </c>
      <c r="G320" s="6">
        <f>IFERROR(__xludf.DUMMYFUNCTION("""COMPUTED_VALUE"""),0.0)</f>
        <v>0</v>
      </c>
      <c r="H320" s="6">
        <f>IFERROR(__xludf.DUMMYFUNCTION("""COMPUTED_VALUE"""),0.0)</f>
        <v>0</v>
      </c>
      <c r="I320" s="6">
        <f>IFERROR(__xludf.DUMMYFUNCTION("""COMPUTED_VALUE"""),0.0)</f>
        <v>0</v>
      </c>
      <c r="J320" s="6">
        <f>IFERROR(__xludf.DUMMYFUNCTION("""COMPUTED_VALUE"""),1.0)</f>
        <v>1</v>
      </c>
      <c r="K320" s="6">
        <f>IFERROR(__xludf.DUMMYFUNCTION("""COMPUTED_VALUE"""),1.0)</f>
        <v>1</v>
      </c>
      <c r="L320" s="6">
        <f>IFERROR(__xludf.DUMMYFUNCTION("""COMPUTED_VALUE"""),1.0)</f>
        <v>1</v>
      </c>
      <c r="M320" s="6">
        <f>IFERROR(__xludf.DUMMYFUNCTION("""COMPUTED_VALUE"""),1.0)</f>
        <v>1</v>
      </c>
      <c r="N320" s="6">
        <f>IFERROR(__xludf.DUMMYFUNCTION("""COMPUTED_VALUE"""),1.0)</f>
        <v>1</v>
      </c>
      <c r="O320" s="6">
        <f>IFERROR(__xludf.DUMMYFUNCTION("""COMPUTED_VALUE"""),1.0)</f>
        <v>1</v>
      </c>
      <c r="P320" s="6">
        <f>IFERROR(__xludf.DUMMYFUNCTION("""COMPUTED_VALUE"""),1.0)</f>
        <v>1</v>
      </c>
      <c r="Q320" s="6">
        <f>IFERROR(__xludf.DUMMYFUNCTION("""COMPUTED_VALUE"""),1.0)</f>
        <v>1</v>
      </c>
      <c r="R320" s="6">
        <f>IFERROR(__xludf.DUMMYFUNCTION("""COMPUTED_VALUE"""),1.0)</f>
        <v>1</v>
      </c>
      <c r="S320" s="6">
        <f>IFERROR(__xludf.DUMMYFUNCTION("""COMPUTED_VALUE"""),0.0)</f>
        <v>0</v>
      </c>
      <c r="T320" s="6">
        <f>IFERROR(__xludf.DUMMYFUNCTION("""COMPUTED_VALUE"""),0.0)</f>
        <v>0</v>
      </c>
      <c r="U320" s="6">
        <f>IFERROR(__xludf.DUMMYFUNCTION("""COMPUTED_VALUE"""),0.0)</f>
        <v>0</v>
      </c>
      <c r="V320" s="4">
        <f t="shared" ref="V320:X320" si="319">SUM(D320, G320, J320, M320, P320, S320)</f>
        <v>4</v>
      </c>
      <c r="W320" s="4">
        <f t="shared" si="319"/>
        <v>4</v>
      </c>
      <c r="X320" s="4">
        <f t="shared" si="319"/>
        <v>4</v>
      </c>
    </row>
    <row r="321">
      <c r="A321" s="4" t="str">
        <f>IFERROR(__xludf.DUMMYFUNCTION("""COMPUTED_VALUE"""),"Школа 2010")</f>
        <v>Школа 2010</v>
      </c>
      <c r="B321" s="4" t="str">
        <f t="array" ref="B321">IFERROR(INDEX('Адреса школ'!F:F, MATCH(A321, 'Адреса школ'!E:E, 0)), "")</f>
        <v>55.669356, 37.760566</v>
      </c>
      <c r="C321" s="5" t="str">
        <f t="array" ref="C321">IFERROR(INDEX('Топ-400'!A:A, MATCH(A321, 'Топ-400'!E:E, 0)), "Вне рейтинга")</f>
        <v>282</v>
      </c>
      <c r="D321" s="6">
        <f>IFERROR(__xludf.DUMMYFUNCTION("""COMPUTED_VALUE"""),1.0)</f>
        <v>1</v>
      </c>
      <c r="E321" s="6">
        <f>IFERROR(__xludf.DUMMYFUNCTION("""COMPUTED_VALUE"""),1.0)</f>
        <v>1</v>
      </c>
      <c r="F321" s="6">
        <f>IFERROR(__xludf.DUMMYFUNCTION("""COMPUTED_VALUE"""),1.0)</f>
        <v>1</v>
      </c>
      <c r="G321" s="6">
        <f>IFERROR(__xludf.DUMMYFUNCTION("""COMPUTED_VALUE"""),0.0)</f>
        <v>0</v>
      </c>
      <c r="H321" s="6">
        <f>IFERROR(__xludf.DUMMYFUNCTION("""COMPUTED_VALUE"""),0.0)</f>
        <v>0</v>
      </c>
      <c r="I321" s="6">
        <f>IFERROR(__xludf.DUMMYFUNCTION("""COMPUTED_VALUE"""),0.0)</f>
        <v>0</v>
      </c>
      <c r="J321" s="6">
        <f>IFERROR(__xludf.DUMMYFUNCTION("""COMPUTED_VALUE"""),1.0)</f>
        <v>1</v>
      </c>
      <c r="K321" s="6">
        <f>IFERROR(__xludf.DUMMYFUNCTION("""COMPUTED_VALUE"""),0.0)</f>
        <v>0</v>
      </c>
      <c r="L321" s="6">
        <f>IFERROR(__xludf.DUMMYFUNCTION("""COMPUTED_VALUE"""),0.0)</f>
        <v>0</v>
      </c>
      <c r="M321" s="6">
        <f>IFERROR(__xludf.DUMMYFUNCTION("""COMPUTED_VALUE"""),0.0)</f>
        <v>0</v>
      </c>
      <c r="N321" s="6">
        <f>IFERROR(__xludf.DUMMYFUNCTION("""COMPUTED_VALUE"""),0.0)</f>
        <v>0</v>
      </c>
      <c r="O321" s="6">
        <f>IFERROR(__xludf.DUMMYFUNCTION("""COMPUTED_VALUE"""),0.0)</f>
        <v>0</v>
      </c>
      <c r="P321" s="6">
        <f>IFERROR(__xludf.DUMMYFUNCTION("""COMPUTED_VALUE"""),0.0)</f>
        <v>0</v>
      </c>
      <c r="Q321" s="6">
        <f>IFERROR(__xludf.DUMMYFUNCTION("""COMPUTED_VALUE"""),0.0)</f>
        <v>0</v>
      </c>
      <c r="R321" s="6">
        <f>IFERROR(__xludf.DUMMYFUNCTION("""COMPUTED_VALUE"""),0.0)</f>
        <v>0</v>
      </c>
      <c r="S321" s="6">
        <f>IFERROR(__xludf.DUMMYFUNCTION("""COMPUTED_VALUE"""),0.0)</f>
        <v>0</v>
      </c>
      <c r="T321" s="6">
        <f>IFERROR(__xludf.DUMMYFUNCTION("""COMPUTED_VALUE"""),0.0)</f>
        <v>0</v>
      </c>
      <c r="U321" s="6">
        <f>IFERROR(__xludf.DUMMYFUNCTION("""COMPUTED_VALUE"""),0.0)</f>
        <v>0</v>
      </c>
      <c r="V321" s="4">
        <f t="shared" ref="V321:X321" si="320">SUM(D321, G321, J321, M321, P321, S321)</f>
        <v>2</v>
      </c>
      <c r="W321" s="4">
        <f t="shared" si="320"/>
        <v>1</v>
      </c>
      <c r="X321" s="4">
        <f t="shared" si="320"/>
        <v>1</v>
      </c>
    </row>
    <row r="322">
      <c r="A322" s="4" t="str">
        <f>IFERROR(__xludf.DUMMYFUNCTION("""COMPUTED_VALUE"""),"Школа 2025")</f>
        <v>Школа 2025</v>
      </c>
      <c r="B322" s="4" t="str">
        <f t="array" ref="B322">IFERROR(INDEX('Адреса школ'!F:F, MATCH(A322, 'Адреса школ'!E:E, 0)), "")</f>
        <v>55.689654, 37.448563</v>
      </c>
      <c r="C322" s="5" t="str">
        <f t="array" ref="C322">IFERROR(INDEX('Топ-400'!A:A, MATCH(A322, 'Топ-400'!E:E, 0)), "Вне рейтинга")</f>
        <v>180</v>
      </c>
      <c r="D322" s="6">
        <f>IFERROR(__xludf.DUMMYFUNCTION("""COMPUTED_VALUE"""),1.0)</f>
        <v>1</v>
      </c>
      <c r="E322" s="6">
        <f>IFERROR(__xludf.DUMMYFUNCTION("""COMPUTED_VALUE"""),1.0)</f>
        <v>1</v>
      </c>
      <c r="F322" s="6">
        <f>IFERROR(__xludf.DUMMYFUNCTION("""COMPUTED_VALUE"""),1.0)</f>
        <v>1</v>
      </c>
      <c r="G322" s="6">
        <f>IFERROR(__xludf.DUMMYFUNCTION("""COMPUTED_VALUE"""),0.0)</f>
        <v>0</v>
      </c>
      <c r="H322" s="6">
        <f>IFERROR(__xludf.DUMMYFUNCTION("""COMPUTED_VALUE"""),0.0)</f>
        <v>0</v>
      </c>
      <c r="I322" s="6">
        <f>IFERROR(__xludf.DUMMYFUNCTION("""COMPUTED_VALUE"""),0.0)</f>
        <v>0</v>
      </c>
      <c r="J322" s="6">
        <f>IFERROR(__xludf.DUMMYFUNCTION("""COMPUTED_VALUE"""),0.0)</f>
        <v>0</v>
      </c>
      <c r="K322" s="6">
        <f>IFERROR(__xludf.DUMMYFUNCTION("""COMPUTED_VALUE"""),0.0)</f>
        <v>0</v>
      </c>
      <c r="L322" s="6">
        <f>IFERROR(__xludf.DUMMYFUNCTION("""COMPUTED_VALUE"""),0.0)</f>
        <v>0</v>
      </c>
      <c r="M322" s="6">
        <f>IFERROR(__xludf.DUMMYFUNCTION("""COMPUTED_VALUE"""),1.0)</f>
        <v>1</v>
      </c>
      <c r="N322" s="6">
        <f>IFERROR(__xludf.DUMMYFUNCTION("""COMPUTED_VALUE"""),1.0)</f>
        <v>1</v>
      </c>
      <c r="O322" s="6">
        <f>IFERROR(__xludf.DUMMYFUNCTION("""COMPUTED_VALUE"""),1.0)</f>
        <v>1</v>
      </c>
      <c r="P322" s="6">
        <f>IFERROR(__xludf.DUMMYFUNCTION("""COMPUTED_VALUE"""),0.0)</f>
        <v>0</v>
      </c>
      <c r="Q322" s="6">
        <f>IFERROR(__xludf.DUMMYFUNCTION("""COMPUTED_VALUE"""),0.0)</f>
        <v>0</v>
      </c>
      <c r="R322" s="6">
        <f>IFERROR(__xludf.DUMMYFUNCTION("""COMPUTED_VALUE"""),0.0)</f>
        <v>0</v>
      </c>
      <c r="S322" s="6">
        <f>IFERROR(__xludf.DUMMYFUNCTION("""COMPUTED_VALUE"""),0.0)</f>
        <v>0</v>
      </c>
      <c r="T322" s="6">
        <f>IFERROR(__xludf.DUMMYFUNCTION("""COMPUTED_VALUE"""),0.0)</f>
        <v>0</v>
      </c>
      <c r="U322" s="6">
        <f>IFERROR(__xludf.DUMMYFUNCTION("""COMPUTED_VALUE"""),0.0)</f>
        <v>0</v>
      </c>
      <c r="V322" s="4">
        <f t="shared" ref="V322:X322" si="321">SUM(D322, G322, J322, M322, P322, S322)</f>
        <v>2</v>
      </c>
      <c r="W322" s="4">
        <f t="shared" si="321"/>
        <v>2</v>
      </c>
      <c r="X322" s="4">
        <f t="shared" si="321"/>
        <v>2</v>
      </c>
    </row>
    <row r="323">
      <c r="A323" s="4" t="str">
        <f>IFERROR(__xludf.DUMMYFUNCTION("""COMPUTED_VALUE"""),"Школа 2026")</f>
        <v>Школа 2026</v>
      </c>
      <c r="B323" s="4" t="str">
        <f t="array" ref="B323">IFERROR(INDEX('Адреса школ'!F:F, MATCH(A323, 'Адреса школ'!E:E, 0)), "")</f>
        <v>55.717366, 37.883671</v>
      </c>
      <c r="C323" s="5" t="str">
        <f t="array" ref="C323">IFERROR(INDEX('Топ-400'!A:A, MATCH(A323, 'Топ-400'!E:E, 0)), "Вне рейтинга")</f>
        <v>75</v>
      </c>
      <c r="D323" s="6">
        <f>IFERROR(__xludf.DUMMYFUNCTION("""COMPUTED_VALUE"""),1.0)</f>
        <v>1</v>
      </c>
      <c r="E323" s="6">
        <f>IFERROR(__xludf.DUMMYFUNCTION("""COMPUTED_VALUE"""),0.0)</f>
        <v>0</v>
      </c>
      <c r="F323" s="6">
        <f>IFERROR(__xludf.DUMMYFUNCTION("""COMPUTED_VALUE"""),0.0)</f>
        <v>0</v>
      </c>
      <c r="G323" s="6">
        <f>IFERROR(__xludf.DUMMYFUNCTION("""COMPUTED_VALUE"""),0.0)</f>
        <v>0</v>
      </c>
      <c r="H323" s="6">
        <f>IFERROR(__xludf.DUMMYFUNCTION("""COMPUTED_VALUE"""),0.0)</f>
        <v>0</v>
      </c>
      <c r="I323" s="6">
        <f>IFERROR(__xludf.DUMMYFUNCTION("""COMPUTED_VALUE"""),0.0)</f>
        <v>0</v>
      </c>
      <c r="J323" s="6">
        <f>IFERROR(__xludf.DUMMYFUNCTION("""COMPUTED_VALUE"""),0.0)</f>
        <v>0</v>
      </c>
      <c r="K323" s="6">
        <f>IFERROR(__xludf.DUMMYFUNCTION("""COMPUTED_VALUE"""),0.0)</f>
        <v>0</v>
      </c>
      <c r="L323" s="6">
        <f>IFERROR(__xludf.DUMMYFUNCTION("""COMPUTED_VALUE"""),0.0)</f>
        <v>0</v>
      </c>
      <c r="M323" s="6">
        <f>IFERROR(__xludf.DUMMYFUNCTION("""COMPUTED_VALUE"""),0.0)</f>
        <v>0</v>
      </c>
      <c r="N323" s="6">
        <f>IFERROR(__xludf.DUMMYFUNCTION("""COMPUTED_VALUE"""),0.0)</f>
        <v>0</v>
      </c>
      <c r="O323" s="6">
        <f>IFERROR(__xludf.DUMMYFUNCTION("""COMPUTED_VALUE"""),0.0)</f>
        <v>0</v>
      </c>
      <c r="P323" s="6">
        <f>IFERROR(__xludf.DUMMYFUNCTION("""COMPUTED_VALUE"""),0.0)</f>
        <v>0</v>
      </c>
      <c r="Q323" s="6">
        <f>IFERROR(__xludf.DUMMYFUNCTION("""COMPUTED_VALUE"""),0.0)</f>
        <v>0</v>
      </c>
      <c r="R323" s="6">
        <f>IFERROR(__xludf.DUMMYFUNCTION("""COMPUTED_VALUE"""),0.0)</f>
        <v>0</v>
      </c>
      <c r="S323" s="6">
        <f>IFERROR(__xludf.DUMMYFUNCTION("""COMPUTED_VALUE"""),0.0)</f>
        <v>0</v>
      </c>
      <c r="T323" s="6">
        <f>IFERROR(__xludf.DUMMYFUNCTION("""COMPUTED_VALUE"""),0.0)</f>
        <v>0</v>
      </c>
      <c r="U323" s="6">
        <f>IFERROR(__xludf.DUMMYFUNCTION("""COMPUTED_VALUE"""),0.0)</f>
        <v>0</v>
      </c>
      <c r="V323" s="4">
        <f t="shared" ref="V323:X323" si="322">SUM(D323, G323, J323, M323, P323, S323)</f>
        <v>1</v>
      </c>
      <c r="W323" s="4">
        <f t="shared" si="322"/>
        <v>0</v>
      </c>
      <c r="X323" s="4">
        <f t="shared" si="322"/>
        <v>0</v>
      </c>
    </row>
    <row r="324">
      <c r="A324" s="4" t="str">
        <f>IFERROR(__xludf.DUMMYFUNCTION("""COMPUTED_VALUE"""),"Школа 2030")</f>
        <v>Школа 2030</v>
      </c>
      <c r="B324" s="4" t="str">
        <f t="array" ref="B324">IFERROR(INDEX('Адреса школ'!F:F, MATCH(A324, 'Адреса школ'!E:E, 0)), "")</f>
        <v>55.75941, 37.555723</v>
      </c>
      <c r="C324" s="5" t="str">
        <f t="array" ref="C324">IFERROR(INDEX('Топ-400'!A:A, MATCH(A324, 'Топ-400'!E:E, 0)), "Вне рейтинга")</f>
        <v>199</v>
      </c>
      <c r="D324" s="6">
        <f>IFERROR(__xludf.DUMMYFUNCTION("""COMPUTED_VALUE"""),1.0)</f>
        <v>1</v>
      </c>
      <c r="E324" s="6">
        <f>IFERROR(__xludf.DUMMYFUNCTION("""COMPUTED_VALUE"""),0.0)</f>
        <v>0</v>
      </c>
      <c r="F324" s="6">
        <f>IFERROR(__xludf.DUMMYFUNCTION("""COMPUTED_VALUE"""),1.0)</f>
        <v>1</v>
      </c>
      <c r="G324" s="6">
        <f>IFERROR(__xludf.DUMMYFUNCTION("""COMPUTED_VALUE"""),0.0)</f>
        <v>0</v>
      </c>
      <c r="H324" s="6">
        <f>IFERROR(__xludf.DUMMYFUNCTION("""COMPUTED_VALUE"""),0.0)</f>
        <v>0</v>
      </c>
      <c r="I324" s="6">
        <f>IFERROR(__xludf.DUMMYFUNCTION("""COMPUTED_VALUE"""),0.0)</f>
        <v>0</v>
      </c>
      <c r="J324" s="6">
        <f>IFERROR(__xludf.DUMMYFUNCTION("""COMPUTED_VALUE"""),0.0)</f>
        <v>0</v>
      </c>
      <c r="K324" s="6">
        <f>IFERROR(__xludf.DUMMYFUNCTION("""COMPUTED_VALUE"""),0.0)</f>
        <v>0</v>
      </c>
      <c r="L324" s="6">
        <f>IFERROR(__xludf.DUMMYFUNCTION("""COMPUTED_VALUE"""),0.0)</f>
        <v>0</v>
      </c>
      <c r="M324" s="6">
        <f>IFERROR(__xludf.DUMMYFUNCTION("""COMPUTED_VALUE"""),1.0)</f>
        <v>1</v>
      </c>
      <c r="N324" s="6">
        <f>IFERROR(__xludf.DUMMYFUNCTION("""COMPUTED_VALUE"""),1.0)</f>
        <v>1</v>
      </c>
      <c r="O324" s="6">
        <f>IFERROR(__xludf.DUMMYFUNCTION("""COMPUTED_VALUE"""),1.0)</f>
        <v>1</v>
      </c>
      <c r="P324" s="6">
        <f>IFERROR(__xludf.DUMMYFUNCTION("""COMPUTED_VALUE"""),1.0)</f>
        <v>1</v>
      </c>
      <c r="Q324" s="6">
        <f>IFERROR(__xludf.DUMMYFUNCTION("""COMPUTED_VALUE"""),0.0)</f>
        <v>0</v>
      </c>
      <c r="R324" s="6">
        <f>IFERROR(__xludf.DUMMYFUNCTION("""COMPUTED_VALUE"""),0.0)</f>
        <v>0</v>
      </c>
      <c r="S324" s="6">
        <f>IFERROR(__xludf.DUMMYFUNCTION("""COMPUTED_VALUE"""),0.0)</f>
        <v>0</v>
      </c>
      <c r="T324" s="6">
        <f>IFERROR(__xludf.DUMMYFUNCTION("""COMPUTED_VALUE"""),0.0)</f>
        <v>0</v>
      </c>
      <c r="U324" s="6">
        <f>IFERROR(__xludf.DUMMYFUNCTION("""COMPUTED_VALUE"""),0.0)</f>
        <v>0</v>
      </c>
      <c r="V324" s="4">
        <f t="shared" ref="V324:X324" si="323">SUM(D324, G324, J324, M324, P324, S324)</f>
        <v>3</v>
      </c>
      <c r="W324" s="4">
        <f t="shared" si="323"/>
        <v>1</v>
      </c>
      <c r="X324" s="4">
        <f t="shared" si="323"/>
        <v>2</v>
      </c>
    </row>
    <row r="325">
      <c r="A325" s="4" t="str">
        <f>IFERROR(__xludf.DUMMYFUNCTION("""COMPUTED_VALUE"""),"Школа 2031")</f>
        <v>Школа 2031</v>
      </c>
      <c r="B325" s="4" t="str">
        <f t="array" ref="B325">IFERROR(INDEX('Адреса школ'!F:F, MATCH(A325, 'Адреса школ'!E:E, 0)), "")</f>
        <v>55.710093, 37.89084</v>
      </c>
      <c r="C325" s="5" t="str">
        <f t="array" ref="C325">IFERROR(INDEX('Топ-400'!A:A, MATCH(A325, 'Топ-400'!E:E, 0)), "Вне рейтинга")</f>
        <v>76</v>
      </c>
      <c r="D325" s="6">
        <f>IFERROR(__xludf.DUMMYFUNCTION("""COMPUTED_VALUE"""),1.0)</f>
        <v>1</v>
      </c>
      <c r="E325" s="6">
        <f>IFERROR(__xludf.DUMMYFUNCTION("""COMPUTED_VALUE"""),0.0)</f>
        <v>0</v>
      </c>
      <c r="F325" s="6">
        <f>IFERROR(__xludf.DUMMYFUNCTION("""COMPUTED_VALUE"""),1.0)</f>
        <v>1</v>
      </c>
      <c r="G325" s="6">
        <f>IFERROR(__xludf.DUMMYFUNCTION("""COMPUTED_VALUE"""),0.0)</f>
        <v>0</v>
      </c>
      <c r="H325" s="6">
        <f>IFERROR(__xludf.DUMMYFUNCTION("""COMPUTED_VALUE"""),0.0)</f>
        <v>0</v>
      </c>
      <c r="I325" s="6">
        <f>IFERROR(__xludf.DUMMYFUNCTION("""COMPUTED_VALUE"""),0.0)</f>
        <v>0</v>
      </c>
      <c r="J325" s="6">
        <f>IFERROR(__xludf.DUMMYFUNCTION("""COMPUTED_VALUE"""),0.0)</f>
        <v>0</v>
      </c>
      <c r="K325" s="6">
        <f>IFERROR(__xludf.DUMMYFUNCTION("""COMPUTED_VALUE"""),0.0)</f>
        <v>0</v>
      </c>
      <c r="L325" s="6">
        <f>IFERROR(__xludf.DUMMYFUNCTION("""COMPUTED_VALUE"""),0.0)</f>
        <v>0</v>
      </c>
      <c r="M325" s="6">
        <f>IFERROR(__xludf.DUMMYFUNCTION("""COMPUTED_VALUE"""),1.0)</f>
        <v>1</v>
      </c>
      <c r="N325" s="6">
        <f>IFERROR(__xludf.DUMMYFUNCTION("""COMPUTED_VALUE"""),1.0)</f>
        <v>1</v>
      </c>
      <c r="O325" s="6">
        <f>IFERROR(__xludf.DUMMYFUNCTION("""COMPUTED_VALUE"""),1.0)</f>
        <v>1</v>
      </c>
      <c r="P325" s="6">
        <f>IFERROR(__xludf.DUMMYFUNCTION("""COMPUTED_VALUE"""),1.0)</f>
        <v>1</v>
      </c>
      <c r="Q325" s="6">
        <f>IFERROR(__xludf.DUMMYFUNCTION("""COMPUTED_VALUE"""),1.0)</f>
        <v>1</v>
      </c>
      <c r="R325" s="6">
        <f>IFERROR(__xludf.DUMMYFUNCTION("""COMPUTED_VALUE"""),1.0)</f>
        <v>1</v>
      </c>
      <c r="S325" s="6">
        <f>IFERROR(__xludf.DUMMYFUNCTION("""COMPUTED_VALUE"""),0.0)</f>
        <v>0</v>
      </c>
      <c r="T325" s="6">
        <f>IFERROR(__xludf.DUMMYFUNCTION("""COMPUTED_VALUE"""),0.0)</f>
        <v>0</v>
      </c>
      <c r="U325" s="6">
        <f>IFERROR(__xludf.DUMMYFUNCTION("""COMPUTED_VALUE"""),0.0)</f>
        <v>0</v>
      </c>
      <c r="V325" s="4">
        <f t="shared" ref="V325:X325" si="324">SUM(D325, G325, J325, M325, P325, S325)</f>
        <v>3</v>
      </c>
      <c r="W325" s="4">
        <f t="shared" si="324"/>
        <v>2</v>
      </c>
      <c r="X325" s="4">
        <f t="shared" si="324"/>
        <v>3</v>
      </c>
    </row>
    <row r="326">
      <c r="A326" s="4" t="str">
        <f>IFERROR(__xludf.DUMMYFUNCTION("""COMPUTED_VALUE"""),"Школа 2033")</f>
        <v>Школа 2033</v>
      </c>
      <c r="B326" s="4" t="str">
        <f t="array" ref="B326">IFERROR(INDEX('Адреса школ'!F:F, MATCH(A326, 'Адреса школ'!E:E, 0)), "")</f>
        <v>55.808083, 37.779584</v>
      </c>
      <c r="C326" s="5" t="str">
        <f t="array" ref="C326">IFERROR(INDEX('Топ-400'!A:A, MATCH(A326, 'Топ-400'!E:E, 0)), "Вне рейтинга")</f>
        <v>176</v>
      </c>
      <c r="D326" s="6">
        <f>IFERROR(__xludf.DUMMYFUNCTION("""COMPUTED_VALUE"""),1.0)</f>
        <v>1</v>
      </c>
      <c r="E326" s="6">
        <f>IFERROR(__xludf.DUMMYFUNCTION("""COMPUTED_VALUE"""),0.0)</f>
        <v>0</v>
      </c>
      <c r="F326" s="6">
        <f>IFERROR(__xludf.DUMMYFUNCTION("""COMPUTED_VALUE"""),1.0)</f>
        <v>1</v>
      </c>
      <c r="G326" s="6">
        <f>IFERROR(__xludf.DUMMYFUNCTION("""COMPUTED_VALUE"""),1.0)</f>
        <v>1</v>
      </c>
      <c r="H326" s="6">
        <f>IFERROR(__xludf.DUMMYFUNCTION("""COMPUTED_VALUE"""),1.0)</f>
        <v>1</v>
      </c>
      <c r="I326" s="6">
        <f>IFERROR(__xludf.DUMMYFUNCTION("""COMPUTED_VALUE"""),1.0)</f>
        <v>1</v>
      </c>
      <c r="J326" s="6">
        <f>IFERROR(__xludf.DUMMYFUNCTION("""COMPUTED_VALUE"""),0.0)</f>
        <v>0</v>
      </c>
      <c r="K326" s="6">
        <f>IFERROR(__xludf.DUMMYFUNCTION("""COMPUTED_VALUE"""),0.0)</f>
        <v>0</v>
      </c>
      <c r="L326" s="6">
        <f>IFERROR(__xludf.DUMMYFUNCTION("""COMPUTED_VALUE"""),0.0)</f>
        <v>0</v>
      </c>
      <c r="M326" s="6">
        <f>IFERROR(__xludf.DUMMYFUNCTION("""COMPUTED_VALUE"""),1.0)</f>
        <v>1</v>
      </c>
      <c r="N326" s="6">
        <f>IFERROR(__xludf.DUMMYFUNCTION("""COMPUTED_VALUE"""),0.0)</f>
        <v>0</v>
      </c>
      <c r="O326" s="6">
        <f>IFERROR(__xludf.DUMMYFUNCTION("""COMPUTED_VALUE"""),1.0)</f>
        <v>1</v>
      </c>
      <c r="P326" s="6">
        <f>IFERROR(__xludf.DUMMYFUNCTION("""COMPUTED_VALUE"""),0.0)</f>
        <v>0</v>
      </c>
      <c r="Q326" s="6">
        <f>IFERROR(__xludf.DUMMYFUNCTION("""COMPUTED_VALUE"""),0.0)</f>
        <v>0</v>
      </c>
      <c r="R326" s="6">
        <f>IFERROR(__xludf.DUMMYFUNCTION("""COMPUTED_VALUE"""),0.0)</f>
        <v>0</v>
      </c>
      <c r="S326" s="6">
        <f>IFERROR(__xludf.DUMMYFUNCTION("""COMPUTED_VALUE"""),0.0)</f>
        <v>0</v>
      </c>
      <c r="T326" s="6">
        <f>IFERROR(__xludf.DUMMYFUNCTION("""COMPUTED_VALUE"""),0.0)</f>
        <v>0</v>
      </c>
      <c r="U326" s="6">
        <f>IFERROR(__xludf.DUMMYFUNCTION("""COMPUTED_VALUE"""),0.0)</f>
        <v>0</v>
      </c>
      <c r="V326" s="4">
        <f t="shared" ref="V326:X326" si="325">SUM(D326, G326, J326, M326, P326, S326)</f>
        <v>3</v>
      </c>
      <c r="W326" s="4">
        <f t="shared" si="325"/>
        <v>1</v>
      </c>
      <c r="X326" s="4">
        <f t="shared" si="325"/>
        <v>3</v>
      </c>
    </row>
    <row r="327">
      <c r="A327" s="4" t="str">
        <f>IFERROR(__xludf.DUMMYFUNCTION("""COMPUTED_VALUE"""),"Школа 2036")</f>
        <v>Школа 2036</v>
      </c>
      <c r="B327" s="4" t="str">
        <f t="array" ref="B327">IFERROR(INDEX('Адреса школ'!F:F, MATCH(A327, 'Адреса школ'!E:E, 0)), "")</f>
        <v>55.710469, 37.88704</v>
      </c>
      <c r="C327" s="5" t="str">
        <f t="array" ref="C327">IFERROR(INDEX('Топ-400'!A:A, MATCH(A327, 'Топ-400'!E:E, 0)), "Вне рейтинга")</f>
        <v>3</v>
      </c>
      <c r="D327" s="6">
        <f>IFERROR(__xludf.DUMMYFUNCTION("""COMPUTED_VALUE"""),0.0)</f>
        <v>0</v>
      </c>
      <c r="E327" s="6">
        <f>IFERROR(__xludf.DUMMYFUNCTION("""COMPUTED_VALUE"""),0.0)</f>
        <v>0</v>
      </c>
      <c r="F327" s="6">
        <f>IFERROR(__xludf.DUMMYFUNCTION("""COMPUTED_VALUE"""),0.0)</f>
        <v>0</v>
      </c>
      <c r="G327" s="6">
        <f>IFERROR(__xludf.DUMMYFUNCTION("""COMPUTED_VALUE"""),1.0)</f>
        <v>1</v>
      </c>
      <c r="H327" s="6">
        <f>IFERROR(__xludf.DUMMYFUNCTION("""COMPUTED_VALUE"""),1.0)</f>
        <v>1</v>
      </c>
      <c r="I327" s="6">
        <f>IFERROR(__xludf.DUMMYFUNCTION("""COMPUTED_VALUE"""),1.0)</f>
        <v>1</v>
      </c>
      <c r="J327" s="6">
        <f>IFERROR(__xludf.DUMMYFUNCTION("""COMPUTED_VALUE"""),1.0)</f>
        <v>1</v>
      </c>
      <c r="K327" s="6">
        <f>IFERROR(__xludf.DUMMYFUNCTION("""COMPUTED_VALUE"""),1.0)</f>
        <v>1</v>
      </c>
      <c r="L327" s="6">
        <f>IFERROR(__xludf.DUMMYFUNCTION("""COMPUTED_VALUE"""),1.0)</f>
        <v>1</v>
      </c>
      <c r="M327" s="6">
        <f>IFERROR(__xludf.DUMMYFUNCTION("""COMPUTED_VALUE"""),0.0)</f>
        <v>0</v>
      </c>
      <c r="N327" s="6">
        <f>IFERROR(__xludf.DUMMYFUNCTION("""COMPUTED_VALUE"""),0.0)</f>
        <v>0</v>
      </c>
      <c r="O327" s="6">
        <f>IFERROR(__xludf.DUMMYFUNCTION("""COMPUTED_VALUE"""),0.0)</f>
        <v>0</v>
      </c>
      <c r="P327" s="6">
        <f>IFERROR(__xludf.DUMMYFUNCTION("""COMPUTED_VALUE"""),0.0)</f>
        <v>0</v>
      </c>
      <c r="Q327" s="6">
        <f>IFERROR(__xludf.DUMMYFUNCTION("""COMPUTED_VALUE"""),0.0)</f>
        <v>0</v>
      </c>
      <c r="R327" s="6">
        <f>IFERROR(__xludf.DUMMYFUNCTION("""COMPUTED_VALUE"""),1.0)</f>
        <v>1</v>
      </c>
      <c r="S327" s="6">
        <f>IFERROR(__xludf.DUMMYFUNCTION("""COMPUTED_VALUE"""),0.0)</f>
        <v>0</v>
      </c>
      <c r="T327" s="6">
        <f>IFERROR(__xludf.DUMMYFUNCTION("""COMPUTED_VALUE"""),0.0)</f>
        <v>0</v>
      </c>
      <c r="U327" s="6">
        <f>IFERROR(__xludf.DUMMYFUNCTION("""COMPUTED_VALUE"""),0.0)</f>
        <v>0</v>
      </c>
      <c r="V327" s="4">
        <f t="shared" ref="V327:X327" si="326">SUM(D327, G327, J327, M327, P327, S327)</f>
        <v>2</v>
      </c>
      <c r="W327" s="4">
        <f t="shared" si="326"/>
        <v>2</v>
      </c>
      <c r="X327" s="4">
        <f t="shared" si="326"/>
        <v>3</v>
      </c>
    </row>
    <row r="328">
      <c r="A328" s="4" t="str">
        <f>IFERROR(__xludf.DUMMYFUNCTION("""COMPUTED_VALUE"""),"Школа 2044")</f>
        <v>Школа 2044</v>
      </c>
      <c r="B328" s="4" t="str">
        <f t="array" ref="B328">IFERROR(INDEX('Адреса школ'!F:F, MATCH(A328, 'Адреса школ'!E:E, 0)), "")</f>
        <v>55.926993, 37.542671</v>
      </c>
      <c r="C328" s="5" t="str">
        <f t="array" ref="C328">IFERROR(INDEX('Топ-400'!A:A, MATCH(A328, 'Топ-400'!E:E, 0)), "Вне рейтинга")</f>
        <v>115</v>
      </c>
      <c r="D328" s="6">
        <f>IFERROR(__xludf.DUMMYFUNCTION("""COMPUTED_VALUE"""),1.0)</f>
        <v>1</v>
      </c>
      <c r="E328" s="6">
        <f>IFERROR(__xludf.DUMMYFUNCTION("""COMPUTED_VALUE"""),1.0)</f>
        <v>1</v>
      </c>
      <c r="F328" s="6">
        <f>IFERROR(__xludf.DUMMYFUNCTION("""COMPUTED_VALUE"""),1.0)</f>
        <v>1</v>
      </c>
      <c r="G328" s="6">
        <f>IFERROR(__xludf.DUMMYFUNCTION("""COMPUTED_VALUE"""),0.0)</f>
        <v>0</v>
      </c>
      <c r="H328" s="6">
        <f>IFERROR(__xludf.DUMMYFUNCTION("""COMPUTED_VALUE"""),0.0)</f>
        <v>0</v>
      </c>
      <c r="I328" s="6">
        <f>IFERROR(__xludf.DUMMYFUNCTION("""COMPUTED_VALUE"""),0.0)</f>
        <v>0</v>
      </c>
      <c r="J328" s="6">
        <f>IFERROR(__xludf.DUMMYFUNCTION("""COMPUTED_VALUE"""),0.0)</f>
        <v>0</v>
      </c>
      <c r="K328" s="6">
        <f>IFERROR(__xludf.DUMMYFUNCTION("""COMPUTED_VALUE"""),0.0)</f>
        <v>0</v>
      </c>
      <c r="L328" s="6">
        <f>IFERROR(__xludf.DUMMYFUNCTION("""COMPUTED_VALUE"""),0.0)</f>
        <v>0</v>
      </c>
      <c r="M328" s="6">
        <f>IFERROR(__xludf.DUMMYFUNCTION("""COMPUTED_VALUE"""),1.0)</f>
        <v>1</v>
      </c>
      <c r="N328" s="6">
        <f>IFERROR(__xludf.DUMMYFUNCTION("""COMPUTED_VALUE"""),0.0)</f>
        <v>0</v>
      </c>
      <c r="O328" s="6">
        <f>IFERROR(__xludf.DUMMYFUNCTION("""COMPUTED_VALUE"""),0.0)</f>
        <v>0</v>
      </c>
      <c r="P328" s="6">
        <f>IFERROR(__xludf.DUMMYFUNCTION("""COMPUTED_VALUE"""),0.0)</f>
        <v>0</v>
      </c>
      <c r="Q328" s="6">
        <f>IFERROR(__xludf.DUMMYFUNCTION("""COMPUTED_VALUE"""),0.0)</f>
        <v>0</v>
      </c>
      <c r="R328" s="6">
        <f>IFERROR(__xludf.DUMMYFUNCTION("""COMPUTED_VALUE"""),0.0)</f>
        <v>0</v>
      </c>
      <c r="S328" s="6">
        <f>IFERROR(__xludf.DUMMYFUNCTION("""COMPUTED_VALUE"""),0.0)</f>
        <v>0</v>
      </c>
      <c r="T328" s="6">
        <f>IFERROR(__xludf.DUMMYFUNCTION("""COMPUTED_VALUE"""),0.0)</f>
        <v>0</v>
      </c>
      <c r="U328" s="6">
        <f>IFERROR(__xludf.DUMMYFUNCTION("""COMPUTED_VALUE"""),0.0)</f>
        <v>0</v>
      </c>
      <c r="V328" s="4">
        <f t="shared" ref="V328:X328" si="327">SUM(D328, G328, J328, M328, P328, S328)</f>
        <v>2</v>
      </c>
      <c r="W328" s="4">
        <f t="shared" si="327"/>
        <v>1</v>
      </c>
      <c r="X328" s="4">
        <f t="shared" si="327"/>
        <v>1</v>
      </c>
    </row>
    <row r="329">
      <c r="A329" s="4" t="str">
        <f>IFERROR(__xludf.DUMMYFUNCTION("""COMPUTED_VALUE"""),"Школа 2045")</f>
        <v>Школа 2045</v>
      </c>
      <c r="B329" s="4" t="str">
        <f t="array" ref="B329">IFERROR(INDEX('Адреса школ'!F:F, MATCH(A329, 'Адреса школ'!E:E, 0)), "")</f>
        <v>55.973526, 37.170463</v>
      </c>
      <c r="C329" s="5" t="str">
        <f t="array" ref="C329">IFERROR(INDEX('Топ-400'!A:A, MATCH(A329, 'Топ-400'!E:E, 0)), "Вне рейтинга")</f>
        <v>240</v>
      </c>
      <c r="D329" s="6">
        <f>IFERROR(__xludf.DUMMYFUNCTION("""COMPUTED_VALUE"""),1.0)</f>
        <v>1</v>
      </c>
      <c r="E329" s="6">
        <f>IFERROR(__xludf.DUMMYFUNCTION("""COMPUTED_VALUE"""),1.0)</f>
        <v>1</v>
      </c>
      <c r="F329" s="6">
        <f>IFERROR(__xludf.DUMMYFUNCTION("""COMPUTED_VALUE"""),1.0)</f>
        <v>1</v>
      </c>
      <c r="G329" s="6">
        <f>IFERROR(__xludf.DUMMYFUNCTION("""COMPUTED_VALUE"""),1.0)</f>
        <v>1</v>
      </c>
      <c r="H329" s="6">
        <f>IFERROR(__xludf.DUMMYFUNCTION("""COMPUTED_VALUE"""),1.0)</f>
        <v>1</v>
      </c>
      <c r="I329" s="6">
        <f>IFERROR(__xludf.DUMMYFUNCTION("""COMPUTED_VALUE"""),1.0)</f>
        <v>1</v>
      </c>
      <c r="J329" s="6">
        <f>IFERROR(__xludf.DUMMYFUNCTION("""COMPUTED_VALUE"""),1.0)</f>
        <v>1</v>
      </c>
      <c r="K329" s="6">
        <f>IFERROR(__xludf.DUMMYFUNCTION("""COMPUTED_VALUE"""),1.0)</f>
        <v>1</v>
      </c>
      <c r="L329" s="6">
        <f>IFERROR(__xludf.DUMMYFUNCTION("""COMPUTED_VALUE"""),1.0)</f>
        <v>1</v>
      </c>
      <c r="M329" s="6">
        <f>IFERROR(__xludf.DUMMYFUNCTION("""COMPUTED_VALUE"""),1.0)</f>
        <v>1</v>
      </c>
      <c r="N329" s="6">
        <f>IFERROR(__xludf.DUMMYFUNCTION("""COMPUTED_VALUE"""),1.0)</f>
        <v>1</v>
      </c>
      <c r="O329" s="6">
        <f>IFERROR(__xludf.DUMMYFUNCTION("""COMPUTED_VALUE"""),1.0)</f>
        <v>1</v>
      </c>
      <c r="P329" s="6">
        <f>IFERROR(__xludf.DUMMYFUNCTION("""COMPUTED_VALUE"""),1.0)</f>
        <v>1</v>
      </c>
      <c r="Q329" s="6">
        <f>IFERROR(__xludf.DUMMYFUNCTION("""COMPUTED_VALUE"""),1.0)</f>
        <v>1</v>
      </c>
      <c r="R329" s="6">
        <f>IFERROR(__xludf.DUMMYFUNCTION("""COMPUTED_VALUE"""),1.0)</f>
        <v>1</v>
      </c>
      <c r="S329" s="6">
        <f>IFERROR(__xludf.DUMMYFUNCTION("""COMPUTED_VALUE"""),0.0)</f>
        <v>0</v>
      </c>
      <c r="T329" s="6">
        <f>IFERROR(__xludf.DUMMYFUNCTION("""COMPUTED_VALUE"""),0.0)</f>
        <v>0</v>
      </c>
      <c r="U329" s="6">
        <f>IFERROR(__xludf.DUMMYFUNCTION("""COMPUTED_VALUE"""),0.0)</f>
        <v>0</v>
      </c>
      <c r="V329" s="4">
        <f t="shared" ref="V329:X329" si="328">SUM(D329, G329, J329, M329, P329, S329)</f>
        <v>5</v>
      </c>
      <c r="W329" s="4">
        <f t="shared" si="328"/>
        <v>5</v>
      </c>
      <c r="X329" s="4">
        <f t="shared" si="328"/>
        <v>5</v>
      </c>
    </row>
    <row r="330">
      <c r="A330" s="4" t="str">
        <f>IFERROR(__xludf.DUMMYFUNCTION("""COMPUTED_VALUE"""),"Школа 2048")</f>
        <v>Школа 2048</v>
      </c>
      <c r="B330" s="4" t="str">
        <f t="array" ref="B330">IFERROR(INDEX('Адреса школ'!F:F, MATCH(A330, 'Адреса школ'!E:E, 0)), "")</f>
        <v>55.703718, 37.938181</v>
      </c>
      <c r="C330" s="5" t="str">
        <f t="array" ref="C330">IFERROR(INDEX('Топ-400'!A:A, MATCH(A330, 'Топ-400'!E:E, 0)), "Вне рейтинга")</f>
        <v>60</v>
      </c>
      <c r="D330" s="6">
        <f>IFERROR(__xludf.DUMMYFUNCTION("""COMPUTED_VALUE"""),1.0)</f>
        <v>1</v>
      </c>
      <c r="E330" s="6">
        <f>IFERROR(__xludf.DUMMYFUNCTION("""COMPUTED_VALUE"""),1.0)</f>
        <v>1</v>
      </c>
      <c r="F330" s="6">
        <f>IFERROR(__xludf.DUMMYFUNCTION("""COMPUTED_VALUE"""),1.0)</f>
        <v>1</v>
      </c>
      <c r="G330" s="6">
        <f>IFERROR(__xludf.DUMMYFUNCTION("""COMPUTED_VALUE"""),1.0)</f>
        <v>1</v>
      </c>
      <c r="H330" s="6">
        <f>IFERROR(__xludf.DUMMYFUNCTION("""COMPUTED_VALUE"""),1.0)</f>
        <v>1</v>
      </c>
      <c r="I330" s="6">
        <f>IFERROR(__xludf.DUMMYFUNCTION("""COMPUTED_VALUE"""),1.0)</f>
        <v>1</v>
      </c>
      <c r="J330" s="6">
        <f>IFERROR(__xludf.DUMMYFUNCTION("""COMPUTED_VALUE"""),0.0)</f>
        <v>0</v>
      </c>
      <c r="K330" s="6">
        <f>IFERROR(__xludf.DUMMYFUNCTION("""COMPUTED_VALUE"""),0.0)</f>
        <v>0</v>
      </c>
      <c r="L330" s="6">
        <f>IFERROR(__xludf.DUMMYFUNCTION("""COMPUTED_VALUE"""),0.0)</f>
        <v>0</v>
      </c>
      <c r="M330" s="6">
        <f>IFERROR(__xludf.DUMMYFUNCTION("""COMPUTED_VALUE"""),1.0)</f>
        <v>1</v>
      </c>
      <c r="N330" s="6">
        <f>IFERROR(__xludf.DUMMYFUNCTION("""COMPUTED_VALUE"""),0.0)</f>
        <v>0</v>
      </c>
      <c r="O330" s="6">
        <f>IFERROR(__xludf.DUMMYFUNCTION("""COMPUTED_VALUE"""),1.0)</f>
        <v>1</v>
      </c>
      <c r="P330" s="6">
        <f>IFERROR(__xludf.DUMMYFUNCTION("""COMPUTED_VALUE"""),1.0)</f>
        <v>1</v>
      </c>
      <c r="Q330" s="6">
        <f>IFERROR(__xludf.DUMMYFUNCTION("""COMPUTED_VALUE"""),1.0)</f>
        <v>1</v>
      </c>
      <c r="R330" s="6">
        <f>IFERROR(__xludf.DUMMYFUNCTION("""COMPUTED_VALUE"""),1.0)</f>
        <v>1</v>
      </c>
      <c r="S330" s="6">
        <f>IFERROR(__xludf.DUMMYFUNCTION("""COMPUTED_VALUE"""),0.0)</f>
        <v>0</v>
      </c>
      <c r="T330" s="6">
        <f>IFERROR(__xludf.DUMMYFUNCTION("""COMPUTED_VALUE"""),0.0)</f>
        <v>0</v>
      </c>
      <c r="U330" s="6">
        <f>IFERROR(__xludf.DUMMYFUNCTION("""COMPUTED_VALUE"""),0.0)</f>
        <v>0</v>
      </c>
      <c r="V330" s="4">
        <f t="shared" ref="V330:X330" si="329">SUM(D330, G330, J330, M330, P330, S330)</f>
        <v>4</v>
      </c>
      <c r="W330" s="4">
        <f t="shared" si="329"/>
        <v>3</v>
      </c>
      <c r="X330" s="4">
        <f t="shared" si="329"/>
        <v>4</v>
      </c>
    </row>
    <row r="331">
      <c r="A331" s="4" t="str">
        <f>IFERROR(__xludf.DUMMYFUNCTION("""COMPUTED_VALUE"""),"Школа 2051")</f>
        <v>Школа 2051</v>
      </c>
      <c r="B331" s="4" t="str">
        <f t="array" ref="B331">IFERROR(INDEX('Адреса школ'!F:F, MATCH(A331, 'Адреса школ'!E:E, 0)), "")</f>
        <v>55.701673, 37.918544</v>
      </c>
      <c r="C331" s="5" t="str">
        <f t="array" ref="C331">IFERROR(INDEX('Топ-400'!A:A, MATCH(A331, 'Топ-400'!E:E, 0)), "Вне рейтинга")</f>
        <v>146</v>
      </c>
      <c r="D331" s="6">
        <f>IFERROR(__xludf.DUMMYFUNCTION("""COMPUTED_VALUE"""),0.0)</f>
        <v>0</v>
      </c>
      <c r="E331" s="6">
        <f>IFERROR(__xludf.DUMMYFUNCTION("""COMPUTED_VALUE"""),0.0)</f>
        <v>0</v>
      </c>
      <c r="F331" s="6">
        <f>IFERROR(__xludf.DUMMYFUNCTION("""COMPUTED_VALUE"""),0.0)</f>
        <v>0</v>
      </c>
      <c r="G331" s="6">
        <f>IFERROR(__xludf.DUMMYFUNCTION("""COMPUTED_VALUE"""),1.0)</f>
        <v>1</v>
      </c>
      <c r="H331" s="6">
        <f>IFERROR(__xludf.DUMMYFUNCTION("""COMPUTED_VALUE"""),0.0)</f>
        <v>0</v>
      </c>
      <c r="I331" s="6">
        <f>IFERROR(__xludf.DUMMYFUNCTION("""COMPUTED_VALUE"""),1.0)</f>
        <v>1</v>
      </c>
      <c r="J331" s="6">
        <f>IFERROR(__xludf.DUMMYFUNCTION("""COMPUTED_VALUE"""),0.0)</f>
        <v>0</v>
      </c>
      <c r="K331" s="6">
        <f>IFERROR(__xludf.DUMMYFUNCTION("""COMPUTED_VALUE"""),0.0)</f>
        <v>0</v>
      </c>
      <c r="L331" s="6">
        <f>IFERROR(__xludf.DUMMYFUNCTION("""COMPUTED_VALUE"""),0.0)</f>
        <v>0</v>
      </c>
      <c r="M331" s="6">
        <f>IFERROR(__xludf.DUMMYFUNCTION("""COMPUTED_VALUE"""),0.0)</f>
        <v>0</v>
      </c>
      <c r="N331" s="6">
        <f>IFERROR(__xludf.DUMMYFUNCTION("""COMPUTED_VALUE"""),0.0)</f>
        <v>0</v>
      </c>
      <c r="O331" s="6">
        <f>IFERROR(__xludf.DUMMYFUNCTION("""COMPUTED_VALUE"""),1.0)</f>
        <v>1</v>
      </c>
      <c r="P331" s="6">
        <f>IFERROR(__xludf.DUMMYFUNCTION("""COMPUTED_VALUE"""),0.0)</f>
        <v>0</v>
      </c>
      <c r="Q331" s="6">
        <f>IFERROR(__xludf.DUMMYFUNCTION("""COMPUTED_VALUE"""),0.0)</f>
        <v>0</v>
      </c>
      <c r="R331" s="6">
        <f>IFERROR(__xludf.DUMMYFUNCTION("""COMPUTED_VALUE"""),0.0)</f>
        <v>0</v>
      </c>
      <c r="S331" s="6">
        <f>IFERROR(__xludf.DUMMYFUNCTION("""COMPUTED_VALUE"""),0.0)</f>
        <v>0</v>
      </c>
      <c r="T331" s="6">
        <f>IFERROR(__xludf.DUMMYFUNCTION("""COMPUTED_VALUE"""),0.0)</f>
        <v>0</v>
      </c>
      <c r="U331" s="6">
        <f>IFERROR(__xludf.DUMMYFUNCTION("""COMPUTED_VALUE"""),0.0)</f>
        <v>0</v>
      </c>
      <c r="V331" s="4">
        <f t="shared" ref="V331:X331" si="330">SUM(D331, G331, J331, M331, P331, S331)</f>
        <v>1</v>
      </c>
      <c r="W331" s="4">
        <f t="shared" si="330"/>
        <v>0</v>
      </c>
      <c r="X331" s="4">
        <f t="shared" si="330"/>
        <v>2</v>
      </c>
    </row>
    <row r="332">
      <c r="A332" s="4" t="str">
        <f>IFERROR(__xludf.DUMMYFUNCTION("""COMPUTED_VALUE"""),"Школа 2054")</f>
        <v>Школа 2054</v>
      </c>
      <c r="B332" s="4" t="str">
        <f t="array" ref="B332">IFERROR(INDEX('Адреса школ'!F:F, MATCH(A332, 'Адреса школ'!E:E, 0)), "")</f>
        <v>55.772542, 37.625936</v>
      </c>
      <c r="C332" s="5" t="str">
        <f t="array" ref="C332">IFERROR(INDEX('Топ-400'!A:A, MATCH(A332, 'Топ-400'!E:E, 0)), "Вне рейтинга")</f>
        <v>126</v>
      </c>
      <c r="D332" s="6">
        <f>IFERROR(__xludf.DUMMYFUNCTION("""COMPUTED_VALUE"""),0.0)</f>
        <v>0</v>
      </c>
      <c r="E332" s="6">
        <f>IFERROR(__xludf.DUMMYFUNCTION("""COMPUTED_VALUE"""),0.0)</f>
        <v>0</v>
      </c>
      <c r="F332" s="6">
        <f>IFERROR(__xludf.DUMMYFUNCTION("""COMPUTED_VALUE"""),0.0)</f>
        <v>0</v>
      </c>
      <c r="G332" s="6">
        <f>IFERROR(__xludf.DUMMYFUNCTION("""COMPUTED_VALUE"""),1.0)</f>
        <v>1</v>
      </c>
      <c r="H332" s="6">
        <f>IFERROR(__xludf.DUMMYFUNCTION("""COMPUTED_VALUE"""),0.0)</f>
        <v>0</v>
      </c>
      <c r="I332" s="6">
        <f>IFERROR(__xludf.DUMMYFUNCTION("""COMPUTED_VALUE"""),1.0)</f>
        <v>1</v>
      </c>
      <c r="J332" s="6">
        <f>IFERROR(__xludf.DUMMYFUNCTION("""COMPUTED_VALUE"""),0.0)</f>
        <v>0</v>
      </c>
      <c r="K332" s="6">
        <f>IFERROR(__xludf.DUMMYFUNCTION("""COMPUTED_VALUE"""),0.0)</f>
        <v>0</v>
      </c>
      <c r="L332" s="6">
        <f>IFERROR(__xludf.DUMMYFUNCTION("""COMPUTED_VALUE"""),0.0)</f>
        <v>0</v>
      </c>
      <c r="M332" s="6">
        <f>IFERROR(__xludf.DUMMYFUNCTION("""COMPUTED_VALUE"""),0.0)</f>
        <v>0</v>
      </c>
      <c r="N332" s="6">
        <f>IFERROR(__xludf.DUMMYFUNCTION("""COMPUTED_VALUE"""),0.0)</f>
        <v>0</v>
      </c>
      <c r="O332" s="6">
        <f>IFERROR(__xludf.DUMMYFUNCTION("""COMPUTED_VALUE"""),0.0)</f>
        <v>0</v>
      </c>
      <c r="P332" s="6">
        <f>IFERROR(__xludf.DUMMYFUNCTION("""COMPUTED_VALUE"""),1.0)</f>
        <v>1</v>
      </c>
      <c r="Q332" s="6">
        <f>IFERROR(__xludf.DUMMYFUNCTION("""COMPUTED_VALUE"""),0.0)</f>
        <v>0</v>
      </c>
      <c r="R332" s="6">
        <f>IFERROR(__xludf.DUMMYFUNCTION("""COMPUTED_VALUE"""),1.0)</f>
        <v>1</v>
      </c>
      <c r="S332" s="6">
        <f>IFERROR(__xludf.DUMMYFUNCTION("""COMPUTED_VALUE"""),0.0)</f>
        <v>0</v>
      </c>
      <c r="T332" s="6">
        <f>IFERROR(__xludf.DUMMYFUNCTION("""COMPUTED_VALUE"""),0.0)</f>
        <v>0</v>
      </c>
      <c r="U332" s="6">
        <f>IFERROR(__xludf.DUMMYFUNCTION("""COMPUTED_VALUE"""),0.0)</f>
        <v>0</v>
      </c>
      <c r="V332" s="4">
        <f t="shared" ref="V332:X332" si="331">SUM(D332, G332, J332, M332, P332, S332)</f>
        <v>2</v>
      </c>
      <c r="W332" s="4">
        <f t="shared" si="331"/>
        <v>0</v>
      </c>
      <c r="X332" s="4">
        <f t="shared" si="331"/>
        <v>2</v>
      </c>
    </row>
    <row r="333">
      <c r="A333" s="4" t="str">
        <f>IFERROR(__xludf.DUMMYFUNCTION("""COMPUTED_VALUE"""),"Школа 2065")</f>
        <v>Школа 2065</v>
      </c>
      <c r="B333" s="4" t="str">
        <f t="array" ref="B333">IFERROR(INDEX('Адреса школ'!F:F, MATCH(A333, 'Адреса школ'!E:E, 0)), "")</f>
        <v>55.595511, 37.346802</v>
      </c>
      <c r="C333" s="5" t="str">
        <f t="array" ref="C333">IFERROR(INDEX('Топ-400'!A:A, MATCH(A333, 'Топ-400'!E:E, 0)), "Вне рейтинга")</f>
        <v>92</v>
      </c>
      <c r="D333" s="6">
        <f>IFERROR(__xludf.DUMMYFUNCTION("""COMPUTED_VALUE"""),1.0)</f>
        <v>1</v>
      </c>
      <c r="E333" s="6">
        <f>IFERROR(__xludf.DUMMYFUNCTION("""COMPUTED_VALUE"""),1.0)</f>
        <v>1</v>
      </c>
      <c r="F333" s="6">
        <f>IFERROR(__xludf.DUMMYFUNCTION("""COMPUTED_VALUE"""),1.0)</f>
        <v>1</v>
      </c>
      <c r="G333" s="6">
        <f>IFERROR(__xludf.DUMMYFUNCTION("""COMPUTED_VALUE"""),1.0)</f>
        <v>1</v>
      </c>
      <c r="H333" s="6">
        <f>IFERROR(__xludf.DUMMYFUNCTION("""COMPUTED_VALUE"""),0.0)</f>
        <v>0</v>
      </c>
      <c r="I333" s="6">
        <f>IFERROR(__xludf.DUMMYFUNCTION("""COMPUTED_VALUE"""),1.0)</f>
        <v>1</v>
      </c>
      <c r="J333" s="6">
        <f>IFERROR(__xludf.DUMMYFUNCTION("""COMPUTED_VALUE"""),1.0)</f>
        <v>1</v>
      </c>
      <c r="K333" s="6">
        <f>IFERROR(__xludf.DUMMYFUNCTION("""COMPUTED_VALUE"""),1.0)</f>
        <v>1</v>
      </c>
      <c r="L333" s="6">
        <f>IFERROR(__xludf.DUMMYFUNCTION("""COMPUTED_VALUE"""),1.0)</f>
        <v>1</v>
      </c>
      <c r="M333" s="6">
        <f>IFERROR(__xludf.DUMMYFUNCTION("""COMPUTED_VALUE"""),0.0)</f>
        <v>0</v>
      </c>
      <c r="N333" s="6">
        <f>IFERROR(__xludf.DUMMYFUNCTION("""COMPUTED_VALUE"""),0.0)</f>
        <v>0</v>
      </c>
      <c r="O333" s="6">
        <f>IFERROR(__xludf.DUMMYFUNCTION("""COMPUTED_VALUE"""),0.0)</f>
        <v>0</v>
      </c>
      <c r="P333" s="6">
        <f>IFERROR(__xludf.DUMMYFUNCTION("""COMPUTED_VALUE"""),1.0)</f>
        <v>1</v>
      </c>
      <c r="Q333" s="6">
        <f>IFERROR(__xludf.DUMMYFUNCTION("""COMPUTED_VALUE"""),1.0)</f>
        <v>1</v>
      </c>
      <c r="R333" s="6">
        <f>IFERROR(__xludf.DUMMYFUNCTION("""COMPUTED_VALUE"""),1.0)</f>
        <v>1</v>
      </c>
      <c r="S333" s="6">
        <f>IFERROR(__xludf.DUMMYFUNCTION("""COMPUTED_VALUE"""),0.0)</f>
        <v>0</v>
      </c>
      <c r="T333" s="6">
        <f>IFERROR(__xludf.DUMMYFUNCTION("""COMPUTED_VALUE"""),0.0)</f>
        <v>0</v>
      </c>
      <c r="U333" s="6">
        <f>IFERROR(__xludf.DUMMYFUNCTION("""COMPUTED_VALUE"""),0.0)</f>
        <v>0</v>
      </c>
      <c r="V333" s="4">
        <f t="shared" ref="V333:X333" si="332">SUM(D333, G333, J333, M333, P333, S333)</f>
        <v>4</v>
      </c>
      <c r="W333" s="4">
        <f t="shared" si="332"/>
        <v>3</v>
      </c>
      <c r="X333" s="4">
        <f t="shared" si="332"/>
        <v>4</v>
      </c>
    </row>
    <row r="334">
      <c r="A334" s="4" t="str">
        <f>IFERROR(__xludf.DUMMYFUNCTION("""COMPUTED_VALUE"""),"Школа 2070")</f>
        <v>Школа 2070</v>
      </c>
      <c r="B334" s="4" t="str">
        <f t="array" ref="B334">IFERROR(INDEX('Адреса школ'!F:F, MATCH(A334, 'Адреса школ'!E:E, 0)), "")</f>
        <v>55.571525, 37.481954</v>
      </c>
      <c r="C334" s="5" t="str">
        <f t="array" ref="C334">IFERROR(INDEX('Топ-400'!A:A, MATCH(A334, 'Топ-400'!E:E, 0)), "Вне рейтинга")</f>
        <v>5</v>
      </c>
      <c r="D334" s="6">
        <f>IFERROR(__xludf.DUMMYFUNCTION("""COMPUTED_VALUE"""),1.0)</f>
        <v>1</v>
      </c>
      <c r="E334" s="6">
        <f>IFERROR(__xludf.DUMMYFUNCTION("""COMPUTED_VALUE"""),1.0)</f>
        <v>1</v>
      </c>
      <c r="F334" s="6">
        <f>IFERROR(__xludf.DUMMYFUNCTION("""COMPUTED_VALUE"""),1.0)</f>
        <v>1</v>
      </c>
      <c r="G334" s="6">
        <f>IFERROR(__xludf.DUMMYFUNCTION("""COMPUTED_VALUE"""),1.0)</f>
        <v>1</v>
      </c>
      <c r="H334" s="6">
        <f>IFERROR(__xludf.DUMMYFUNCTION("""COMPUTED_VALUE"""),1.0)</f>
        <v>1</v>
      </c>
      <c r="I334" s="6">
        <f>IFERROR(__xludf.DUMMYFUNCTION("""COMPUTED_VALUE"""),1.0)</f>
        <v>1</v>
      </c>
      <c r="J334" s="6">
        <f>IFERROR(__xludf.DUMMYFUNCTION("""COMPUTED_VALUE"""),1.0)</f>
        <v>1</v>
      </c>
      <c r="K334" s="6">
        <f>IFERROR(__xludf.DUMMYFUNCTION("""COMPUTED_VALUE"""),1.0)</f>
        <v>1</v>
      </c>
      <c r="L334" s="6">
        <f>IFERROR(__xludf.DUMMYFUNCTION("""COMPUTED_VALUE"""),1.0)</f>
        <v>1</v>
      </c>
      <c r="M334" s="6">
        <f>IFERROR(__xludf.DUMMYFUNCTION("""COMPUTED_VALUE"""),1.0)</f>
        <v>1</v>
      </c>
      <c r="N334" s="6">
        <f>IFERROR(__xludf.DUMMYFUNCTION("""COMPUTED_VALUE"""),1.0)</f>
        <v>1</v>
      </c>
      <c r="O334" s="6">
        <f>IFERROR(__xludf.DUMMYFUNCTION("""COMPUTED_VALUE"""),1.0)</f>
        <v>1</v>
      </c>
      <c r="P334" s="6">
        <f>IFERROR(__xludf.DUMMYFUNCTION("""COMPUTED_VALUE"""),1.0)</f>
        <v>1</v>
      </c>
      <c r="Q334" s="6">
        <f>IFERROR(__xludf.DUMMYFUNCTION("""COMPUTED_VALUE"""),1.0)</f>
        <v>1</v>
      </c>
      <c r="R334" s="6">
        <f>IFERROR(__xludf.DUMMYFUNCTION("""COMPUTED_VALUE"""),1.0)</f>
        <v>1</v>
      </c>
      <c r="S334" s="6">
        <f>IFERROR(__xludf.DUMMYFUNCTION("""COMPUTED_VALUE"""),0.0)</f>
        <v>0</v>
      </c>
      <c r="T334" s="6">
        <f>IFERROR(__xludf.DUMMYFUNCTION("""COMPUTED_VALUE"""),0.0)</f>
        <v>0</v>
      </c>
      <c r="U334" s="6">
        <f>IFERROR(__xludf.DUMMYFUNCTION("""COMPUTED_VALUE"""),0.0)</f>
        <v>0</v>
      </c>
      <c r="V334" s="4">
        <f t="shared" ref="V334:X334" si="333">SUM(D334, G334, J334, M334, P334, S334)</f>
        <v>5</v>
      </c>
      <c r="W334" s="4">
        <f t="shared" si="333"/>
        <v>5</v>
      </c>
      <c r="X334" s="4">
        <f t="shared" si="333"/>
        <v>5</v>
      </c>
    </row>
    <row r="335">
      <c r="A335" s="4" t="str">
        <f>IFERROR(__xludf.DUMMYFUNCTION("""COMPUTED_VALUE"""),"Школа 2072")</f>
        <v>Школа 2072</v>
      </c>
      <c r="B335" s="4" t="str">
        <f t="array" ref="B335">IFERROR(INDEX('Адреса школ'!F:F, MATCH(A335, 'Адреса школ'!E:E, 0)), "")</f>
        <v>55.747475, 37.792762</v>
      </c>
      <c r="C335" s="5" t="str">
        <f t="array" ref="C335">IFERROR(INDEX('Топ-400'!A:A, MATCH(A335, 'Топ-400'!E:E, 0)), "Вне рейтинга")</f>
        <v>225</v>
      </c>
      <c r="D335" s="6">
        <f>IFERROR(__xludf.DUMMYFUNCTION("""COMPUTED_VALUE"""),1.0)</f>
        <v>1</v>
      </c>
      <c r="E335" s="6">
        <f>IFERROR(__xludf.DUMMYFUNCTION("""COMPUTED_VALUE"""),1.0)</f>
        <v>1</v>
      </c>
      <c r="F335" s="6">
        <f>IFERROR(__xludf.DUMMYFUNCTION("""COMPUTED_VALUE"""),1.0)</f>
        <v>1</v>
      </c>
      <c r="G335" s="6">
        <f>IFERROR(__xludf.DUMMYFUNCTION("""COMPUTED_VALUE"""),0.0)</f>
        <v>0</v>
      </c>
      <c r="H335" s="6">
        <f>IFERROR(__xludf.DUMMYFUNCTION("""COMPUTED_VALUE"""),0.0)</f>
        <v>0</v>
      </c>
      <c r="I335" s="6">
        <f>IFERROR(__xludf.DUMMYFUNCTION("""COMPUTED_VALUE"""),0.0)</f>
        <v>0</v>
      </c>
      <c r="J335" s="6">
        <f>IFERROR(__xludf.DUMMYFUNCTION("""COMPUTED_VALUE"""),0.0)</f>
        <v>0</v>
      </c>
      <c r="K335" s="6">
        <f>IFERROR(__xludf.DUMMYFUNCTION("""COMPUTED_VALUE"""),0.0)</f>
        <v>0</v>
      </c>
      <c r="L335" s="6">
        <f>IFERROR(__xludf.DUMMYFUNCTION("""COMPUTED_VALUE"""),0.0)</f>
        <v>0</v>
      </c>
      <c r="M335" s="6">
        <f>IFERROR(__xludf.DUMMYFUNCTION("""COMPUTED_VALUE"""),1.0)</f>
        <v>1</v>
      </c>
      <c r="N335" s="6">
        <f>IFERROR(__xludf.DUMMYFUNCTION("""COMPUTED_VALUE"""),0.0)</f>
        <v>0</v>
      </c>
      <c r="O335" s="6">
        <f>IFERROR(__xludf.DUMMYFUNCTION("""COMPUTED_VALUE"""),1.0)</f>
        <v>1</v>
      </c>
      <c r="P335" s="6">
        <f>IFERROR(__xludf.DUMMYFUNCTION("""COMPUTED_VALUE"""),1.0)</f>
        <v>1</v>
      </c>
      <c r="Q335" s="6">
        <f>IFERROR(__xludf.DUMMYFUNCTION("""COMPUTED_VALUE"""),1.0)</f>
        <v>1</v>
      </c>
      <c r="R335" s="6">
        <f>IFERROR(__xludf.DUMMYFUNCTION("""COMPUTED_VALUE"""),0.0)</f>
        <v>0</v>
      </c>
      <c r="S335" s="6">
        <f>IFERROR(__xludf.DUMMYFUNCTION("""COMPUTED_VALUE"""),0.0)</f>
        <v>0</v>
      </c>
      <c r="T335" s="6">
        <f>IFERROR(__xludf.DUMMYFUNCTION("""COMPUTED_VALUE"""),0.0)</f>
        <v>0</v>
      </c>
      <c r="U335" s="6">
        <f>IFERROR(__xludf.DUMMYFUNCTION("""COMPUTED_VALUE"""),0.0)</f>
        <v>0</v>
      </c>
      <c r="V335" s="4">
        <f t="shared" ref="V335:X335" si="334">SUM(D335, G335, J335, M335, P335, S335)</f>
        <v>3</v>
      </c>
      <c r="W335" s="4">
        <f t="shared" si="334"/>
        <v>2</v>
      </c>
      <c r="X335" s="4">
        <f t="shared" si="334"/>
        <v>2</v>
      </c>
    </row>
    <row r="336">
      <c r="A336" s="4" t="str">
        <f>IFERROR(__xludf.DUMMYFUNCTION("""COMPUTED_VALUE"""),"Школа 2073")</f>
        <v>Школа 2073</v>
      </c>
      <c r="B336" s="4" t="str">
        <f t="array" ref="B336">IFERROR(INDEX('Адреса школ'!F:F, MATCH(A336, 'Адреса школ'!E:E, 0)), "")</f>
        <v>55.30251, 37.190459</v>
      </c>
      <c r="C336" s="5" t="str">
        <f t="array" ref="C336">IFERROR(INDEX('Топ-400'!A:A, MATCH(A336, 'Топ-400'!E:E, 0)), "Вне рейтинга")</f>
        <v>274</v>
      </c>
      <c r="D336" s="6">
        <f>IFERROR(__xludf.DUMMYFUNCTION("""COMPUTED_VALUE"""),0.0)</f>
        <v>0</v>
      </c>
      <c r="E336" s="6">
        <f>IFERROR(__xludf.DUMMYFUNCTION("""COMPUTED_VALUE"""),0.0)</f>
        <v>0</v>
      </c>
      <c r="F336" s="6">
        <f>IFERROR(__xludf.DUMMYFUNCTION("""COMPUTED_VALUE"""),0.0)</f>
        <v>0</v>
      </c>
      <c r="G336" s="6">
        <f>IFERROR(__xludf.DUMMYFUNCTION("""COMPUTED_VALUE"""),0.0)</f>
        <v>0</v>
      </c>
      <c r="H336" s="6">
        <f>IFERROR(__xludf.DUMMYFUNCTION("""COMPUTED_VALUE"""),0.0)</f>
        <v>0</v>
      </c>
      <c r="I336" s="6">
        <f>IFERROR(__xludf.DUMMYFUNCTION("""COMPUTED_VALUE"""),0.0)</f>
        <v>0</v>
      </c>
      <c r="J336" s="6">
        <f>IFERROR(__xludf.DUMMYFUNCTION("""COMPUTED_VALUE"""),1.0)</f>
        <v>1</v>
      </c>
      <c r="K336" s="6">
        <f>IFERROR(__xludf.DUMMYFUNCTION("""COMPUTED_VALUE"""),0.0)</f>
        <v>0</v>
      </c>
      <c r="L336" s="6">
        <f>IFERROR(__xludf.DUMMYFUNCTION("""COMPUTED_VALUE"""),1.0)</f>
        <v>1</v>
      </c>
      <c r="M336" s="6">
        <f>IFERROR(__xludf.DUMMYFUNCTION("""COMPUTED_VALUE"""),0.0)</f>
        <v>0</v>
      </c>
      <c r="N336" s="6">
        <f>IFERROR(__xludf.DUMMYFUNCTION("""COMPUTED_VALUE"""),0.0)</f>
        <v>0</v>
      </c>
      <c r="O336" s="6">
        <f>IFERROR(__xludf.DUMMYFUNCTION("""COMPUTED_VALUE"""),0.0)</f>
        <v>0</v>
      </c>
      <c r="P336" s="6">
        <f>IFERROR(__xludf.DUMMYFUNCTION("""COMPUTED_VALUE"""),0.0)</f>
        <v>0</v>
      </c>
      <c r="Q336" s="6">
        <f>IFERROR(__xludf.DUMMYFUNCTION("""COMPUTED_VALUE"""),0.0)</f>
        <v>0</v>
      </c>
      <c r="R336" s="6">
        <f>IFERROR(__xludf.DUMMYFUNCTION("""COMPUTED_VALUE"""),0.0)</f>
        <v>0</v>
      </c>
      <c r="S336" s="6">
        <f>IFERROR(__xludf.DUMMYFUNCTION("""COMPUTED_VALUE"""),0.0)</f>
        <v>0</v>
      </c>
      <c r="T336" s="6">
        <f>IFERROR(__xludf.DUMMYFUNCTION("""COMPUTED_VALUE"""),0.0)</f>
        <v>0</v>
      </c>
      <c r="U336" s="6">
        <f>IFERROR(__xludf.DUMMYFUNCTION("""COMPUTED_VALUE"""),0.0)</f>
        <v>0</v>
      </c>
      <c r="V336" s="4">
        <f t="shared" ref="V336:X336" si="335">SUM(D336, G336, J336, M336, P336, S336)</f>
        <v>1</v>
      </c>
      <c r="W336" s="4">
        <f t="shared" si="335"/>
        <v>0</v>
      </c>
      <c r="X336" s="4">
        <f t="shared" si="335"/>
        <v>1</v>
      </c>
    </row>
    <row r="337">
      <c r="A337" s="4" t="str">
        <f>IFERROR(__xludf.DUMMYFUNCTION("""COMPUTED_VALUE"""),"Школа 2075")</f>
        <v>Школа 2075</v>
      </c>
      <c r="B337" s="4" t="str">
        <f t="array" ref="B337">IFERROR(INDEX('Адреса школ'!F:F, MATCH(A337, 'Адреса школ'!E:E, 0)), "")</f>
        <v>55.4184, 37.410843</v>
      </c>
      <c r="C337" s="5" t="str">
        <f t="array" ref="C337">IFERROR(INDEX('Топ-400'!A:A, MATCH(A337, 'Топ-400'!E:E, 0)), "Вне рейтинга")</f>
        <v>Вне рейтинга</v>
      </c>
      <c r="D337" s="6">
        <f>IFERROR(__xludf.DUMMYFUNCTION("""COMPUTED_VALUE"""),0.0)</f>
        <v>0</v>
      </c>
      <c r="E337" s="6">
        <f>IFERROR(__xludf.DUMMYFUNCTION("""COMPUTED_VALUE"""),0.0)</f>
        <v>0</v>
      </c>
      <c r="F337" s="6">
        <f>IFERROR(__xludf.DUMMYFUNCTION("""COMPUTED_VALUE"""),0.0)</f>
        <v>0</v>
      </c>
      <c r="G337" s="6">
        <f>IFERROR(__xludf.DUMMYFUNCTION("""COMPUTED_VALUE"""),0.0)</f>
        <v>0</v>
      </c>
      <c r="H337" s="6">
        <f>IFERROR(__xludf.DUMMYFUNCTION("""COMPUTED_VALUE"""),0.0)</f>
        <v>0</v>
      </c>
      <c r="I337" s="6">
        <f>IFERROR(__xludf.DUMMYFUNCTION("""COMPUTED_VALUE"""),0.0)</f>
        <v>0</v>
      </c>
      <c r="J337" s="6">
        <f>IFERROR(__xludf.DUMMYFUNCTION("""COMPUTED_VALUE"""),0.0)</f>
        <v>0</v>
      </c>
      <c r="K337" s="6">
        <f>IFERROR(__xludf.DUMMYFUNCTION("""COMPUTED_VALUE"""),1.0)</f>
        <v>1</v>
      </c>
      <c r="L337" s="6">
        <f>IFERROR(__xludf.DUMMYFUNCTION("""COMPUTED_VALUE"""),1.0)</f>
        <v>1</v>
      </c>
      <c r="M337" s="6">
        <f>IFERROR(__xludf.DUMMYFUNCTION("""COMPUTED_VALUE"""),0.0)</f>
        <v>0</v>
      </c>
      <c r="N337" s="6">
        <f>IFERROR(__xludf.DUMMYFUNCTION("""COMPUTED_VALUE"""),0.0)</f>
        <v>0</v>
      </c>
      <c r="O337" s="6">
        <f>IFERROR(__xludf.DUMMYFUNCTION("""COMPUTED_VALUE"""),0.0)</f>
        <v>0</v>
      </c>
      <c r="P337" s="6">
        <f>IFERROR(__xludf.DUMMYFUNCTION("""COMPUTED_VALUE"""),0.0)</f>
        <v>0</v>
      </c>
      <c r="Q337" s="6">
        <f>IFERROR(__xludf.DUMMYFUNCTION("""COMPUTED_VALUE"""),0.0)</f>
        <v>0</v>
      </c>
      <c r="R337" s="6">
        <f>IFERROR(__xludf.DUMMYFUNCTION("""COMPUTED_VALUE"""),0.0)</f>
        <v>0</v>
      </c>
      <c r="S337" s="6">
        <f>IFERROR(__xludf.DUMMYFUNCTION("""COMPUTED_VALUE"""),0.0)</f>
        <v>0</v>
      </c>
      <c r="T337" s="6">
        <f>IFERROR(__xludf.DUMMYFUNCTION("""COMPUTED_VALUE"""),0.0)</f>
        <v>0</v>
      </c>
      <c r="U337" s="6">
        <f>IFERROR(__xludf.DUMMYFUNCTION("""COMPUTED_VALUE"""),0.0)</f>
        <v>0</v>
      </c>
      <c r="V337" s="4">
        <f t="shared" ref="V337:X337" si="336">SUM(D337, G337, J337, M337, P337, S337)</f>
        <v>0</v>
      </c>
      <c r="W337" s="4">
        <f t="shared" si="336"/>
        <v>1</v>
      </c>
      <c r="X337" s="4">
        <f t="shared" si="336"/>
        <v>1</v>
      </c>
    </row>
    <row r="338">
      <c r="A338" s="4" t="str">
        <f>IFERROR(__xludf.DUMMYFUNCTION("""COMPUTED_VALUE"""),"Школа 2083")</f>
        <v>Школа 2083</v>
      </c>
      <c r="B338" s="4" t="str">
        <f t="array" ref="B338">IFERROR(INDEX('Адреса школ'!F:F, MATCH(A338, 'Адреса школ'!E:E, 0)), "")</f>
        <v>55.46926, 37.541</v>
      </c>
      <c r="C338" s="5" t="str">
        <f t="array" ref="C338">IFERROR(INDEX('Топ-400'!A:A, MATCH(A338, 'Топ-400'!E:E, 0)), "Вне рейтинга")</f>
        <v>35</v>
      </c>
      <c r="D338" s="6">
        <f>IFERROR(__xludf.DUMMYFUNCTION("""COMPUTED_VALUE"""),1.0)</f>
        <v>1</v>
      </c>
      <c r="E338" s="6">
        <f>IFERROR(__xludf.DUMMYFUNCTION("""COMPUTED_VALUE"""),1.0)</f>
        <v>1</v>
      </c>
      <c r="F338" s="6">
        <f>IFERROR(__xludf.DUMMYFUNCTION("""COMPUTED_VALUE"""),1.0)</f>
        <v>1</v>
      </c>
      <c r="G338" s="6">
        <f>IFERROR(__xludf.DUMMYFUNCTION("""COMPUTED_VALUE"""),0.0)</f>
        <v>0</v>
      </c>
      <c r="H338" s="6">
        <f>IFERROR(__xludf.DUMMYFUNCTION("""COMPUTED_VALUE"""),0.0)</f>
        <v>0</v>
      </c>
      <c r="I338" s="6">
        <f>IFERROR(__xludf.DUMMYFUNCTION("""COMPUTED_VALUE"""),0.0)</f>
        <v>0</v>
      </c>
      <c r="J338" s="6">
        <f>IFERROR(__xludf.DUMMYFUNCTION("""COMPUTED_VALUE"""),0.0)</f>
        <v>0</v>
      </c>
      <c r="K338" s="6">
        <f>IFERROR(__xludf.DUMMYFUNCTION("""COMPUTED_VALUE"""),0.0)</f>
        <v>0</v>
      </c>
      <c r="L338" s="6">
        <f>IFERROR(__xludf.DUMMYFUNCTION("""COMPUTED_VALUE"""),0.0)</f>
        <v>0</v>
      </c>
      <c r="M338" s="6">
        <f>IFERROR(__xludf.DUMMYFUNCTION("""COMPUTED_VALUE"""),1.0)</f>
        <v>1</v>
      </c>
      <c r="N338" s="6">
        <f>IFERROR(__xludf.DUMMYFUNCTION("""COMPUTED_VALUE"""),0.0)</f>
        <v>0</v>
      </c>
      <c r="O338" s="6">
        <f>IFERROR(__xludf.DUMMYFUNCTION("""COMPUTED_VALUE"""),1.0)</f>
        <v>1</v>
      </c>
      <c r="P338" s="6">
        <f>IFERROR(__xludf.DUMMYFUNCTION("""COMPUTED_VALUE"""),1.0)</f>
        <v>1</v>
      </c>
      <c r="Q338" s="6">
        <f>IFERROR(__xludf.DUMMYFUNCTION("""COMPUTED_VALUE"""),1.0)</f>
        <v>1</v>
      </c>
      <c r="R338" s="6">
        <f>IFERROR(__xludf.DUMMYFUNCTION("""COMPUTED_VALUE"""),1.0)</f>
        <v>1</v>
      </c>
      <c r="S338" s="6">
        <f>IFERROR(__xludf.DUMMYFUNCTION("""COMPUTED_VALUE"""),0.0)</f>
        <v>0</v>
      </c>
      <c r="T338" s="6">
        <f>IFERROR(__xludf.DUMMYFUNCTION("""COMPUTED_VALUE"""),0.0)</f>
        <v>0</v>
      </c>
      <c r="U338" s="6">
        <f>IFERROR(__xludf.DUMMYFUNCTION("""COMPUTED_VALUE"""),0.0)</f>
        <v>0</v>
      </c>
      <c r="V338" s="4">
        <f t="shared" ref="V338:X338" si="337">SUM(D338, G338, J338, M338, P338, S338)</f>
        <v>3</v>
      </c>
      <c r="W338" s="4">
        <f t="shared" si="337"/>
        <v>2</v>
      </c>
      <c r="X338" s="4">
        <f t="shared" si="337"/>
        <v>3</v>
      </c>
    </row>
    <row r="339">
      <c r="A339" s="4" t="str">
        <f>IFERROR(__xludf.DUMMYFUNCTION("""COMPUTED_VALUE"""),"Школа 2086")</f>
        <v>Школа 2086</v>
      </c>
      <c r="B339" s="4" t="str">
        <f t="array" ref="B339">IFERROR(INDEX('Адреса школ'!F:F, MATCH(A339, 'Адреса школ'!E:E, 0)), "")</f>
        <v>55.695804, 37.551349</v>
      </c>
      <c r="C339" s="5" t="str">
        <f t="array" ref="C339">IFERROR(INDEX('Топ-400'!A:A, MATCH(A339, 'Топ-400'!E:E, 0)), "Вне рейтинга")</f>
        <v>152</v>
      </c>
      <c r="D339" s="6">
        <f>IFERROR(__xludf.DUMMYFUNCTION("""COMPUTED_VALUE"""),1.0)</f>
        <v>1</v>
      </c>
      <c r="E339" s="6">
        <f>IFERROR(__xludf.DUMMYFUNCTION("""COMPUTED_VALUE"""),1.0)</f>
        <v>1</v>
      </c>
      <c r="F339" s="6">
        <f>IFERROR(__xludf.DUMMYFUNCTION("""COMPUTED_VALUE"""),1.0)</f>
        <v>1</v>
      </c>
      <c r="G339" s="6">
        <f>IFERROR(__xludf.DUMMYFUNCTION("""COMPUTED_VALUE"""),0.0)</f>
        <v>0</v>
      </c>
      <c r="H339" s="6">
        <f>IFERROR(__xludf.DUMMYFUNCTION("""COMPUTED_VALUE"""),0.0)</f>
        <v>0</v>
      </c>
      <c r="I339" s="6">
        <f>IFERROR(__xludf.DUMMYFUNCTION("""COMPUTED_VALUE"""),0.0)</f>
        <v>0</v>
      </c>
      <c r="J339" s="6">
        <f>IFERROR(__xludf.DUMMYFUNCTION("""COMPUTED_VALUE"""),1.0)</f>
        <v>1</v>
      </c>
      <c r="K339" s="6">
        <f>IFERROR(__xludf.DUMMYFUNCTION("""COMPUTED_VALUE"""),0.0)</f>
        <v>0</v>
      </c>
      <c r="L339" s="6">
        <f>IFERROR(__xludf.DUMMYFUNCTION("""COMPUTED_VALUE"""),1.0)</f>
        <v>1</v>
      </c>
      <c r="M339" s="6">
        <f>IFERROR(__xludf.DUMMYFUNCTION("""COMPUTED_VALUE"""),1.0)</f>
        <v>1</v>
      </c>
      <c r="N339" s="6">
        <f>IFERROR(__xludf.DUMMYFUNCTION("""COMPUTED_VALUE"""),1.0)</f>
        <v>1</v>
      </c>
      <c r="O339" s="6">
        <f>IFERROR(__xludf.DUMMYFUNCTION("""COMPUTED_VALUE"""),1.0)</f>
        <v>1</v>
      </c>
      <c r="P339" s="6">
        <f>IFERROR(__xludf.DUMMYFUNCTION("""COMPUTED_VALUE"""),1.0)</f>
        <v>1</v>
      </c>
      <c r="Q339" s="6">
        <f>IFERROR(__xludf.DUMMYFUNCTION("""COMPUTED_VALUE"""),0.0)</f>
        <v>0</v>
      </c>
      <c r="R339" s="6">
        <f>IFERROR(__xludf.DUMMYFUNCTION("""COMPUTED_VALUE"""),0.0)</f>
        <v>0</v>
      </c>
      <c r="S339" s="6">
        <f>IFERROR(__xludf.DUMMYFUNCTION("""COMPUTED_VALUE"""),0.0)</f>
        <v>0</v>
      </c>
      <c r="T339" s="6">
        <f>IFERROR(__xludf.DUMMYFUNCTION("""COMPUTED_VALUE"""),0.0)</f>
        <v>0</v>
      </c>
      <c r="U339" s="6">
        <f>IFERROR(__xludf.DUMMYFUNCTION("""COMPUTED_VALUE"""),0.0)</f>
        <v>0</v>
      </c>
      <c r="V339" s="4">
        <f t="shared" ref="V339:X339" si="338">SUM(D339, G339, J339, M339, P339, S339)</f>
        <v>4</v>
      </c>
      <c r="W339" s="4">
        <f t="shared" si="338"/>
        <v>2</v>
      </c>
      <c r="X339" s="4">
        <f t="shared" si="338"/>
        <v>3</v>
      </c>
    </row>
    <row r="340">
      <c r="A340" s="4" t="str">
        <f>IFERROR(__xludf.DUMMYFUNCTION("""COMPUTED_VALUE"""),"Школа 2087")</f>
        <v>Школа 2087</v>
      </c>
      <c r="B340" s="4" t="str">
        <f t="array" ref="B340">IFERROR(INDEX('Адреса школ'!F:F, MATCH(A340, 'Адреса школ'!E:E, 0)), "")</f>
        <v>55.651943, 37.735809</v>
      </c>
      <c r="C340" s="5" t="str">
        <f t="array" ref="C340">IFERROR(INDEX('Топ-400'!A:A, MATCH(A340, 'Топ-400'!E:E, 0)), "Вне рейтинга")</f>
        <v>143</v>
      </c>
      <c r="D340" s="6">
        <f>IFERROR(__xludf.DUMMYFUNCTION("""COMPUTED_VALUE"""),1.0)</f>
        <v>1</v>
      </c>
      <c r="E340" s="6">
        <f>IFERROR(__xludf.DUMMYFUNCTION("""COMPUTED_VALUE"""),0.0)</f>
        <v>0</v>
      </c>
      <c r="F340" s="6">
        <f>IFERROR(__xludf.DUMMYFUNCTION("""COMPUTED_VALUE"""),1.0)</f>
        <v>1</v>
      </c>
      <c r="G340" s="6">
        <f>IFERROR(__xludf.DUMMYFUNCTION("""COMPUTED_VALUE"""),1.0)</f>
        <v>1</v>
      </c>
      <c r="H340" s="6">
        <f>IFERROR(__xludf.DUMMYFUNCTION("""COMPUTED_VALUE"""),1.0)</f>
        <v>1</v>
      </c>
      <c r="I340" s="6">
        <f>IFERROR(__xludf.DUMMYFUNCTION("""COMPUTED_VALUE"""),1.0)</f>
        <v>1</v>
      </c>
      <c r="J340" s="6">
        <f>IFERROR(__xludf.DUMMYFUNCTION("""COMPUTED_VALUE"""),0.0)</f>
        <v>0</v>
      </c>
      <c r="K340" s="6">
        <f>IFERROR(__xludf.DUMMYFUNCTION("""COMPUTED_VALUE"""),1.0)</f>
        <v>1</v>
      </c>
      <c r="L340" s="6">
        <f>IFERROR(__xludf.DUMMYFUNCTION("""COMPUTED_VALUE"""),1.0)</f>
        <v>1</v>
      </c>
      <c r="M340" s="6">
        <f>IFERROR(__xludf.DUMMYFUNCTION("""COMPUTED_VALUE"""),1.0)</f>
        <v>1</v>
      </c>
      <c r="N340" s="6">
        <f>IFERROR(__xludf.DUMMYFUNCTION("""COMPUTED_VALUE"""),1.0)</f>
        <v>1</v>
      </c>
      <c r="O340" s="6">
        <f>IFERROR(__xludf.DUMMYFUNCTION("""COMPUTED_VALUE"""),1.0)</f>
        <v>1</v>
      </c>
      <c r="P340" s="6">
        <f>IFERROR(__xludf.DUMMYFUNCTION("""COMPUTED_VALUE"""),1.0)</f>
        <v>1</v>
      </c>
      <c r="Q340" s="6">
        <f>IFERROR(__xludf.DUMMYFUNCTION("""COMPUTED_VALUE"""),1.0)</f>
        <v>1</v>
      </c>
      <c r="R340" s="6">
        <f>IFERROR(__xludf.DUMMYFUNCTION("""COMPUTED_VALUE"""),1.0)</f>
        <v>1</v>
      </c>
      <c r="S340" s="6">
        <f>IFERROR(__xludf.DUMMYFUNCTION("""COMPUTED_VALUE"""),0.0)</f>
        <v>0</v>
      </c>
      <c r="T340" s="6">
        <f>IFERROR(__xludf.DUMMYFUNCTION("""COMPUTED_VALUE"""),0.0)</f>
        <v>0</v>
      </c>
      <c r="U340" s="6">
        <f>IFERROR(__xludf.DUMMYFUNCTION("""COMPUTED_VALUE"""),0.0)</f>
        <v>0</v>
      </c>
      <c r="V340" s="4">
        <f t="shared" ref="V340:X340" si="339">SUM(D340, G340, J340, M340, P340, S340)</f>
        <v>4</v>
      </c>
      <c r="W340" s="4">
        <f t="shared" si="339"/>
        <v>4</v>
      </c>
      <c r="X340" s="4">
        <f t="shared" si="339"/>
        <v>5</v>
      </c>
    </row>
    <row r="341">
      <c r="A341" s="4" t="str">
        <f>IFERROR(__xludf.DUMMYFUNCTION("""COMPUTED_VALUE"""),"Школа 2089")</f>
        <v>Школа 2089</v>
      </c>
      <c r="B341" s="4" t="str">
        <f t="array" ref="B341">IFERROR(INDEX('Адреса школ'!F:F, MATCH(A341, 'Адреса школ'!E:E, 0)), "")</f>
        <v>55.682503, 37.92644</v>
      </c>
      <c r="C341" s="5" t="str">
        <f t="array" ref="C341">IFERROR(INDEX('Топ-400'!A:A, MATCH(A341, 'Топ-400'!E:E, 0)), "Вне рейтинга")</f>
        <v>284</v>
      </c>
      <c r="D341" s="6">
        <f>IFERROR(__xludf.DUMMYFUNCTION("""COMPUTED_VALUE"""),1.0)</f>
        <v>1</v>
      </c>
      <c r="E341" s="6">
        <f>IFERROR(__xludf.DUMMYFUNCTION("""COMPUTED_VALUE"""),1.0)</f>
        <v>1</v>
      </c>
      <c r="F341" s="6">
        <f>IFERROR(__xludf.DUMMYFUNCTION("""COMPUTED_VALUE"""),1.0)</f>
        <v>1</v>
      </c>
      <c r="G341" s="6">
        <f>IFERROR(__xludf.DUMMYFUNCTION("""COMPUTED_VALUE"""),0.0)</f>
        <v>0</v>
      </c>
      <c r="H341" s="6">
        <f>IFERROR(__xludf.DUMMYFUNCTION("""COMPUTED_VALUE"""),0.0)</f>
        <v>0</v>
      </c>
      <c r="I341" s="6">
        <f>IFERROR(__xludf.DUMMYFUNCTION("""COMPUTED_VALUE"""),0.0)</f>
        <v>0</v>
      </c>
      <c r="J341" s="6">
        <f>IFERROR(__xludf.DUMMYFUNCTION("""COMPUTED_VALUE"""),0.0)</f>
        <v>0</v>
      </c>
      <c r="K341" s="6">
        <f>IFERROR(__xludf.DUMMYFUNCTION("""COMPUTED_VALUE"""),0.0)</f>
        <v>0</v>
      </c>
      <c r="L341" s="6">
        <f>IFERROR(__xludf.DUMMYFUNCTION("""COMPUTED_VALUE"""),0.0)</f>
        <v>0</v>
      </c>
      <c r="M341" s="6">
        <f>IFERROR(__xludf.DUMMYFUNCTION("""COMPUTED_VALUE"""),0.0)</f>
        <v>0</v>
      </c>
      <c r="N341" s="6">
        <f>IFERROR(__xludf.DUMMYFUNCTION("""COMPUTED_VALUE"""),0.0)</f>
        <v>0</v>
      </c>
      <c r="O341" s="6">
        <f>IFERROR(__xludf.DUMMYFUNCTION("""COMPUTED_VALUE"""),1.0)</f>
        <v>1</v>
      </c>
      <c r="P341" s="6">
        <f>IFERROR(__xludf.DUMMYFUNCTION("""COMPUTED_VALUE"""),0.0)</f>
        <v>0</v>
      </c>
      <c r="Q341" s="6">
        <f>IFERROR(__xludf.DUMMYFUNCTION("""COMPUTED_VALUE"""),0.0)</f>
        <v>0</v>
      </c>
      <c r="R341" s="6">
        <f>IFERROR(__xludf.DUMMYFUNCTION("""COMPUTED_VALUE"""),0.0)</f>
        <v>0</v>
      </c>
      <c r="S341" s="6">
        <f>IFERROR(__xludf.DUMMYFUNCTION("""COMPUTED_VALUE"""),0.0)</f>
        <v>0</v>
      </c>
      <c r="T341" s="6">
        <f>IFERROR(__xludf.DUMMYFUNCTION("""COMPUTED_VALUE"""),0.0)</f>
        <v>0</v>
      </c>
      <c r="U341" s="6">
        <f>IFERROR(__xludf.DUMMYFUNCTION("""COMPUTED_VALUE"""),0.0)</f>
        <v>0</v>
      </c>
      <c r="V341" s="4">
        <f t="shared" ref="V341:X341" si="340">SUM(D341, G341, J341, M341, P341, S341)</f>
        <v>1</v>
      </c>
      <c r="W341" s="4">
        <f t="shared" si="340"/>
        <v>1</v>
      </c>
      <c r="X341" s="4">
        <f t="shared" si="340"/>
        <v>2</v>
      </c>
    </row>
    <row r="342">
      <c r="A342" s="4" t="str">
        <f>IFERROR(__xludf.DUMMYFUNCTION("""COMPUTED_VALUE"""),"Школа 2090")</f>
        <v>Школа 2090</v>
      </c>
      <c r="B342" s="4" t="str">
        <f t="array" ref="B342">IFERROR(INDEX('Адреса школ'!F:F, MATCH(A342, 'Адреса школ'!E:E, 0)), "")</f>
        <v>55.714389, 37.792411</v>
      </c>
      <c r="C342" s="5" t="str">
        <f t="array" ref="C342">IFERROR(INDEX('Топ-400'!A:A, MATCH(A342, 'Топ-400'!E:E, 0)), "Вне рейтинга")</f>
        <v>376</v>
      </c>
      <c r="D342" s="6">
        <f>IFERROR(__xludf.DUMMYFUNCTION("""COMPUTED_VALUE"""),0.0)</f>
        <v>0</v>
      </c>
      <c r="E342" s="6">
        <f>IFERROR(__xludf.DUMMYFUNCTION("""COMPUTED_VALUE"""),1.0)</f>
        <v>1</v>
      </c>
      <c r="F342" s="6">
        <f>IFERROR(__xludf.DUMMYFUNCTION("""COMPUTED_VALUE"""),1.0)</f>
        <v>1</v>
      </c>
      <c r="G342" s="6">
        <f>IFERROR(__xludf.DUMMYFUNCTION("""COMPUTED_VALUE"""),0.0)</f>
        <v>0</v>
      </c>
      <c r="H342" s="6">
        <f>IFERROR(__xludf.DUMMYFUNCTION("""COMPUTED_VALUE"""),0.0)</f>
        <v>0</v>
      </c>
      <c r="I342" s="6">
        <f>IFERROR(__xludf.DUMMYFUNCTION("""COMPUTED_VALUE"""),0.0)</f>
        <v>0</v>
      </c>
      <c r="J342" s="6">
        <f>IFERROR(__xludf.DUMMYFUNCTION("""COMPUTED_VALUE"""),0.0)</f>
        <v>0</v>
      </c>
      <c r="K342" s="6">
        <f>IFERROR(__xludf.DUMMYFUNCTION("""COMPUTED_VALUE"""),0.0)</f>
        <v>0</v>
      </c>
      <c r="L342" s="6">
        <f>IFERROR(__xludf.DUMMYFUNCTION("""COMPUTED_VALUE"""),0.0)</f>
        <v>0</v>
      </c>
      <c r="M342" s="6">
        <f>IFERROR(__xludf.DUMMYFUNCTION("""COMPUTED_VALUE"""),0.0)</f>
        <v>0</v>
      </c>
      <c r="N342" s="6">
        <f>IFERROR(__xludf.DUMMYFUNCTION("""COMPUTED_VALUE"""),0.0)</f>
        <v>0</v>
      </c>
      <c r="O342" s="6">
        <f>IFERROR(__xludf.DUMMYFUNCTION("""COMPUTED_VALUE"""),0.0)</f>
        <v>0</v>
      </c>
      <c r="P342" s="6">
        <f>IFERROR(__xludf.DUMMYFUNCTION("""COMPUTED_VALUE"""),0.0)</f>
        <v>0</v>
      </c>
      <c r="Q342" s="6">
        <f>IFERROR(__xludf.DUMMYFUNCTION("""COMPUTED_VALUE"""),0.0)</f>
        <v>0</v>
      </c>
      <c r="R342" s="6">
        <f>IFERROR(__xludf.DUMMYFUNCTION("""COMPUTED_VALUE"""),0.0)</f>
        <v>0</v>
      </c>
      <c r="S342" s="6">
        <f>IFERROR(__xludf.DUMMYFUNCTION("""COMPUTED_VALUE"""),0.0)</f>
        <v>0</v>
      </c>
      <c r="T342" s="6">
        <f>IFERROR(__xludf.DUMMYFUNCTION("""COMPUTED_VALUE"""),0.0)</f>
        <v>0</v>
      </c>
      <c r="U342" s="6">
        <f>IFERROR(__xludf.DUMMYFUNCTION("""COMPUTED_VALUE"""),0.0)</f>
        <v>0</v>
      </c>
      <c r="V342" s="4">
        <f t="shared" ref="V342:X342" si="341">SUM(D342, G342, J342, M342, P342, S342)</f>
        <v>0</v>
      </c>
      <c r="W342" s="4">
        <f t="shared" si="341"/>
        <v>1</v>
      </c>
      <c r="X342" s="4">
        <f t="shared" si="341"/>
        <v>1</v>
      </c>
    </row>
    <row r="343">
      <c r="A343" s="4" t="str">
        <f>IFERROR(__xludf.DUMMYFUNCTION("""COMPUTED_VALUE"""),"Школа 2094")</f>
        <v>Школа 2094</v>
      </c>
      <c r="B343" s="4" t="str">
        <f t="array" ref="B343">IFERROR(INDEX('Адреса школ'!F:F, MATCH(A343, 'Адреса школ'!E:E, 0)), "")</f>
        <v>55.620581, 37.476429</v>
      </c>
      <c r="C343" s="5" t="str">
        <f t="array" ref="C343">IFERROR(INDEX('Топ-400'!A:A, MATCH(A343, 'Топ-400'!E:E, 0)), "Вне рейтинга")</f>
        <v>244</v>
      </c>
      <c r="D343" s="6">
        <f>IFERROR(__xludf.DUMMYFUNCTION("""COMPUTED_VALUE"""),0.0)</f>
        <v>0</v>
      </c>
      <c r="E343" s="6">
        <f>IFERROR(__xludf.DUMMYFUNCTION("""COMPUTED_VALUE"""),0.0)</f>
        <v>0</v>
      </c>
      <c r="F343" s="6">
        <f>IFERROR(__xludf.DUMMYFUNCTION("""COMPUTED_VALUE"""),1.0)</f>
        <v>1</v>
      </c>
      <c r="G343" s="6">
        <f>IFERROR(__xludf.DUMMYFUNCTION("""COMPUTED_VALUE"""),0.0)</f>
        <v>0</v>
      </c>
      <c r="H343" s="6">
        <f>IFERROR(__xludf.DUMMYFUNCTION("""COMPUTED_VALUE"""),0.0)</f>
        <v>0</v>
      </c>
      <c r="I343" s="6">
        <f>IFERROR(__xludf.DUMMYFUNCTION("""COMPUTED_VALUE"""),1.0)</f>
        <v>1</v>
      </c>
      <c r="J343" s="6">
        <f>IFERROR(__xludf.DUMMYFUNCTION("""COMPUTED_VALUE"""),1.0)</f>
        <v>1</v>
      </c>
      <c r="K343" s="6">
        <f>IFERROR(__xludf.DUMMYFUNCTION("""COMPUTED_VALUE"""),1.0)</f>
        <v>1</v>
      </c>
      <c r="L343" s="6">
        <f>IFERROR(__xludf.DUMMYFUNCTION("""COMPUTED_VALUE"""),1.0)</f>
        <v>1</v>
      </c>
      <c r="M343" s="6">
        <f>IFERROR(__xludf.DUMMYFUNCTION("""COMPUTED_VALUE"""),0.0)</f>
        <v>0</v>
      </c>
      <c r="N343" s="6">
        <f>IFERROR(__xludf.DUMMYFUNCTION("""COMPUTED_VALUE"""),0.0)</f>
        <v>0</v>
      </c>
      <c r="O343" s="6">
        <f>IFERROR(__xludf.DUMMYFUNCTION("""COMPUTED_VALUE"""),1.0)</f>
        <v>1</v>
      </c>
      <c r="P343" s="6">
        <f>IFERROR(__xludf.DUMMYFUNCTION("""COMPUTED_VALUE"""),0.0)</f>
        <v>0</v>
      </c>
      <c r="Q343" s="6">
        <f>IFERROR(__xludf.DUMMYFUNCTION("""COMPUTED_VALUE"""),1.0)</f>
        <v>1</v>
      </c>
      <c r="R343" s="6">
        <f>IFERROR(__xludf.DUMMYFUNCTION("""COMPUTED_VALUE"""),1.0)</f>
        <v>1</v>
      </c>
      <c r="S343" s="6">
        <f>IFERROR(__xludf.DUMMYFUNCTION("""COMPUTED_VALUE"""),0.0)</f>
        <v>0</v>
      </c>
      <c r="T343" s="6">
        <f>IFERROR(__xludf.DUMMYFUNCTION("""COMPUTED_VALUE"""),0.0)</f>
        <v>0</v>
      </c>
      <c r="U343" s="6">
        <f>IFERROR(__xludf.DUMMYFUNCTION("""COMPUTED_VALUE"""),0.0)</f>
        <v>0</v>
      </c>
      <c r="V343" s="4">
        <f t="shared" ref="V343:X343" si="342">SUM(D343, G343, J343, M343, P343, S343)</f>
        <v>1</v>
      </c>
      <c r="W343" s="4">
        <f t="shared" si="342"/>
        <v>2</v>
      </c>
      <c r="X343" s="4">
        <f t="shared" si="342"/>
        <v>5</v>
      </c>
    </row>
    <row r="344">
      <c r="A344" s="4" t="str">
        <f>IFERROR(__xludf.DUMMYFUNCTION("""COMPUTED_VALUE"""),"Школа 2097")</f>
        <v>Школа 2097</v>
      </c>
      <c r="B344" s="4" t="str">
        <f t="array" ref="B344">IFERROR(INDEX('Адреса школ'!F:F, MATCH(A344, 'Адреса школ'!E:E, 0)), "")</f>
        <v>55.846866, 37.430328</v>
      </c>
      <c r="C344" s="5" t="str">
        <f t="array" ref="C344">IFERROR(INDEX('Топ-400'!A:A, MATCH(A344, 'Топ-400'!E:E, 0)), "Вне рейтинга")</f>
        <v>123</v>
      </c>
      <c r="D344" s="6">
        <f>IFERROR(__xludf.DUMMYFUNCTION("""COMPUTED_VALUE"""),1.0)</f>
        <v>1</v>
      </c>
      <c r="E344" s="6">
        <f>IFERROR(__xludf.DUMMYFUNCTION("""COMPUTED_VALUE"""),0.0)</f>
        <v>0</v>
      </c>
      <c r="F344" s="6">
        <f>IFERROR(__xludf.DUMMYFUNCTION("""COMPUTED_VALUE"""),1.0)</f>
        <v>1</v>
      </c>
      <c r="G344" s="6">
        <f>IFERROR(__xludf.DUMMYFUNCTION("""COMPUTED_VALUE"""),1.0)</f>
        <v>1</v>
      </c>
      <c r="H344" s="6">
        <f>IFERROR(__xludf.DUMMYFUNCTION("""COMPUTED_VALUE"""),1.0)</f>
        <v>1</v>
      </c>
      <c r="I344" s="6">
        <f>IFERROR(__xludf.DUMMYFUNCTION("""COMPUTED_VALUE"""),1.0)</f>
        <v>1</v>
      </c>
      <c r="J344" s="6">
        <f>IFERROR(__xludf.DUMMYFUNCTION("""COMPUTED_VALUE"""),1.0)</f>
        <v>1</v>
      </c>
      <c r="K344" s="6">
        <f>IFERROR(__xludf.DUMMYFUNCTION("""COMPUTED_VALUE"""),1.0)</f>
        <v>1</v>
      </c>
      <c r="L344" s="6">
        <f>IFERROR(__xludf.DUMMYFUNCTION("""COMPUTED_VALUE"""),1.0)</f>
        <v>1</v>
      </c>
      <c r="M344" s="6">
        <f>IFERROR(__xludf.DUMMYFUNCTION("""COMPUTED_VALUE"""),1.0)</f>
        <v>1</v>
      </c>
      <c r="N344" s="6">
        <f>IFERROR(__xludf.DUMMYFUNCTION("""COMPUTED_VALUE"""),1.0)</f>
        <v>1</v>
      </c>
      <c r="O344" s="6">
        <f>IFERROR(__xludf.DUMMYFUNCTION("""COMPUTED_VALUE"""),1.0)</f>
        <v>1</v>
      </c>
      <c r="P344" s="6">
        <f>IFERROR(__xludf.DUMMYFUNCTION("""COMPUTED_VALUE"""),1.0)</f>
        <v>1</v>
      </c>
      <c r="Q344" s="6">
        <f>IFERROR(__xludf.DUMMYFUNCTION("""COMPUTED_VALUE"""),1.0)</f>
        <v>1</v>
      </c>
      <c r="R344" s="6">
        <f>IFERROR(__xludf.DUMMYFUNCTION("""COMPUTED_VALUE"""),1.0)</f>
        <v>1</v>
      </c>
      <c r="S344" s="6">
        <f>IFERROR(__xludf.DUMMYFUNCTION("""COMPUTED_VALUE"""),0.0)</f>
        <v>0</v>
      </c>
      <c r="T344" s="6">
        <f>IFERROR(__xludf.DUMMYFUNCTION("""COMPUTED_VALUE"""),0.0)</f>
        <v>0</v>
      </c>
      <c r="U344" s="6">
        <f>IFERROR(__xludf.DUMMYFUNCTION("""COMPUTED_VALUE"""),0.0)</f>
        <v>0</v>
      </c>
      <c r="V344" s="4">
        <f t="shared" ref="V344:X344" si="343">SUM(D344, G344, J344, M344, P344, S344)</f>
        <v>5</v>
      </c>
      <c r="W344" s="4">
        <f t="shared" si="343"/>
        <v>4</v>
      </c>
      <c r="X344" s="4">
        <f t="shared" si="343"/>
        <v>5</v>
      </c>
    </row>
    <row r="345">
      <c r="A345" s="4" t="str">
        <f>IFERROR(__xludf.DUMMYFUNCTION("""COMPUTED_VALUE"""),"Школа 2098")</f>
        <v>Школа 2098</v>
      </c>
      <c r="B345" s="4" t="str">
        <f t="array" ref="B345">IFERROR(INDEX('Адреса школ'!F:F, MATCH(A345, 'Адреса школ'!E:E, 0)), "")</f>
        <v>55.87437, 37.519234</v>
      </c>
      <c r="C345" s="5" t="str">
        <f t="array" ref="C345">IFERROR(INDEX('Топ-400'!A:A, MATCH(A345, 'Топ-400'!E:E, 0)), "Вне рейтинга")</f>
        <v>38</v>
      </c>
      <c r="D345" s="6">
        <f>IFERROR(__xludf.DUMMYFUNCTION("""COMPUTED_VALUE"""),1.0)</f>
        <v>1</v>
      </c>
      <c r="E345" s="6">
        <f>IFERROR(__xludf.DUMMYFUNCTION("""COMPUTED_VALUE"""),0.0)</f>
        <v>0</v>
      </c>
      <c r="F345" s="6">
        <f>IFERROR(__xludf.DUMMYFUNCTION("""COMPUTED_VALUE"""),1.0)</f>
        <v>1</v>
      </c>
      <c r="G345" s="6">
        <f>IFERROR(__xludf.DUMMYFUNCTION("""COMPUTED_VALUE"""),1.0)</f>
        <v>1</v>
      </c>
      <c r="H345" s="6">
        <f>IFERROR(__xludf.DUMMYFUNCTION("""COMPUTED_VALUE"""),1.0)</f>
        <v>1</v>
      </c>
      <c r="I345" s="6">
        <f>IFERROR(__xludf.DUMMYFUNCTION("""COMPUTED_VALUE"""),1.0)</f>
        <v>1</v>
      </c>
      <c r="J345" s="6">
        <f>IFERROR(__xludf.DUMMYFUNCTION("""COMPUTED_VALUE"""),1.0)</f>
        <v>1</v>
      </c>
      <c r="K345" s="6">
        <f>IFERROR(__xludf.DUMMYFUNCTION("""COMPUTED_VALUE"""),1.0)</f>
        <v>1</v>
      </c>
      <c r="L345" s="6">
        <f>IFERROR(__xludf.DUMMYFUNCTION("""COMPUTED_VALUE"""),1.0)</f>
        <v>1</v>
      </c>
      <c r="M345" s="6">
        <f>IFERROR(__xludf.DUMMYFUNCTION("""COMPUTED_VALUE"""),1.0)</f>
        <v>1</v>
      </c>
      <c r="N345" s="6">
        <f>IFERROR(__xludf.DUMMYFUNCTION("""COMPUTED_VALUE"""),1.0)</f>
        <v>1</v>
      </c>
      <c r="O345" s="6">
        <f>IFERROR(__xludf.DUMMYFUNCTION("""COMPUTED_VALUE"""),1.0)</f>
        <v>1</v>
      </c>
      <c r="P345" s="6">
        <f>IFERROR(__xludf.DUMMYFUNCTION("""COMPUTED_VALUE"""),1.0)</f>
        <v>1</v>
      </c>
      <c r="Q345" s="6">
        <f>IFERROR(__xludf.DUMMYFUNCTION("""COMPUTED_VALUE"""),1.0)</f>
        <v>1</v>
      </c>
      <c r="R345" s="6">
        <f>IFERROR(__xludf.DUMMYFUNCTION("""COMPUTED_VALUE"""),1.0)</f>
        <v>1</v>
      </c>
      <c r="S345" s="6">
        <f>IFERROR(__xludf.DUMMYFUNCTION("""COMPUTED_VALUE"""),0.0)</f>
        <v>0</v>
      </c>
      <c r="T345" s="6">
        <f>IFERROR(__xludf.DUMMYFUNCTION("""COMPUTED_VALUE"""),0.0)</f>
        <v>0</v>
      </c>
      <c r="U345" s="6">
        <f>IFERROR(__xludf.DUMMYFUNCTION("""COMPUTED_VALUE"""),0.0)</f>
        <v>0</v>
      </c>
      <c r="V345" s="4">
        <f t="shared" ref="V345:X345" si="344">SUM(D345, G345, J345, M345, P345, S345)</f>
        <v>5</v>
      </c>
      <c r="W345" s="4">
        <f t="shared" si="344"/>
        <v>4</v>
      </c>
      <c r="X345" s="4">
        <f t="shared" si="344"/>
        <v>5</v>
      </c>
    </row>
    <row r="346">
      <c r="A346" s="4" t="str">
        <f>IFERROR(__xludf.DUMMYFUNCTION("""COMPUTED_VALUE"""),"Школа 2100")</f>
        <v>Школа 2100</v>
      </c>
      <c r="B346" s="4" t="str">
        <f t="array" ref="B346">IFERROR(INDEX('Адреса школ'!F:F, MATCH(A346, 'Адреса школ'!E:E, 0)), "")</f>
        <v>55.867359, 37.534316</v>
      </c>
      <c r="C346" s="5" t="str">
        <f t="array" ref="C346">IFERROR(INDEX('Топ-400'!A:A, MATCH(A346, 'Топ-400'!E:E, 0)), "Вне рейтинга")</f>
        <v>248</v>
      </c>
      <c r="D346" s="6">
        <f>IFERROR(__xludf.DUMMYFUNCTION("""COMPUTED_VALUE"""),0.0)</f>
        <v>0</v>
      </c>
      <c r="E346" s="6">
        <f>IFERROR(__xludf.DUMMYFUNCTION("""COMPUTED_VALUE"""),0.0)</f>
        <v>0</v>
      </c>
      <c r="F346" s="6">
        <f>IFERROR(__xludf.DUMMYFUNCTION("""COMPUTED_VALUE"""),0.0)</f>
        <v>0</v>
      </c>
      <c r="G346" s="6">
        <f>IFERROR(__xludf.DUMMYFUNCTION("""COMPUTED_VALUE"""),0.0)</f>
        <v>0</v>
      </c>
      <c r="H346" s="6">
        <f>IFERROR(__xludf.DUMMYFUNCTION("""COMPUTED_VALUE"""),0.0)</f>
        <v>0</v>
      </c>
      <c r="I346" s="6">
        <f>IFERROR(__xludf.DUMMYFUNCTION("""COMPUTED_VALUE"""),0.0)</f>
        <v>0</v>
      </c>
      <c r="J346" s="6">
        <f>IFERROR(__xludf.DUMMYFUNCTION("""COMPUTED_VALUE"""),0.0)</f>
        <v>0</v>
      </c>
      <c r="K346" s="6">
        <f>IFERROR(__xludf.DUMMYFUNCTION("""COMPUTED_VALUE"""),0.0)</f>
        <v>0</v>
      </c>
      <c r="L346" s="6">
        <f>IFERROR(__xludf.DUMMYFUNCTION("""COMPUTED_VALUE"""),0.0)</f>
        <v>0</v>
      </c>
      <c r="M346" s="6">
        <f>IFERROR(__xludf.DUMMYFUNCTION("""COMPUTED_VALUE"""),0.0)</f>
        <v>0</v>
      </c>
      <c r="N346" s="6">
        <f>IFERROR(__xludf.DUMMYFUNCTION("""COMPUTED_VALUE"""),0.0)</f>
        <v>0</v>
      </c>
      <c r="O346" s="6">
        <f>IFERROR(__xludf.DUMMYFUNCTION("""COMPUTED_VALUE"""),0.0)</f>
        <v>0</v>
      </c>
      <c r="P346" s="6">
        <f>IFERROR(__xludf.DUMMYFUNCTION("""COMPUTED_VALUE"""),1.0)</f>
        <v>1</v>
      </c>
      <c r="Q346" s="6">
        <f>IFERROR(__xludf.DUMMYFUNCTION("""COMPUTED_VALUE"""),1.0)</f>
        <v>1</v>
      </c>
      <c r="R346" s="6">
        <f>IFERROR(__xludf.DUMMYFUNCTION("""COMPUTED_VALUE"""),1.0)</f>
        <v>1</v>
      </c>
      <c r="S346" s="6">
        <f>IFERROR(__xludf.DUMMYFUNCTION("""COMPUTED_VALUE"""),0.0)</f>
        <v>0</v>
      </c>
      <c r="T346" s="6">
        <f>IFERROR(__xludf.DUMMYFUNCTION("""COMPUTED_VALUE"""),0.0)</f>
        <v>0</v>
      </c>
      <c r="U346" s="6">
        <f>IFERROR(__xludf.DUMMYFUNCTION("""COMPUTED_VALUE"""),0.0)</f>
        <v>0</v>
      </c>
      <c r="V346" s="4">
        <f t="shared" ref="V346:X346" si="345">SUM(D346, G346, J346, M346, P346, S346)</f>
        <v>1</v>
      </c>
      <c r="W346" s="4">
        <f t="shared" si="345"/>
        <v>1</v>
      </c>
      <c r="X346" s="4">
        <f t="shared" si="345"/>
        <v>1</v>
      </c>
    </row>
    <row r="347">
      <c r="A347" s="4" t="str">
        <f>IFERROR(__xludf.DUMMYFUNCTION("""COMPUTED_VALUE"""),"Школа 2101")</f>
        <v>Школа 2101</v>
      </c>
      <c r="B347" s="4" t="str">
        <f t="array" ref="B347">IFERROR(INDEX('Адреса школ'!F:F, MATCH(A347, 'Адреса школ'!E:E, 0)), "")</f>
        <v>55.736366, 37.462604</v>
      </c>
      <c r="C347" s="5" t="str">
        <f t="array" ref="C347">IFERROR(INDEX('Топ-400'!A:A, MATCH(A347, 'Топ-400'!E:E, 0)), "Вне рейтинга")</f>
        <v>89</v>
      </c>
      <c r="D347" s="6">
        <f>IFERROR(__xludf.DUMMYFUNCTION("""COMPUTED_VALUE"""),1.0)</f>
        <v>1</v>
      </c>
      <c r="E347" s="6">
        <f>IFERROR(__xludf.DUMMYFUNCTION("""COMPUTED_VALUE"""),0.0)</f>
        <v>0</v>
      </c>
      <c r="F347" s="6">
        <f>IFERROR(__xludf.DUMMYFUNCTION("""COMPUTED_VALUE"""),1.0)</f>
        <v>1</v>
      </c>
      <c r="G347" s="6">
        <f>IFERROR(__xludf.DUMMYFUNCTION("""COMPUTED_VALUE"""),1.0)</f>
        <v>1</v>
      </c>
      <c r="H347" s="6">
        <f>IFERROR(__xludf.DUMMYFUNCTION("""COMPUTED_VALUE"""),0.0)</f>
        <v>0</v>
      </c>
      <c r="I347" s="6">
        <f>IFERROR(__xludf.DUMMYFUNCTION("""COMPUTED_VALUE"""),0.0)</f>
        <v>0</v>
      </c>
      <c r="J347" s="6">
        <f>IFERROR(__xludf.DUMMYFUNCTION("""COMPUTED_VALUE"""),0.0)</f>
        <v>0</v>
      </c>
      <c r="K347" s="6">
        <f>IFERROR(__xludf.DUMMYFUNCTION("""COMPUTED_VALUE"""),0.0)</f>
        <v>0</v>
      </c>
      <c r="L347" s="6">
        <f>IFERROR(__xludf.DUMMYFUNCTION("""COMPUTED_VALUE"""),0.0)</f>
        <v>0</v>
      </c>
      <c r="M347" s="6">
        <f>IFERROR(__xludf.DUMMYFUNCTION("""COMPUTED_VALUE"""),1.0)</f>
        <v>1</v>
      </c>
      <c r="N347" s="6">
        <f>IFERROR(__xludf.DUMMYFUNCTION("""COMPUTED_VALUE"""),1.0)</f>
        <v>1</v>
      </c>
      <c r="O347" s="6">
        <f>IFERROR(__xludf.DUMMYFUNCTION("""COMPUTED_VALUE"""),1.0)</f>
        <v>1</v>
      </c>
      <c r="P347" s="6">
        <f>IFERROR(__xludf.DUMMYFUNCTION("""COMPUTED_VALUE"""),1.0)</f>
        <v>1</v>
      </c>
      <c r="Q347" s="6">
        <f>IFERROR(__xludf.DUMMYFUNCTION("""COMPUTED_VALUE"""),1.0)</f>
        <v>1</v>
      </c>
      <c r="R347" s="6">
        <f>IFERROR(__xludf.DUMMYFUNCTION("""COMPUTED_VALUE"""),0.0)</f>
        <v>0</v>
      </c>
      <c r="S347" s="6">
        <f>IFERROR(__xludf.DUMMYFUNCTION("""COMPUTED_VALUE"""),0.0)</f>
        <v>0</v>
      </c>
      <c r="T347" s="6">
        <f>IFERROR(__xludf.DUMMYFUNCTION("""COMPUTED_VALUE"""),0.0)</f>
        <v>0</v>
      </c>
      <c r="U347" s="6">
        <f>IFERROR(__xludf.DUMMYFUNCTION("""COMPUTED_VALUE"""),0.0)</f>
        <v>0</v>
      </c>
      <c r="V347" s="4">
        <f t="shared" ref="V347:X347" si="346">SUM(D347, G347, J347, M347, P347, S347)</f>
        <v>4</v>
      </c>
      <c r="W347" s="4">
        <f t="shared" si="346"/>
        <v>2</v>
      </c>
      <c r="X347" s="4">
        <f t="shared" si="346"/>
        <v>2</v>
      </c>
    </row>
    <row r="348">
      <c r="A348" s="4" t="str">
        <f>IFERROR(__xludf.DUMMYFUNCTION("""COMPUTED_VALUE"""),"Школа 2103")</f>
        <v>Школа 2103</v>
      </c>
      <c r="B348" s="4" t="str">
        <f t="array" ref="B348">IFERROR(INDEX('Адреса школ'!F:F, MATCH(A348, 'Адреса школ'!E:E, 0)), "")</f>
        <v>55.602963, 37.517473</v>
      </c>
      <c r="C348" s="5" t="str">
        <f t="array" ref="C348">IFERROR(INDEX('Топ-400'!A:A, MATCH(A348, 'Топ-400'!E:E, 0)), "Вне рейтинга")</f>
        <v>293</v>
      </c>
      <c r="D348" s="6">
        <f>IFERROR(__xludf.DUMMYFUNCTION("""COMPUTED_VALUE"""),0.0)</f>
        <v>0</v>
      </c>
      <c r="E348" s="6">
        <f>IFERROR(__xludf.DUMMYFUNCTION("""COMPUTED_VALUE"""),0.0)</f>
        <v>0</v>
      </c>
      <c r="F348" s="6">
        <f>IFERROR(__xludf.DUMMYFUNCTION("""COMPUTED_VALUE"""),0.0)</f>
        <v>0</v>
      </c>
      <c r="G348" s="6">
        <f>IFERROR(__xludf.DUMMYFUNCTION("""COMPUTED_VALUE"""),0.0)</f>
        <v>0</v>
      </c>
      <c r="H348" s="6">
        <f>IFERROR(__xludf.DUMMYFUNCTION("""COMPUTED_VALUE"""),0.0)</f>
        <v>0</v>
      </c>
      <c r="I348" s="6">
        <f>IFERROR(__xludf.DUMMYFUNCTION("""COMPUTED_VALUE"""),0.0)</f>
        <v>0</v>
      </c>
      <c r="J348" s="6">
        <f>IFERROR(__xludf.DUMMYFUNCTION("""COMPUTED_VALUE"""),1.0)</f>
        <v>1</v>
      </c>
      <c r="K348" s="6">
        <f>IFERROR(__xludf.DUMMYFUNCTION("""COMPUTED_VALUE"""),1.0)</f>
        <v>1</v>
      </c>
      <c r="L348" s="6">
        <f>IFERROR(__xludf.DUMMYFUNCTION("""COMPUTED_VALUE"""),1.0)</f>
        <v>1</v>
      </c>
      <c r="M348" s="6">
        <f>IFERROR(__xludf.DUMMYFUNCTION("""COMPUTED_VALUE"""),0.0)</f>
        <v>0</v>
      </c>
      <c r="N348" s="6">
        <f>IFERROR(__xludf.DUMMYFUNCTION("""COMPUTED_VALUE"""),0.0)</f>
        <v>0</v>
      </c>
      <c r="O348" s="6">
        <f>IFERROR(__xludf.DUMMYFUNCTION("""COMPUTED_VALUE"""),1.0)</f>
        <v>1</v>
      </c>
      <c r="P348" s="6">
        <f>IFERROR(__xludf.DUMMYFUNCTION("""COMPUTED_VALUE"""),1.0)</f>
        <v>1</v>
      </c>
      <c r="Q348" s="6">
        <f>IFERROR(__xludf.DUMMYFUNCTION("""COMPUTED_VALUE"""),0.0)</f>
        <v>0</v>
      </c>
      <c r="R348" s="6">
        <f>IFERROR(__xludf.DUMMYFUNCTION("""COMPUTED_VALUE"""),0.0)</f>
        <v>0</v>
      </c>
      <c r="S348" s="6">
        <f>IFERROR(__xludf.DUMMYFUNCTION("""COMPUTED_VALUE"""),0.0)</f>
        <v>0</v>
      </c>
      <c r="T348" s="6">
        <f>IFERROR(__xludf.DUMMYFUNCTION("""COMPUTED_VALUE"""),0.0)</f>
        <v>0</v>
      </c>
      <c r="U348" s="6">
        <f>IFERROR(__xludf.DUMMYFUNCTION("""COMPUTED_VALUE"""),0.0)</f>
        <v>0</v>
      </c>
      <c r="V348" s="4">
        <f t="shared" ref="V348:X348" si="347">SUM(D348, G348, J348, M348, P348, S348)</f>
        <v>2</v>
      </c>
      <c r="W348" s="4">
        <f t="shared" si="347"/>
        <v>1</v>
      </c>
      <c r="X348" s="4">
        <f t="shared" si="347"/>
        <v>2</v>
      </c>
    </row>
    <row r="349">
      <c r="A349" s="4" t="str">
        <f>IFERROR(__xludf.DUMMYFUNCTION("""COMPUTED_VALUE"""),"Школа 2104")</f>
        <v>Школа 2104</v>
      </c>
      <c r="B349" s="4" t="str">
        <f t="array" ref="B349">IFERROR(INDEX('Адреса школ'!F:F, MATCH(A349, 'Адреса школ'!E:E, 0)), "")</f>
        <v>55.743613, 37.646354</v>
      </c>
      <c r="C349" s="5" t="str">
        <f t="array" ref="C349">IFERROR(INDEX('Топ-400'!A:A, MATCH(A349, 'Топ-400'!E:E, 0)), "Вне рейтинга")</f>
        <v>201</v>
      </c>
      <c r="D349" s="6">
        <f>IFERROR(__xludf.DUMMYFUNCTION("""COMPUTED_VALUE"""),0.0)</f>
        <v>0</v>
      </c>
      <c r="E349" s="6">
        <f>IFERROR(__xludf.DUMMYFUNCTION("""COMPUTED_VALUE"""),0.0)</f>
        <v>0</v>
      </c>
      <c r="F349" s="6">
        <f>IFERROR(__xludf.DUMMYFUNCTION("""COMPUTED_VALUE"""),0.0)</f>
        <v>0</v>
      </c>
      <c r="G349" s="6">
        <f>IFERROR(__xludf.DUMMYFUNCTION("""COMPUTED_VALUE"""),0.0)</f>
        <v>0</v>
      </c>
      <c r="H349" s="6">
        <f>IFERROR(__xludf.DUMMYFUNCTION("""COMPUTED_VALUE"""),0.0)</f>
        <v>0</v>
      </c>
      <c r="I349" s="6">
        <f>IFERROR(__xludf.DUMMYFUNCTION("""COMPUTED_VALUE"""),0.0)</f>
        <v>0</v>
      </c>
      <c r="J349" s="6">
        <f>IFERROR(__xludf.DUMMYFUNCTION("""COMPUTED_VALUE"""),0.0)</f>
        <v>0</v>
      </c>
      <c r="K349" s="6">
        <f>IFERROR(__xludf.DUMMYFUNCTION("""COMPUTED_VALUE"""),0.0)</f>
        <v>0</v>
      </c>
      <c r="L349" s="6">
        <f>IFERROR(__xludf.DUMMYFUNCTION("""COMPUTED_VALUE"""),0.0)</f>
        <v>0</v>
      </c>
      <c r="M349" s="6">
        <f>IFERROR(__xludf.DUMMYFUNCTION("""COMPUTED_VALUE"""),1.0)</f>
        <v>1</v>
      </c>
      <c r="N349" s="6">
        <f>IFERROR(__xludf.DUMMYFUNCTION("""COMPUTED_VALUE"""),1.0)</f>
        <v>1</v>
      </c>
      <c r="O349" s="6">
        <f>IFERROR(__xludf.DUMMYFUNCTION("""COMPUTED_VALUE"""),1.0)</f>
        <v>1</v>
      </c>
      <c r="P349" s="6">
        <f>IFERROR(__xludf.DUMMYFUNCTION("""COMPUTED_VALUE"""),0.0)</f>
        <v>0</v>
      </c>
      <c r="Q349" s="6">
        <f>IFERROR(__xludf.DUMMYFUNCTION("""COMPUTED_VALUE"""),0.0)</f>
        <v>0</v>
      </c>
      <c r="R349" s="6">
        <f>IFERROR(__xludf.DUMMYFUNCTION("""COMPUTED_VALUE"""),0.0)</f>
        <v>0</v>
      </c>
      <c r="S349" s="6">
        <f>IFERROR(__xludf.DUMMYFUNCTION("""COMPUTED_VALUE"""),0.0)</f>
        <v>0</v>
      </c>
      <c r="T349" s="6">
        <f>IFERROR(__xludf.DUMMYFUNCTION("""COMPUTED_VALUE"""),0.0)</f>
        <v>0</v>
      </c>
      <c r="U349" s="6">
        <f>IFERROR(__xludf.DUMMYFUNCTION("""COMPUTED_VALUE"""),0.0)</f>
        <v>0</v>
      </c>
      <c r="V349" s="4">
        <f t="shared" ref="V349:X349" si="348">SUM(D349, G349, J349, M349, P349, S349)</f>
        <v>1</v>
      </c>
      <c r="W349" s="4">
        <f t="shared" si="348"/>
        <v>1</v>
      </c>
      <c r="X349" s="4">
        <f t="shared" si="348"/>
        <v>1</v>
      </c>
    </row>
    <row r="350">
      <c r="A350" s="4" t="str">
        <f>IFERROR(__xludf.DUMMYFUNCTION("""COMPUTED_VALUE"""),"Школа 2107")</f>
        <v>Школа 2107</v>
      </c>
      <c r="B350" s="4" t="str">
        <f t="array" ref="B350">IFERROR(INDEX('Адреса школ'!F:F, MATCH(A350, 'Адреса школ'!E:E, 0)), "")</f>
        <v>55.777499, 37.629996</v>
      </c>
      <c r="C350" s="5" t="str">
        <f t="array" ref="C350">IFERROR(INDEX('Топ-400'!A:A, MATCH(A350, 'Топ-400'!E:E, 0)), "Вне рейтинга")</f>
        <v>54</v>
      </c>
      <c r="D350" s="6">
        <f>IFERROR(__xludf.DUMMYFUNCTION("""COMPUTED_VALUE"""),1.0)</f>
        <v>1</v>
      </c>
      <c r="E350" s="6">
        <f>IFERROR(__xludf.DUMMYFUNCTION("""COMPUTED_VALUE"""),1.0)</f>
        <v>1</v>
      </c>
      <c r="F350" s="6">
        <f>IFERROR(__xludf.DUMMYFUNCTION("""COMPUTED_VALUE"""),1.0)</f>
        <v>1</v>
      </c>
      <c r="G350" s="6">
        <f>IFERROR(__xludf.DUMMYFUNCTION("""COMPUTED_VALUE"""),1.0)</f>
        <v>1</v>
      </c>
      <c r="H350" s="6">
        <f>IFERROR(__xludf.DUMMYFUNCTION("""COMPUTED_VALUE"""),0.0)</f>
        <v>0</v>
      </c>
      <c r="I350" s="6">
        <f>IFERROR(__xludf.DUMMYFUNCTION("""COMPUTED_VALUE"""),1.0)</f>
        <v>1</v>
      </c>
      <c r="J350" s="6">
        <f>IFERROR(__xludf.DUMMYFUNCTION("""COMPUTED_VALUE"""),1.0)</f>
        <v>1</v>
      </c>
      <c r="K350" s="6">
        <f>IFERROR(__xludf.DUMMYFUNCTION("""COMPUTED_VALUE"""),1.0)</f>
        <v>1</v>
      </c>
      <c r="L350" s="6">
        <f>IFERROR(__xludf.DUMMYFUNCTION("""COMPUTED_VALUE"""),1.0)</f>
        <v>1</v>
      </c>
      <c r="M350" s="6">
        <f>IFERROR(__xludf.DUMMYFUNCTION("""COMPUTED_VALUE"""),1.0)</f>
        <v>1</v>
      </c>
      <c r="N350" s="6">
        <f>IFERROR(__xludf.DUMMYFUNCTION("""COMPUTED_VALUE"""),1.0)</f>
        <v>1</v>
      </c>
      <c r="O350" s="6">
        <f>IFERROR(__xludf.DUMMYFUNCTION("""COMPUTED_VALUE"""),1.0)</f>
        <v>1</v>
      </c>
      <c r="P350" s="6">
        <f>IFERROR(__xludf.DUMMYFUNCTION("""COMPUTED_VALUE"""),1.0)</f>
        <v>1</v>
      </c>
      <c r="Q350" s="6">
        <f>IFERROR(__xludf.DUMMYFUNCTION("""COMPUTED_VALUE"""),0.0)</f>
        <v>0</v>
      </c>
      <c r="R350" s="6">
        <f>IFERROR(__xludf.DUMMYFUNCTION("""COMPUTED_VALUE"""),1.0)</f>
        <v>1</v>
      </c>
      <c r="S350" s="6">
        <f>IFERROR(__xludf.DUMMYFUNCTION("""COMPUTED_VALUE"""),0.0)</f>
        <v>0</v>
      </c>
      <c r="T350" s="6">
        <f>IFERROR(__xludf.DUMMYFUNCTION("""COMPUTED_VALUE"""),1.0)</f>
        <v>1</v>
      </c>
      <c r="U350" s="6">
        <f>IFERROR(__xludf.DUMMYFUNCTION("""COMPUTED_VALUE"""),1.0)</f>
        <v>1</v>
      </c>
      <c r="V350" s="4">
        <f t="shared" ref="V350:X350" si="349">SUM(D350, G350, J350, M350, P350, S350)</f>
        <v>5</v>
      </c>
      <c r="W350" s="4">
        <f t="shared" si="349"/>
        <v>4</v>
      </c>
      <c r="X350" s="4">
        <f t="shared" si="349"/>
        <v>6</v>
      </c>
    </row>
    <row r="351">
      <c r="A351" s="4" t="str">
        <f>IFERROR(__xludf.DUMMYFUNCTION("""COMPUTED_VALUE"""),"Школа 2109")</f>
        <v>Школа 2109</v>
      </c>
      <c r="B351" s="4" t="str">
        <f t="array" ref="B351">IFERROR(INDEX('Адреса школ'!F:F, MATCH(A351, 'Адреса школ'!E:E, 0)), "")</f>
        <v>55.50338, 37.57899</v>
      </c>
      <c r="C351" s="5" t="str">
        <f t="array" ref="C351">IFERROR(INDEX('Топ-400'!A:A, MATCH(A351, 'Топ-400'!E:E, 0)), "Вне рейтинга")</f>
        <v>246</v>
      </c>
      <c r="D351" s="6">
        <f>IFERROR(__xludf.DUMMYFUNCTION("""COMPUTED_VALUE"""),1.0)</f>
        <v>1</v>
      </c>
      <c r="E351" s="6">
        <f>IFERROR(__xludf.DUMMYFUNCTION("""COMPUTED_VALUE"""),1.0)</f>
        <v>1</v>
      </c>
      <c r="F351" s="6">
        <f>IFERROR(__xludf.DUMMYFUNCTION("""COMPUTED_VALUE"""),1.0)</f>
        <v>1</v>
      </c>
      <c r="G351" s="6">
        <f>IFERROR(__xludf.DUMMYFUNCTION("""COMPUTED_VALUE"""),0.0)</f>
        <v>0</v>
      </c>
      <c r="H351" s="6">
        <f>IFERROR(__xludf.DUMMYFUNCTION("""COMPUTED_VALUE"""),0.0)</f>
        <v>0</v>
      </c>
      <c r="I351" s="6">
        <f>IFERROR(__xludf.DUMMYFUNCTION("""COMPUTED_VALUE"""),0.0)</f>
        <v>0</v>
      </c>
      <c r="J351" s="6">
        <f>IFERROR(__xludf.DUMMYFUNCTION("""COMPUTED_VALUE"""),1.0)</f>
        <v>1</v>
      </c>
      <c r="K351" s="6">
        <f>IFERROR(__xludf.DUMMYFUNCTION("""COMPUTED_VALUE"""),1.0)</f>
        <v>1</v>
      </c>
      <c r="L351" s="6">
        <f>IFERROR(__xludf.DUMMYFUNCTION("""COMPUTED_VALUE"""),1.0)</f>
        <v>1</v>
      </c>
      <c r="M351" s="6">
        <f>IFERROR(__xludf.DUMMYFUNCTION("""COMPUTED_VALUE"""),0.0)</f>
        <v>0</v>
      </c>
      <c r="N351" s="6">
        <f>IFERROR(__xludf.DUMMYFUNCTION("""COMPUTED_VALUE"""),0.0)</f>
        <v>0</v>
      </c>
      <c r="O351" s="6">
        <f>IFERROR(__xludf.DUMMYFUNCTION("""COMPUTED_VALUE"""),0.0)</f>
        <v>0</v>
      </c>
      <c r="P351" s="6">
        <f>IFERROR(__xludf.DUMMYFUNCTION("""COMPUTED_VALUE"""),0.0)</f>
        <v>0</v>
      </c>
      <c r="Q351" s="6">
        <f>IFERROR(__xludf.DUMMYFUNCTION("""COMPUTED_VALUE"""),0.0)</f>
        <v>0</v>
      </c>
      <c r="R351" s="6">
        <f>IFERROR(__xludf.DUMMYFUNCTION("""COMPUTED_VALUE"""),0.0)</f>
        <v>0</v>
      </c>
      <c r="S351" s="6">
        <f>IFERROR(__xludf.DUMMYFUNCTION("""COMPUTED_VALUE"""),0.0)</f>
        <v>0</v>
      </c>
      <c r="T351" s="6">
        <f>IFERROR(__xludf.DUMMYFUNCTION("""COMPUTED_VALUE"""),0.0)</f>
        <v>0</v>
      </c>
      <c r="U351" s="6">
        <f>IFERROR(__xludf.DUMMYFUNCTION("""COMPUTED_VALUE"""),0.0)</f>
        <v>0</v>
      </c>
      <c r="V351" s="4">
        <f t="shared" ref="V351:X351" si="350">SUM(D351, G351, J351, M351, P351, S351)</f>
        <v>2</v>
      </c>
      <c r="W351" s="4">
        <f t="shared" si="350"/>
        <v>2</v>
      </c>
      <c r="X351" s="4">
        <f t="shared" si="350"/>
        <v>2</v>
      </c>
    </row>
    <row r="352">
      <c r="A352" s="4" t="str">
        <f>IFERROR(__xludf.DUMMYFUNCTION("""COMPUTED_VALUE"""),"Школа 2114")</f>
        <v>Школа 2114</v>
      </c>
      <c r="B352" s="4" t="str">
        <f t="array" ref="B352">IFERROR(INDEX('Адреса школ'!F:F, MATCH(A352, 'Адреса школ'!E:E, 0)), "")</f>
        <v>55.565376, 37.570608</v>
      </c>
      <c r="C352" s="5" t="str">
        <f t="array" ref="C352">IFERROR(INDEX('Топ-400'!A:A, MATCH(A352, 'Топ-400'!E:E, 0)), "Вне рейтинга")</f>
        <v>156</v>
      </c>
      <c r="D352" s="6">
        <f>IFERROR(__xludf.DUMMYFUNCTION("""COMPUTED_VALUE"""),1.0)</f>
        <v>1</v>
      </c>
      <c r="E352" s="6">
        <f>IFERROR(__xludf.DUMMYFUNCTION("""COMPUTED_VALUE"""),1.0)</f>
        <v>1</v>
      </c>
      <c r="F352" s="6">
        <f>IFERROR(__xludf.DUMMYFUNCTION("""COMPUTED_VALUE"""),1.0)</f>
        <v>1</v>
      </c>
      <c r="G352" s="6">
        <f>IFERROR(__xludf.DUMMYFUNCTION("""COMPUTED_VALUE"""),0.0)</f>
        <v>0</v>
      </c>
      <c r="H352" s="6">
        <f>IFERROR(__xludf.DUMMYFUNCTION("""COMPUTED_VALUE"""),0.0)</f>
        <v>0</v>
      </c>
      <c r="I352" s="6">
        <f>IFERROR(__xludf.DUMMYFUNCTION("""COMPUTED_VALUE"""),0.0)</f>
        <v>0</v>
      </c>
      <c r="J352" s="6">
        <f>IFERROR(__xludf.DUMMYFUNCTION("""COMPUTED_VALUE"""),1.0)</f>
        <v>1</v>
      </c>
      <c r="K352" s="6">
        <f>IFERROR(__xludf.DUMMYFUNCTION("""COMPUTED_VALUE"""),1.0)</f>
        <v>1</v>
      </c>
      <c r="L352" s="6">
        <f>IFERROR(__xludf.DUMMYFUNCTION("""COMPUTED_VALUE"""),1.0)</f>
        <v>1</v>
      </c>
      <c r="M352" s="6">
        <f>IFERROR(__xludf.DUMMYFUNCTION("""COMPUTED_VALUE"""),1.0)</f>
        <v>1</v>
      </c>
      <c r="N352" s="6">
        <f>IFERROR(__xludf.DUMMYFUNCTION("""COMPUTED_VALUE"""),1.0)</f>
        <v>1</v>
      </c>
      <c r="O352" s="6">
        <f>IFERROR(__xludf.DUMMYFUNCTION("""COMPUTED_VALUE"""),1.0)</f>
        <v>1</v>
      </c>
      <c r="P352" s="6">
        <f>IFERROR(__xludf.DUMMYFUNCTION("""COMPUTED_VALUE"""),0.0)</f>
        <v>0</v>
      </c>
      <c r="Q352" s="6">
        <f>IFERROR(__xludf.DUMMYFUNCTION("""COMPUTED_VALUE"""),0.0)</f>
        <v>0</v>
      </c>
      <c r="R352" s="6">
        <f>IFERROR(__xludf.DUMMYFUNCTION("""COMPUTED_VALUE"""),0.0)</f>
        <v>0</v>
      </c>
      <c r="S352" s="6">
        <f>IFERROR(__xludf.DUMMYFUNCTION("""COMPUTED_VALUE"""),0.0)</f>
        <v>0</v>
      </c>
      <c r="T352" s="6">
        <f>IFERROR(__xludf.DUMMYFUNCTION("""COMPUTED_VALUE"""),0.0)</f>
        <v>0</v>
      </c>
      <c r="U352" s="6">
        <f>IFERROR(__xludf.DUMMYFUNCTION("""COMPUTED_VALUE"""),0.0)</f>
        <v>0</v>
      </c>
      <c r="V352" s="4">
        <f t="shared" ref="V352:X352" si="351">SUM(D352, G352, J352, M352, P352, S352)</f>
        <v>3</v>
      </c>
      <c r="W352" s="4">
        <f t="shared" si="351"/>
        <v>3</v>
      </c>
      <c r="X352" s="4">
        <f t="shared" si="351"/>
        <v>3</v>
      </c>
    </row>
    <row r="353">
      <c r="A353" s="4" t="str">
        <f>IFERROR(__xludf.DUMMYFUNCTION("""COMPUTED_VALUE"""),"Школа 2115")</f>
        <v>Школа 2115</v>
      </c>
      <c r="B353" s="4" t="str">
        <f t="array" ref="B353">IFERROR(INDEX('Адреса школ'!F:F, MATCH(A353, 'Адреса школ'!E:E, 0)), "")</f>
        <v>55.6693, 37.576007</v>
      </c>
      <c r="C353" s="5" t="str">
        <f t="array" ref="C353">IFERROR(INDEX('Топ-400'!A:A, MATCH(A353, 'Топ-400'!E:E, 0)), "Вне рейтинга")</f>
        <v>287</v>
      </c>
      <c r="D353" s="6">
        <f>IFERROR(__xludf.DUMMYFUNCTION("""COMPUTED_VALUE"""),1.0)</f>
        <v>1</v>
      </c>
      <c r="E353" s="6">
        <f>IFERROR(__xludf.DUMMYFUNCTION("""COMPUTED_VALUE"""),1.0)</f>
        <v>1</v>
      </c>
      <c r="F353" s="6">
        <f>IFERROR(__xludf.DUMMYFUNCTION("""COMPUTED_VALUE"""),1.0)</f>
        <v>1</v>
      </c>
      <c r="G353" s="6">
        <f>IFERROR(__xludf.DUMMYFUNCTION("""COMPUTED_VALUE"""),0.0)</f>
        <v>0</v>
      </c>
      <c r="H353" s="6">
        <f>IFERROR(__xludf.DUMMYFUNCTION("""COMPUTED_VALUE"""),0.0)</f>
        <v>0</v>
      </c>
      <c r="I353" s="6">
        <f>IFERROR(__xludf.DUMMYFUNCTION("""COMPUTED_VALUE"""),0.0)</f>
        <v>0</v>
      </c>
      <c r="J353" s="6">
        <f>IFERROR(__xludf.DUMMYFUNCTION("""COMPUTED_VALUE"""),0.0)</f>
        <v>0</v>
      </c>
      <c r="K353" s="6">
        <f>IFERROR(__xludf.DUMMYFUNCTION("""COMPUTED_VALUE"""),0.0)</f>
        <v>0</v>
      </c>
      <c r="L353" s="6">
        <f>IFERROR(__xludf.DUMMYFUNCTION("""COMPUTED_VALUE"""),0.0)</f>
        <v>0</v>
      </c>
      <c r="M353" s="6">
        <f>IFERROR(__xludf.DUMMYFUNCTION("""COMPUTED_VALUE"""),1.0)</f>
        <v>1</v>
      </c>
      <c r="N353" s="6">
        <f>IFERROR(__xludf.DUMMYFUNCTION("""COMPUTED_VALUE"""),0.0)</f>
        <v>0</v>
      </c>
      <c r="O353" s="6">
        <f>IFERROR(__xludf.DUMMYFUNCTION("""COMPUTED_VALUE"""),0.0)</f>
        <v>0</v>
      </c>
      <c r="P353" s="6">
        <f>IFERROR(__xludf.DUMMYFUNCTION("""COMPUTED_VALUE"""),0.0)</f>
        <v>0</v>
      </c>
      <c r="Q353" s="6">
        <f>IFERROR(__xludf.DUMMYFUNCTION("""COMPUTED_VALUE"""),0.0)</f>
        <v>0</v>
      </c>
      <c r="R353" s="6">
        <f>IFERROR(__xludf.DUMMYFUNCTION("""COMPUTED_VALUE"""),0.0)</f>
        <v>0</v>
      </c>
      <c r="S353" s="6">
        <f>IFERROR(__xludf.DUMMYFUNCTION("""COMPUTED_VALUE"""),0.0)</f>
        <v>0</v>
      </c>
      <c r="T353" s="6">
        <f>IFERROR(__xludf.DUMMYFUNCTION("""COMPUTED_VALUE"""),0.0)</f>
        <v>0</v>
      </c>
      <c r="U353" s="6">
        <f>IFERROR(__xludf.DUMMYFUNCTION("""COMPUTED_VALUE"""),0.0)</f>
        <v>0</v>
      </c>
      <c r="V353" s="4">
        <f t="shared" ref="V353:X353" si="352">SUM(D353, G353, J353, M353, P353, S353)</f>
        <v>2</v>
      </c>
      <c r="W353" s="4">
        <f t="shared" si="352"/>
        <v>1</v>
      </c>
      <c r="X353" s="4">
        <f t="shared" si="352"/>
        <v>1</v>
      </c>
    </row>
    <row r="354">
      <c r="A354" s="4" t="str">
        <f>IFERROR(__xludf.DUMMYFUNCTION("""COMPUTED_VALUE"""),"Школа 2116")</f>
        <v>Школа 2116</v>
      </c>
      <c r="B354" s="4" t="str">
        <f t="array" ref="B354">IFERROR(INDEX('Адреса школ'!F:F, MATCH(A354, 'Адреса школ'!E:E, 0)), "")</f>
        <v>55.620337, 37.754979</v>
      </c>
      <c r="C354" s="5" t="str">
        <f t="array" ref="C354">IFERROR(INDEX('Топ-400'!A:A, MATCH(A354, 'Топ-400'!E:E, 0)), "Вне рейтинга")</f>
        <v>214</v>
      </c>
      <c r="D354" s="6">
        <f>IFERROR(__xludf.DUMMYFUNCTION("""COMPUTED_VALUE"""),1.0)</f>
        <v>1</v>
      </c>
      <c r="E354" s="6">
        <f>IFERROR(__xludf.DUMMYFUNCTION("""COMPUTED_VALUE"""),1.0)</f>
        <v>1</v>
      </c>
      <c r="F354" s="6">
        <f>IFERROR(__xludf.DUMMYFUNCTION("""COMPUTED_VALUE"""),1.0)</f>
        <v>1</v>
      </c>
      <c r="G354" s="6">
        <f>IFERROR(__xludf.DUMMYFUNCTION("""COMPUTED_VALUE"""),0.0)</f>
        <v>0</v>
      </c>
      <c r="H354" s="6">
        <f>IFERROR(__xludf.DUMMYFUNCTION("""COMPUTED_VALUE"""),0.0)</f>
        <v>0</v>
      </c>
      <c r="I354" s="6">
        <f>IFERROR(__xludf.DUMMYFUNCTION("""COMPUTED_VALUE"""),0.0)</f>
        <v>0</v>
      </c>
      <c r="J354" s="6">
        <f>IFERROR(__xludf.DUMMYFUNCTION("""COMPUTED_VALUE"""),0.0)</f>
        <v>0</v>
      </c>
      <c r="K354" s="6">
        <f>IFERROR(__xludf.DUMMYFUNCTION("""COMPUTED_VALUE"""),0.0)</f>
        <v>0</v>
      </c>
      <c r="L354" s="6">
        <f>IFERROR(__xludf.DUMMYFUNCTION("""COMPUTED_VALUE"""),0.0)</f>
        <v>0</v>
      </c>
      <c r="M354" s="6">
        <f>IFERROR(__xludf.DUMMYFUNCTION("""COMPUTED_VALUE"""),0.0)</f>
        <v>0</v>
      </c>
      <c r="N354" s="6">
        <f>IFERROR(__xludf.DUMMYFUNCTION("""COMPUTED_VALUE"""),0.0)</f>
        <v>0</v>
      </c>
      <c r="O354" s="6">
        <f>IFERROR(__xludf.DUMMYFUNCTION("""COMPUTED_VALUE"""),0.0)</f>
        <v>0</v>
      </c>
      <c r="P354" s="6">
        <f>IFERROR(__xludf.DUMMYFUNCTION("""COMPUTED_VALUE"""),0.0)</f>
        <v>0</v>
      </c>
      <c r="Q354" s="6">
        <f>IFERROR(__xludf.DUMMYFUNCTION("""COMPUTED_VALUE"""),0.0)</f>
        <v>0</v>
      </c>
      <c r="R354" s="6">
        <f>IFERROR(__xludf.DUMMYFUNCTION("""COMPUTED_VALUE"""),0.0)</f>
        <v>0</v>
      </c>
      <c r="S354" s="6">
        <f>IFERROR(__xludf.DUMMYFUNCTION("""COMPUTED_VALUE"""),0.0)</f>
        <v>0</v>
      </c>
      <c r="T354" s="6">
        <f>IFERROR(__xludf.DUMMYFUNCTION("""COMPUTED_VALUE"""),0.0)</f>
        <v>0</v>
      </c>
      <c r="U354" s="6">
        <f>IFERROR(__xludf.DUMMYFUNCTION("""COMPUTED_VALUE"""),0.0)</f>
        <v>0</v>
      </c>
      <c r="V354" s="4">
        <f t="shared" ref="V354:X354" si="353">SUM(D354, G354, J354, M354, P354, S354)</f>
        <v>1</v>
      </c>
      <c r="W354" s="4">
        <f t="shared" si="353"/>
        <v>1</v>
      </c>
      <c r="X354" s="4">
        <f t="shared" si="353"/>
        <v>1</v>
      </c>
    </row>
    <row r="355">
      <c r="A355" s="4" t="str">
        <f>IFERROR(__xludf.DUMMYFUNCTION("""COMPUTED_VALUE"""),"Школа 2117")</f>
        <v>Школа 2117</v>
      </c>
      <c r="B355" s="4" t="str">
        <f t="array" ref="B355">IFERROR(INDEX('Адреса школ'!F:F, MATCH(A355, 'Адреса школ'!E:E, 0)), "")</f>
        <v>55.511776, 37.57006</v>
      </c>
      <c r="C355" s="5" t="str">
        <f t="array" ref="C355">IFERROR(INDEX('Топ-400'!A:A, MATCH(A355, 'Топ-400'!E:E, 0)), "Вне рейтинга")</f>
        <v>185</v>
      </c>
      <c r="D355" s="6">
        <f>IFERROR(__xludf.DUMMYFUNCTION("""COMPUTED_VALUE"""),1.0)</f>
        <v>1</v>
      </c>
      <c r="E355" s="6">
        <f>IFERROR(__xludf.DUMMYFUNCTION("""COMPUTED_VALUE"""),1.0)</f>
        <v>1</v>
      </c>
      <c r="F355" s="6">
        <f>IFERROR(__xludf.DUMMYFUNCTION("""COMPUTED_VALUE"""),1.0)</f>
        <v>1</v>
      </c>
      <c r="G355" s="6">
        <f>IFERROR(__xludf.DUMMYFUNCTION("""COMPUTED_VALUE"""),0.0)</f>
        <v>0</v>
      </c>
      <c r="H355" s="6">
        <f>IFERROR(__xludf.DUMMYFUNCTION("""COMPUTED_VALUE"""),0.0)</f>
        <v>0</v>
      </c>
      <c r="I355" s="6">
        <f>IFERROR(__xludf.DUMMYFUNCTION("""COMPUTED_VALUE"""),1.0)</f>
        <v>1</v>
      </c>
      <c r="J355" s="6">
        <f>IFERROR(__xludf.DUMMYFUNCTION("""COMPUTED_VALUE"""),0.0)</f>
        <v>0</v>
      </c>
      <c r="K355" s="6">
        <f>IFERROR(__xludf.DUMMYFUNCTION("""COMPUTED_VALUE"""),0.0)</f>
        <v>0</v>
      </c>
      <c r="L355" s="6">
        <f>IFERROR(__xludf.DUMMYFUNCTION("""COMPUTED_VALUE"""),1.0)</f>
        <v>1</v>
      </c>
      <c r="M355" s="6">
        <f>IFERROR(__xludf.DUMMYFUNCTION("""COMPUTED_VALUE"""),1.0)</f>
        <v>1</v>
      </c>
      <c r="N355" s="6">
        <f>IFERROR(__xludf.DUMMYFUNCTION("""COMPUTED_VALUE"""),0.0)</f>
        <v>0</v>
      </c>
      <c r="O355" s="6">
        <f>IFERROR(__xludf.DUMMYFUNCTION("""COMPUTED_VALUE"""),1.0)</f>
        <v>1</v>
      </c>
      <c r="P355" s="6">
        <f>IFERROR(__xludf.DUMMYFUNCTION("""COMPUTED_VALUE"""),0.0)</f>
        <v>0</v>
      </c>
      <c r="Q355" s="6">
        <f>IFERROR(__xludf.DUMMYFUNCTION("""COMPUTED_VALUE"""),0.0)</f>
        <v>0</v>
      </c>
      <c r="R355" s="6">
        <f>IFERROR(__xludf.DUMMYFUNCTION("""COMPUTED_VALUE"""),0.0)</f>
        <v>0</v>
      </c>
      <c r="S355" s="6">
        <f>IFERROR(__xludf.DUMMYFUNCTION("""COMPUTED_VALUE"""),0.0)</f>
        <v>0</v>
      </c>
      <c r="T355" s="6">
        <f>IFERROR(__xludf.DUMMYFUNCTION("""COMPUTED_VALUE"""),0.0)</f>
        <v>0</v>
      </c>
      <c r="U355" s="6">
        <f>IFERROR(__xludf.DUMMYFUNCTION("""COMPUTED_VALUE"""),0.0)</f>
        <v>0</v>
      </c>
      <c r="V355" s="4">
        <f t="shared" ref="V355:X355" si="354">SUM(D355, G355, J355, M355, P355, S355)</f>
        <v>2</v>
      </c>
      <c r="W355" s="4">
        <f t="shared" si="354"/>
        <v>1</v>
      </c>
      <c r="X355" s="4">
        <f t="shared" si="354"/>
        <v>4</v>
      </c>
    </row>
    <row r="356">
      <c r="A356" s="4" t="str">
        <f>IFERROR(__xludf.DUMMYFUNCTION("""COMPUTED_VALUE"""),"Школа 2120")</f>
        <v>Школа 2120</v>
      </c>
      <c r="B356" s="4" t="str">
        <f t="array" ref="B356">IFERROR(INDEX('Адреса школ'!F:F, MATCH(A356, 'Адреса школ'!E:E, 0)), "")</f>
        <v>55.600781, 37.360295</v>
      </c>
      <c r="C356" s="5" t="str">
        <f t="array" ref="C356">IFERROR(INDEX('Топ-400'!A:A, MATCH(A356, 'Топ-400'!E:E, 0)), "Вне рейтинга")</f>
        <v>324</v>
      </c>
      <c r="D356" s="6">
        <f>IFERROR(__xludf.DUMMYFUNCTION("""COMPUTED_VALUE"""),1.0)</f>
        <v>1</v>
      </c>
      <c r="E356" s="6">
        <f>IFERROR(__xludf.DUMMYFUNCTION("""COMPUTED_VALUE"""),1.0)</f>
        <v>1</v>
      </c>
      <c r="F356" s="6">
        <f>IFERROR(__xludf.DUMMYFUNCTION("""COMPUTED_VALUE"""),1.0)</f>
        <v>1</v>
      </c>
      <c r="G356" s="6">
        <f>IFERROR(__xludf.DUMMYFUNCTION("""COMPUTED_VALUE"""),1.0)</f>
        <v>1</v>
      </c>
      <c r="H356" s="6">
        <f>IFERROR(__xludf.DUMMYFUNCTION("""COMPUTED_VALUE"""),1.0)</f>
        <v>1</v>
      </c>
      <c r="I356" s="6">
        <f>IFERROR(__xludf.DUMMYFUNCTION("""COMPUTED_VALUE"""),1.0)</f>
        <v>1</v>
      </c>
      <c r="J356" s="6">
        <f>IFERROR(__xludf.DUMMYFUNCTION("""COMPUTED_VALUE"""),1.0)</f>
        <v>1</v>
      </c>
      <c r="K356" s="6">
        <f>IFERROR(__xludf.DUMMYFUNCTION("""COMPUTED_VALUE"""),1.0)</f>
        <v>1</v>
      </c>
      <c r="L356" s="6">
        <f>IFERROR(__xludf.DUMMYFUNCTION("""COMPUTED_VALUE"""),1.0)</f>
        <v>1</v>
      </c>
      <c r="M356" s="6">
        <f>IFERROR(__xludf.DUMMYFUNCTION("""COMPUTED_VALUE"""),1.0)</f>
        <v>1</v>
      </c>
      <c r="N356" s="6">
        <f>IFERROR(__xludf.DUMMYFUNCTION("""COMPUTED_VALUE"""),0.0)</f>
        <v>0</v>
      </c>
      <c r="O356" s="6">
        <f>IFERROR(__xludf.DUMMYFUNCTION("""COMPUTED_VALUE"""),1.0)</f>
        <v>1</v>
      </c>
      <c r="P356" s="6">
        <f>IFERROR(__xludf.DUMMYFUNCTION("""COMPUTED_VALUE"""),1.0)</f>
        <v>1</v>
      </c>
      <c r="Q356" s="6">
        <f>IFERROR(__xludf.DUMMYFUNCTION("""COMPUTED_VALUE"""),1.0)</f>
        <v>1</v>
      </c>
      <c r="R356" s="6">
        <f>IFERROR(__xludf.DUMMYFUNCTION("""COMPUTED_VALUE"""),1.0)</f>
        <v>1</v>
      </c>
      <c r="S356" s="6">
        <f>IFERROR(__xludf.DUMMYFUNCTION("""COMPUTED_VALUE"""),1.0)</f>
        <v>1</v>
      </c>
      <c r="T356" s="6">
        <f>IFERROR(__xludf.DUMMYFUNCTION("""COMPUTED_VALUE"""),1.0)</f>
        <v>1</v>
      </c>
      <c r="U356" s="6">
        <f>IFERROR(__xludf.DUMMYFUNCTION("""COMPUTED_VALUE"""),1.0)</f>
        <v>1</v>
      </c>
      <c r="V356" s="4">
        <f t="shared" ref="V356:X356" si="355">SUM(D356, G356, J356, M356, P356, S356)</f>
        <v>6</v>
      </c>
      <c r="W356" s="4">
        <f t="shared" si="355"/>
        <v>5</v>
      </c>
      <c r="X356" s="4">
        <f t="shared" si="355"/>
        <v>6</v>
      </c>
    </row>
    <row r="357">
      <c r="A357" s="4" t="str">
        <f>IFERROR(__xludf.DUMMYFUNCTION("""COMPUTED_VALUE"""),"Школа 2121")</f>
        <v>Школа 2121</v>
      </c>
      <c r="B357" s="4" t="str">
        <f t="array" ref="B357">IFERROR(INDEX('Адреса школ'!F:F, MATCH(A357, 'Адреса школ'!E:E, 0)), "")</f>
        <v>55.67926, 37.751987</v>
      </c>
      <c r="C357" s="5" t="str">
        <f t="array" ref="C357">IFERROR(INDEX('Топ-400'!A:A, MATCH(A357, 'Топ-400'!E:E, 0)), "Вне рейтинга")</f>
        <v>283</v>
      </c>
      <c r="D357" s="6">
        <f>IFERROR(__xludf.DUMMYFUNCTION("""COMPUTED_VALUE"""),1.0)</f>
        <v>1</v>
      </c>
      <c r="E357" s="6">
        <f>IFERROR(__xludf.DUMMYFUNCTION("""COMPUTED_VALUE"""),1.0)</f>
        <v>1</v>
      </c>
      <c r="F357" s="6">
        <f>IFERROR(__xludf.DUMMYFUNCTION("""COMPUTED_VALUE"""),1.0)</f>
        <v>1</v>
      </c>
      <c r="G357" s="6">
        <f>IFERROR(__xludf.DUMMYFUNCTION("""COMPUTED_VALUE"""),0.0)</f>
        <v>0</v>
      </c>
      <c r="H357" s="6">
        <f>IFERROR(__xludf.DUMMYFUNCTION("""COMPUTED_VALUE"""),0.0)</f>
        <v>0</v>
      </c>
      <c r="I357" s="6">
        <f>IFERROR(__xludf.DUMMYFUNCTION("""COMPUTED_VALUE"""),0.0)</f>
        <v>0</v>
      </c>
      <c r="J357" s="6">
        <f>IFERROR(__xludf.DUMMYFUNCTION("""COMPUTED_VALUE"""),0.0)</f>
        <v>0</v>
      </c>
      <c r="K357" s="6">
        <f>IFERROR(__xludf.DUMMYFUNCTION("""COMPUTED_VALUE"""),0.0)</f>
        <v>0</v>
      </c>
      <c r="L357" s="6">
        <f>IFERROR(__xludf.DUMMYFUNCTION("""COMPUTED_VALUE"""),0.0)</f>
        <v>0</v>
      </c>
      <c r="M357" s="6">
        <f>IFERROR(__xludf.DUMMYFUNCTION("""COMPUTED_VALUE"""),0.0)</f>
        <v>0</v>
      </c>
      <c r="N357" s="6">
        <f>IFERROR(__xludf.DUMMYFUNCTION("""COMPUTED_VALUE"""),1.0)</f>
        <v>1</v>
      </c>
      <c r="O357" s="6">
        <f>IFERROR(__xludf.DUMMYFUNCTION("""COMPUTED_VALUE"""),1.0)</f>
        <v>1</v>
      </c>
      <c r="P357" s="6">
        <f>IFERROR(__xludf.DUMMYFUNCTION("""COMPUTED_VALUE"""),0.0)</f>
        <v>0</v>
      </c>
      <c r="Q357" s="6">
        <f>IFERROR(__xludf.DUMMYFUNCTION("""COMPUTED_VALUE"""),0.0)</f>
        <v>0</v>
      </c>
      <c r="R357" s="6">
        <f>IFERROR(__xludf.DUMMYFUNCTION("""COMPUTED_VALUE"""),0.0)</f>
        <v>0</v>
      </c>
      <c r="S357" s="6">
        <f>IFERROR(__xludf.DUMMYFUNCTION("""COMPUTED_VALUE"""),0.0)</f>
        <v>0</v>
      </c>
      <c r="T357" s="6">
        <f>IFERROR(__xludf.DUMMYFUNCTION("""COMPUTED_VALUE"""),0.0)</f>
        <v>0</v>
      </c>
      <c r="U357" s="6">
        <f>IFERROR(__xludf.DUMMYFUNCTION("""COMPUTED_VALUE"""),0.0)</f>
        <v>0</v>
      </c>
      <c r="V357" s="4">
        <f t="shared" ref="V357:X357" si="356">SUM(D357, G357, J357, M357, P357, S357)</f>
        <v>1</v>
      </c>
      <c r="W357" s="4">
        <f t="shared" si="356"/>
        <v>2</v>
      </c>
      <c r="X357" s="4">
        <f t="shared" si="356"/>
        <v>2</v>
      </c>
    </row>
    <row r="358">
      <c r="A358" s="4" t="str">
        <f>IFERROR(__xludf.DUMMYFUNCTION("""COMPUTED_VALUE"""),"Школа 2123")</f>
        <v>Школа 2123</v>
      </c>
      <c r="B358" s="4" t="str">
        <f t="array" ref="B358">IFERROR(INDEX('Адреса школ'!F:F, MATCH(A358, 'Адреса школ'!E:E, 0)), "")</f>
        <v>55.756761, 37.594755</v>
      </c>
      <c r="C358" s="5" t="str">
        <f t="array" ref="C358">IFERROR(INDEX('Топ-400'!A:A, MATCH(A358, 'Топ-400'!E:E, 0)), "Вне рейтинга")</f>
        <v>55</v>
      </c>
      <c r="D358" s="6">
        <f>IFERROR(__xludf.DUMMYFUNCTION("""COMPUTED_VALUE"""),0.0)</f>
        <v>0</v>
      </c>
      <c r="E358" s="6">
        <f>IFERROR(__xludf.DUMMYFUNCTION("""COMPUTED_VALUE"""),0.0)</f>
        <v>0</v>
      </c>
      <c r="F358" s="6">
        <f>IFERROR(__xludf.DUMMYFUNCTION("""COMPUTED_VALUE"""),0.0)</f>
        <v>0</v>
      </c>
      <c r="G358" s="6">
        <f>IFERROR(__xludf.DUMMYFUNCTION("""COMPUTED_VALUE"""),0.0)</f>
        <v>0</v>
      </c>
      <c r="H358" s="6">
        <f>IFERROR(__xludf.DUMMYFUNCTION("""COMPUTED_VALUE"""),0.0)</f>
        <v>0</v>
      </c>
      <c r="I358" s="6">
        <f>IFERROR(__xludf.DUMMYFUNCTION("""COMPUTED_VALUE"""),0.0)</f>
        <v>0</v>
      </c>
      <c r="J358" s="6">
        <f>IFERROR(__xludf.DUMMYFUNCTION("""COMPUTED_VALUE"""),0.0)</f>
        <v>0</v>
      </c>
      <c r="K358" s="6">
        <f>IFERROR(__xludf.DUMMYFUNCTION("""COMPUTED_VALUE"""),0.0)</f>
        <v>0</v>
      </c>
      <c r="L358" s="6">
        <f>IFERROR(__xludf.DUMMYFUNCTION("""COMPUTED_VALUE"""),0.0)</f>
        <v>0</v>
      </c>
      <c r="M358" s="6">
        <f>IFERROR(__xludf.DUMMYFUNCTION("""COMPUTED_VALUE"""),0.0)</f>
        <v>0</v>
      </c>
      <c r="N358" s="6">
        <f>IFERROR(__xludf.DUMMYFUNCTION("""COMPUTED_VALUE"""),0.0)</f>
        <v>0</v>
      </c>
      <c r="O358" s="6">
        <f>IFERROR(__xludf.DUMMYFUNCTION("""COMPUTED_VALUE"""),0.0)</f>
        <v>0</v>
      </c>
      <c r="P358" s="6">
        <f>IFERROR(__xludf.DUMMYFUNCTION("""COMPUTED_VALUE"""),1.0)</f>
        <v>1</v>
      </c>
      <c r="Q358" s="6">
        <f>IFERROR(__xludf.DUMMYFUNCTION("""COMPUTED_VALUE"""),1.0)</f>
        <v>1</v>
      </c>
      <c r="R358" s="6">
        <f>IFERROR(__xludf.DUMMYFUNCTION("""COMPUTED_VALUE"""),1.0)</f>
        <v>1</v>
      </c>
      <c r="S358" s="6">
        <f>IFERROR(__xludf.DUMMYFUNCTION("""COMPUTED_VALUE"""),0.0)</f>
        <v>0</v>
      </c>
      <c r="T358" s="6">
        <f>IFERROR(__xludf.DUMMYFUNCTION("""COMPUTED_VALUE"""),0.0)</f>
        <v>0</v>
      </c>
      <c r="U358" s="6">
        <f>IFERROR(__xludf.DUMMYFUNCTION("""COMPUTED_VALUE"""),0.0)</f>
        <v>0</v>
      </c>
      <c r="V358" s="4">
        <f t="shared" ref="V358:X358" si="357">SUM(D358, G358, J358, M358, P358, S358)</f>
        <v>1</v>
      </c>
      <c r="W358" s="4">
        <f t="shared" si="357"/>
        <v>1</v>
      </c>
      <c r="X358" s="4">
        <f t="shared" si="357"/>
        <v>1</v>
      </c>
    </row>
    <row r="359">
      <c r="A359" s="4" t="str">
        <f>IFERROR(__xludf.DUMMYFUNCTION("""COMPUTED_VALUE"""),"Школа 2126")</f>
        <v>Школа 2126</v>
      </c>
      <c r="B359" s="4" t="str">
        <f t="array" ref="B359">IFERROR(INDEX('Адреса школ'!F:F, MATCH(A359, 'Адреса школ'!E:E, 0)), "")</f>
        <v>55.7426, 37.762668</v>
      </c>
      <c r="C359" s="5" t="str">
        <f t="array" ref="C359">IFERROR(INDEX('Топ-400'!A:A, MATCH(A359, 'Топ-400'!E:E, 0)), "Вне рейтинга")</f>
        <v>309</v>
      </c>
      <c r="D359" s="6">
        <f>IFERROR(__xludf.DUMMYFUNCTION("""COMPUTED_VALUE"""),1.0)</f>
        <v>1</v>
      </c>
      <c r="E359" s="6">
        <f>IFERROR(__xludf.DUMMYFUNCTION("""COMPUTED_VALUE"""),0.0)</f>
        <v>0</v>
      </c>
      <c r="F359" s="6">
        <f>IFERROR(__xludf.DUMMYFUNCTION("""COMPUTED_VALUE"""),0.0)</f>
        <v>0</v>
      </c>
      <c r="G359" s="6">
        <f>IFERROR(__xludf.DUMMYFUNCTION("""COMPUTED_VALUE"""),0.0)</f>
        <v>0</v>
      </c>
      <c r="H359" s="6">
        <f>IFERROR(__xludf.DUMMYFUNCTION("""COMPUTED_VALUE"""),0.0)</f>
        <v>0</v>
      </c>
      <c r="I359" s="6">
        <f>IFERROR(__xludf.DUMMYFUNCTION("""COMPUTED_VALUE"""),0.0)</f>
        <v>0</v>
      </c>
      <c r="J359" s="6">
        <f>IFERROR(__xludf.DUMMYFUNCTION("""COMPUTED_VALUE"""),0.0)</f>
        <v>0</v>
      </c>
      <c r="K359" s="6">
        <f>IFERROR(__xludf.DUMMYFUNCTION("""COMPUTED_VALUE"""),0.0)</f>
        <v>0</v>
      </c>
      <c r="L359" s="6">
        <f>IFERROR(__xludf.DUMMYFUNCTION("""COMPUTED_VALUE"""),0.0)</f>
        <v>0</v>
      </c>
      <c r="M359" s="6">
        <f>IFERROR(__xludf.DUMMYFUNCTION("""COMPUTED_VALUE"""),0.0)</f>
        <v>0</v>
      </c>
      <c r="N359" s="6">
        <f>IFERROR(__xludf.DUMMYFUNCTION("""COMPUTED_VALUE"""),0.0)</f>
        <v>0</v>
      </c>
      <c r="O359" s="6">
        <f>IFERROR(__xludf.DUMMYFUNCTION("""COMPUTED_VALUE"""),0.0)</f>
        <v>0</v>
      </c>
      <c r="P359" s="6">
        <f>IFERROR(__xludf.DUMMYFUNCTION("""COMPUTED_VALUE"""),0.0)</f>
        <v>0</v>
      </c>
      <c r="Q359" s="6">
        <f>IFERROR(__xludf.DUMMYFUNCTION("""COMPUTED_VALUE"""),0.0)</f>
        <v>0</v>
      </c>
      <c r="R359" s="6">
        <f>IFERROR(__xludf.DUMMYFUNCTION("""COMPUTED_VALUE"""),0.0)</f>
        <v>0</v>
      </c>
      <c r="S359" s="6">
        <f>IFERROR(__xludf.DUMMYFUNCTION("""COMPUTED_VALUE"""),0.0)</f>
        <v>0</v>
      </c>
      <c r="T359" s="6">
        <f>IFERROR(__xludf.DUMMYFUNCTION("""COMPUTED_VALUE"""),0.0)</f>
        <v>0</v>
      </c>
      <c r="U359" s="6">
        <f>IFERROR(__xludf.DUMMYFUNCTION("""COMPUTED_VALUE"""),0.0)</f>
        <v>0</v>
      </c>
      <c r="V359" s="4">
        <f t="shared" ref="V359:X359" si="358">SUM(D359, G359, J359, M359, P359, S359)</f>
        <v>1</v>
      </c>
      <c r="W359" s="4">
        <f t="shared" si="358"/>
        <v>0</v>
      </c>
      <c r="X359" s="4">
        <f t="shared" si="358"/>
        <v>0</v>
      </c>
    </row>
    <row r="360">
      <c r="A360" s="4" t="str">
        <f>IFERROR(__xludf.DUMMYFUNCTION("""COMPUTED_VALUE"""),"Школа 2127")</f>
        <v>Школа 2127</v>
      </c>
      <c r="B360" s="4" t="str">
        <f t="array" ref="B360">IFERROR(INDEX('Адреса школ'!F:F, MATCH(A360, 'Адреса школ'!E:E, 0)), "")</f>
        <v>55.737801, 37.863369</v>
      </c>
      <c r="C360" s="5" t="str">
        <f t="array" ref="C360">IFERROR(INDEX('Топ-400'!A:A, MATCH(A360, 'Топ-400'!E:E, 0)), "Вне рейтинга")</f>
        <v>22</v>
      </c>
      <c r="D360" s="6">
        <f>IFERROR(__xludf.DUMMYFUNCTION("""COMPUTED_VALUE"""),1.0)</f>
        <v>1</v>
      </c>
      <c r="E360" s="6">
        <f>IFERROR(__xludf.DUMMYFUNCTION("""COMPUTED_VALUE"""),1.0)</f>
        <v>1</v>
      </c>
      <c r="F360" s="6">
        <f>IFERROR(__xludf.DUMMYFUNCTION("""COMPUTED_VALUE"""),1.0)</f>
        <v>1</v>
      </c>
      <c r="G360" s="6">
        <f>IFERROR(__xludf.DUMMYFUNCTION("""COMPUTED_VALUE"""),1.0)</f>
        <v>1</v>
      </c>
      <c r="H360" s="6">
        <f>IFERROR(__xludf.DUMMYFUNCTION("""COMPUTED_VALUE"""),1.0)</f>
        <v>1</v>
      </c>
      <c r="I360" s="6">
        <f>IFERROR(__xludf.DUMMYFUNCTION("""COMPUTED_VALUE"""),1.0)</f>
        <v>1</v>
      </c>
      <c r="J360" s="6">
        <f>IFERROR(__xludf.DUMMYFUNCTION("""COMPUTED_VALUE"""),1.0)</f>
        <v>1</v>
      </c>
      <c r="K360" s="6">
        <f>IFERROR(__xludf.DUMMYFUNCTION("""COMPUTED_VALUE"""),1.0)</f>
        <v>1</v>
      </c>
      <c r="L360" s="6">
        <f>IFERROR(__xludf.DUMMYFUNCTION("""COMPUTED_VALUE"""),1.0)</f>
        <v>1</v>
      </c>
      <c r="M360" s="6">
        <f>IFERROR(__xludf.DUMMYFUNCTION("""COMPUTED_VALUE"""),1.0)</f>
        <v>1</v>
      </c>
      <c r="N360" s="6">
        <f>IFERROR(__xludf.DUMMYFUNCTION("""COMPUTED_VALUE"""),1.0)</f>
        <v>1</v>
      </c>
      <c r="O360" s="6">
        <f>IFERROR(__xludf.DUMMYFUNCTION("""COMPUTED_VALUE"""),1.0)</f>
        <v>1</v>
      </c>
      <c r="P360" s="6">
        <f>IFERROR(__xludf.DUMMYFUNCTION("""COMPUTED_VALUE"""),1.0)</f>
        <v>1</v>
      </c>
      <c r="Q360" s="6">
        <f>IFERROR(__xludf.DUMMYFUNCTION("""COMPUTED_VALUE"""),1.0)</f>
        <v>1</v>
      </c>
      <c r="R360" s="6">
        <f>IFERROR(__xludf.DUMMYFUNCTION("""COMPUTED_VALUE"""),1.0)</f>
        <v>1</v>
      </c>
      <c r="S360" s="6">
        <f>IFERROR(__xludf.DUMMYFUNCTION("""COMPUTED_VALUE"""),0.0)</f>
        <v>0</v>
      </c>
      <c r="T360" s="6">
        <f>IFERROR(__xludf.DUMMYFUNCTION("""COMPUTED_VALUE"""),0.0)</f>
        <v>0</v>
      </c>
      <c r="U360" s="6">
        <f>IFERROR(__xludf.DUMMYFUNCTION("""COMPUTED_VALUE"""),0.0)</f>
        <v>0</v>
      </c>
      <c r="V360" s="4">
        <f t="shared" ref="V360:X360" si="359">SUM(D360, G360, J360, M360, P360, S360)</f>
        <v>5</v>
      </c>
      <c r="W360" s="4">
        <f t="shared" si="359"/>
        <v>5</v>
      </c>
      <c r="X360" s="4">
        <f t="shared" si="359"/>
        <v>5</v>
      </c>
    </row>
    <row r="361">
      <c r="A361" s="4" t="str">
        <f>IFERROR(__xludf.DUMMYFUNCTION("""COMPUTED_VALUE"""),"Школа 2129")</f>
        <v>Школа 2129</v>
      </c>
      <c r="B361" s="4" t="str">
        <f t="array" ref="B361">IFERROR(INDEX('Адреса школ'!F:F, MATCH(A361, 'Адреса школ'!E:E, 0)), "")</f>
        <v>55.706487, 37.67219</v>
      </c>
      <c r="C361" s="5" t="str">
        <f t="array" ref="C361">IFERROR(INDEX('Топ-400'!A:A, MATCH(A361, 'Топ-400'!E:E, 0)), "Вне рейтинга")</f>
        <v>377</v>
      </c>
      <c r="D361" s="6">
        <f>IFERROR(__xludf.DUMMYFUNCTION("""COMPUTED_VALUE"""),0.0)</f>
        <v>0</v>
      </c>
      <c r="E361" s="6">
        <f>IFERROR(__xludf.DUMMYFUNCTION("""COMPUTED_VALUE"""),0.0)</f>
        <v>0</v>
      </c>
      <c r="F361" s="6">
        <f>IFERROR(__xludf.DUMMYFUNCTION("""COMPUTED_VALUE"""),0.0)</f>
        <v>0</v>
      </c>
      <c r="G361" s="6">
        <f>IFERROR(__xludf.DUMMYFUNCTION("""COMPUTED_VALUE"""),0.0)</f>
        <v>0</v>
      </c>
      <c r="H361" s="6">
        <f>IFERROR(__xludf.DUMMYFUNCTION("""COMPUTED_VALUE"""),0.0)</f>
        <v>0</v>
      </c>
      <c r="I361" s="6">
        <f>IFERROR(__xludf.DUMMYFUNCTION("""COMPUTED_VALUE"""),0.0)</f>
        <v>0</v>
      </c>
      <c r="J361" s="6">
        <f>IFERROR(__xludf.DUMMYFUNCTION("""COMPUTED_VALUE"""),1.0)</f>
        <v>1</v>
      </c>
      <c r="K361" s="6">
        <f>IFERROR(__xludf.DUMMYFUNCTION("""COMPUTED_VALUE"""),1.0)</f>
        <v>1</v>
      </c>
      <c r="L361" s="6">
        <f>IFERROR(__xludf.DUMMYFUNCTION("""COMPUTED_VALUE"""),1.0)</f>
        <v>1</v>
      </c>
      <c r="M361" s="6">
        <f>IFERROR(__xludf.DUMMYFUNCTION("""COMPUTED_VALUE"""),0.0)</f>
        <v>0</v>
      </c>
      <c r="N361" s="6">
        <f>IFERROR(__xludf.DUMMYFUNCTION("""COMPUTED_VALUE"""),0.0)</f>
        <v>0</v>
      </c>
      <c r="O361" s="6">
        <f>IFERROR(__xludf.DUMMYFUNCTION("""COMPUTED_VALUE"""),0.0)</f>
        <v>0</v>
      </c>
      <c r="P361" s="6">
        <f>IFERROR(__xludf.DUMMYFUNCTION("""COMPUTED_VALUE"""),1.0)</f>
        <v>1</v>
      </c>
      <c r="Q361" s="6">
        <f>IFERROR(__xludf.DUMMYFUNCTION("""COMPUTED_VALUE"""),1.0)</f>
        <v>1</v>
      </c>
      <c r="R361" s="6">
        <f>IFERROR(__xludf.DUMMYFUNCTION("""COMPUTED_VALUE"""),1.0)</f>
        <v>1</v>
      </c>
      <c r="S361" s="6">
        <f>IFERROR(__xludf.DUMMYFUNCTION("""COMPUTED_VALUE"""),0.0)</f>
        <v>0</v>
      </c>
      <c r="T361" s="6">
        <f>IFERROR(__xludf.DUMMYFUNCTION("""COMPUTED_VALUE"""),0.0)</f>
        <v>0</v>
      </c>
      <c r="U361" s="6">
        <f>IFERROR(__xludf.DUMMYFUNCTION("""COMPUTED_VALUE"""),0.0)</f>
        <v>0</v>
      </c>
      <c r="V361" s="4">
        <f t="shared" ref="V361:X361" si="360">SUM(D361, G361, J361, M361, P361, S361)</f>
        <v>2</v>
      </c>
      <c r="W361" s="4">
        <f t="shared" si="360"/>
        <v>2</v>
      </c>
      <c r="X361" s="4">
        <f t="shared" si="360"/>
        <v>2</v>
      </c>
    </row>
    <row r="362">
      <c r="A362" s="4" t="str">
        <f>IFERROR(__xludf.DUMMYFUNCTION("""COMPUTED_VALUE"""),"Школа 2200")</f>
        <v>Школа 2200</v>
      </c>
      <c r="B362" s="4" t="str">
        <f t="array" ref="B362">IFERROR(INDEX('Адреса школ'!F:F, MATCH(A362, 'Адреса школ'!E:E, 0)), "")</f>
        <v>55.807319, 37.806317</v>
      </c>
      <c r="C362" s="5" t="str">
        <f t="array" ref="C362">IFERROR(INDEX('Топ-400'!A:A, MATCH(A362, 'Топ-400'!E:E, 0)), "Вне рейтинга")</f>
        <v>311</v>
      </c>
      <c r="D362" s="6">
        <f>IFERROR(__xludf.DUMMYFUNCTION("""COMPUTED_VALUE"""),0.0)</f>
        <v>0</v>
      </c>
      <c r="E362" s="6">
        <f>IFERROR(__xludf.DUMMYFUNCTION("""COMPUTED_VALUE"""),0.0)</f>
        <v>0</v>
      </c>
      <c r="F362" s="6">
        <f>IFERROR(__xludf.DUMMYFUNCTION("""COMPUTED_VALUE"""),0.0)</f>
        <v>0</v>
      </c>
      <c r="G362" s="6">
        <f>IFERROR(__xludf.DUMMYFUNCTION("""COMPUTED_VALUE"""),0.0)</f>
        <v>0</v>
      </c>
      <c r="H362" s="6">
        <f>IFERROR(__xludf.DUMMYFUNCTION("""COMPUTED_VALUE"""),0.0)</f>
        <v>0</v>
      </c>
      <c r="I362" s="6">
        <f>IFERROR(__xludf.DUMMYFUNCTION("""COMPUTED_VALUE"""),0.0)</f>
        <v>0</v>
      </c>
      <c r="J362" s="6">
        <f>IFERROR(__xludf.DUMMYFUNCTION("""COMPUTED_VALUE"""),1.0)</f>
        <v>1</v>
      </c>
      <c r="K362" s="6">
        <f>IFERROR(__xludf.DUMMYFUNCTION("""COMPUTED_VALUE"""),1.0)</f>
        <v>1</v>
      </c>
      <c r="L362" s="6">
        <f>IFERROR(__xludf.DUMMYFUNCTION("""COMPUTED_VALUE"""),1.0)</f>
        <v>1</v>
      </c>
      <c r="M362" s="6">
        <f>IFERROR(__xludf.DUMMYFUNCTION("""COMPUTED_VALUE"""),1.0)</f>
        <v>1</v>
      </c>
      <c r="N362" s="6">
        <f>IFERROR(__xludf.DUMMYFUNCTION("""COMPUTED_VALUE"""),1.0)</f>
        <v>1</v>
      </c>
      <c r="O362" s="6">
        <f>IFERROR(__xludf.DUMMYFUNCTION("""COMPUTED_VALUE"""),1.0)</f>
        <v>1</v>
      </c>
      <c r="P362" s="6">
        <f>IFERROR(__xludf.DUMMYFUNCTION("""COMPUTED_VALUE"""),0.0)</f>
        <v>0</v>
      </c>
      <c r="Q362" s="6">
        <f>IFERROR(__xludf.DUMMYFUNCTION("""COMPUTED_VALUE"""),0.0)</f>
        <v>0</v>
      </c>
      <c r="R362" s="6">
        <f>IFERROR(__xludf.DUMMYFUNCTION("""COMPUTED_VALUE"""),0.0)</f>
        <v>0</v>
      </c>
      <c r="S362" s="6">
        <f>IFERROR(__xludf.DUMMYFUNCTION("""COMPUTED_VALUE"""),0.0)</f>
        <v>0</v>
      </c>
      <c r="T362" s="6">
        <f>IFERROR(__xludf.DUMMYFUNCTION("""COMPUTED_VALUE"""),0.0)</f>
        <v>0</v>
      </c>
      <c r="U362" s="6">
        <f>IFERROR(__xludf.DUMMYFUNCTION("""COMPUTED_VALUE"""),0.0)</f>
        <v>0</v>
      </c>
      <c r="V362" s="4">
        <f t="shared" ref="V362:X362" si="361">SUM(D362, G362, J362, M362, P362, S362)</f>
        <v>2</v>
      </c>
      <c r="W362" s="4">
        <f t="shared" si="361"/>
        <v>2</v>
      </c>
      <c r="X362" s="4">
        <f t="shared" si="361"/>
        <v>2</v>
      </c>
    </row>
    <row r="363">
      <c r="A363" s="4" t="str">
        <f>IFERROR(__xludf.DUMMYFUNCTION("""COMPUTED_VALUE"""),"Вешняковская школа")</f>
        <v>Вешняковская школа</v>
      </c>
      <c r="B363" s="4" t="str">
        <f t="array" ref="B363">IFERROR(INDEX('Адреса школ'!F:F, MATCH(A363, 'Адреса школ'!E:E, 0)), "")</f>
        <v>55.742808, 37.825425</v>
      </c>
      <c r="C363" s="5" t="str">
        <f t="array" ref="C363">IFERROR(INDEX('Топ-400'!A:A, MATCH(A363, 'Топ-400'!E:E, 0)), "Вне рейтинга")</f>
        <v>72</v>
      </c>
      <c r="D363" s="6">
        <f>IFERROR(__xludf.DUMMYFUNCTION("""COMPUTED_VALUE"""),1.0)</f>
        <v>1</v>
      </c>
      <c r="E363" s="6">
        <f>IFERROR(__xludf.DUMMYFUNCTION("""COMPUTED_VALUE"""),0.0)</f>
        <v>0</v>
      </c>
      <c r="F363" s="6">
        <f>IFERROR(__xludf.DUMMYFUNCTION("""COMPUTED_VALUE"""),0.0)</f>
        <v>0</v>
      </c>
      <c r="G363" s="6">
        <f>IFERROR(__xludf.DUMMYFUNCTION("""COMPUTED_VALUE"""),1.0)</f>
        <v>1</v>
      </c>
      <c r="H363" s="6">
        <f>IFERROR(__xludf.DUMMYFUNCTION("""COMPUTED_VALUE"""),0.0)</f>
        <v>0</v>
      </c>
      <c r="I363" s="6">
        <f>IFERROR(__xludf.DUMMYFUNCTION("""COMPUTED_VALUE"""),1.0)</f>
        <v>1</v>
      </c>
      <c r="J363" s="6">
        <f>IFERROR(__xludf.DUMMYFUNCTION("""COMPUTED_VALUE"""),1.0)</f>
        <v>1</v>
      </c>
      <c r="K363" s="6">
        <f>IFERROR(__xludf.DUMMYFUNCTION("""COMPUTED_VALUE"""),1.0)</f>
        <v>1</v>
      </c>
      <c r="L363" s="6">
        <f>IFERROR(__xludf.DUMMYFUNCTION("""COMPUTED_VALUE"""),1.0)</f>
        <v>1</v>
      </c>
      <c r="M363" s="6">
        <f>IFERROR(__xludf.DUMMYFUNCTION("""COMPUTED_VALUE"""),0.0)</f>
        <v>0</v>
      </c>
      <c r="N363" s="6">
        <f>IFERROR(__xludf.DUMMYFUNCTION("""COMPUTED_VALUE"""),0.0)</f>
        <v>0</v>
      </c>
      <c r="O363" s="6">
        <f>IFERROR(__xludf.DUMMYFUNCTION("""COMPUTED_VALUE"""),0.0)</f>
        <v>0</v>
      </c>
      <c r="P363" s="6">
        <f>IFERROR(__xludf.DUMMYFUNCTION("""COMPUTED_VALUE"""),1.0)</f>
        <v>1</v>
      </c>
      <c r="Q363" s="6">
        <f>IFERROR(__xludf.DUMMYFUNCTION("""COMPUTED_VALUE"""),1.0)</f>
        <v>1</v>
      </c>
      <c r="R363" s="6">
        <f>IFERROR(__xludf.DUMMYFUNCTION("""COMPUTED_VALUE"""),1.0)</f>
        <v>1</v>
      </c>
      <c r="S363" s="6">
        <f>IFERROR(__xludf.DUMMYFUNCTION("""COMPUTED_VALUE"""),0.0)</f>
        <v>0</v>
      </c>
      <c r="T363" s="6">
        <f>IFERROR(__xludf.DUMMYFUNCTION("""COMPUTED_VALUE"""),0.0)</f>
        <v>0</v>
      </c>
      <c r="U363" s="6">
        <f>IFERROR(__xludf.DUMMYFUNCTION("""COMPUTED_VALUE"""),0.0)</f>
        <v>0</v>
      </c>
      <c r="V363" s="4">
        <f t="shared" ref="V363:X363" si="362">SUM(D363, G363, J363, M363, P363, S363)</f>
        <v>4</v>
      </c>
      <c r="W363" s="4">
        <f t="shared" si="362"/>
        <v>2</v>
      </c>
      <c r="X363" s="4">
        <f t="shared" si="362"/>
        <v>3</v>
      </c>
    </row>
    <row r="364">
      <c r="A364" s="4" t="str">
        <f>IFERROR(__xludf.DUMMYFUNCTION("""COMPUTED_VALUE"""),"Гимназия г. Троицка")</f>
        <v>Гимназия г. Троицка</v>
      </c>
      <c r="B364" s="4" t="str">
        <f t="array" ref="B364">IFERROR(INDEX('Адреса школ'!F:F, MATCH(A364, 'Адреса школ'!E:E, 0)), "")</f>
        <v>55.472408, 37.293712</v>
      </c>
      <c r="C364" s="5" t="str">
        <f t="array" ref="C364">IFERROR(INDEX('Топ-400'!A:A, MATCH(A364, 'Топ-400'!E:E, 0)), "Вне рейтинга")</f>
        <v>Вне рейтинга</v>
      </c>
      <c r="D364" s="6">
        <f>IFERROR(__xludf.DUMMYFUNCTION("""COMPUTED_VALUE"""),0.0)</f>
        <v>0</v>
      </c>
      <c r="E364" s="6">
        <f>IFERROR(__xludf.DUMMYFUNCTION("""COMPUTED_VALUE"""),0.0)</f>
        <v>0</v>
      </c>
      <c r="F364" s="6">
        <f>IFERROR(__xludf.DUMMYFUNCTION("""COMPUTED_VALUE"""),1.0)</f>
        <v>1</v>
      </c>
      <c r="G364" s="6">
        <f>IFERROR(__xludf.DUMMYFUNCTION("""COMPUTED_VALUE"""),0.0)</f>
        <v>0</v>
      </c>
      <c r="H364" s="6">
        <f>IFERROR(__xludf.DUMMYFUNCTION("""COMPUTED_VALUE"""),0.0)</f>
        <v>0</v>
      </c>
      <c r="I364" s="6">
        <f>IFERROR(__xludf.DUMMYFUNCTION("""COMPUTED_VALUE"""),0.0)</f>
        <v>0</v>
      </c>
      <c r="J364" s="6">
        <f>IFERROR(__xludf.DUMMYFUNCTION("""COMPUTED_VALUE"""),0.0)</f>
        <v>0</v>
      </c>
      <c r="K364" s="6">
        <f>IFERROR(__xludf.DUMMYFUNCTION("""COMPUTED_VALUE"""),0.0)</f>
        <v>0</v>
      </c>
      <c r="L364" s="6">
        <f>IFERROR(__xludf.DUMMYFUNCTION("""COMPUTED_VALUE"""),1.0)</f>
        <v>1</v>
      </c>
      <c r="M364" s="6">
        <f>IFERROR(__xludf.DUMMYFUNCTION("""COMPUTED_VALUE"""),0.0)</f>
        <v>0</v>
      </c>
      <c r="N364" s="6">
        <f>IFERROR(__xludf.DUMMYFUNCTION("""COMPUTED_VALUE"""),0.0)</f>
        <v>0</v>
      </c>
      <c r="O364" s="6">
        <f>IFERROR(__xludf.DUMMYFUNCTION("""COMPUTED_VALUE"""),0.0)</f>
        <v>0</v>
      </c>
      <c r="P364" s="6">
        <f>IFERROR(__xludf.DUMMYFUNCTION("""COMPUTED_VALUE"""),0.0)</f>
        <v>0</v>
      </c>
      <c r="Q364" s="6">
        <f>IFERROR(__xludf.DUMMYFUNCTION("""COMPUTED_VALUE"""),0.0)</f>
        <v>0</v>
      </c>
      <c r="R364" s="6">
        <f>IFERROR(__xludf.DUMMYFUNCTION("""COMPUTED_VALUE"""),0.0)</f>
        <v>0</v>
      </c>
      <c r="S364" s="6">
        <f>IFERROR(__xludf.DUMMYFUNCTION("""COMPUTED_VALUE"""),0.0)</f>
        <v>0</v>
      </c>
      <c r="T364" s="6">
        <f>IFERROR(__xludf.DUMMYFUNCTION("""COMPUTED_VALUE"""),0.0)</f>
        <v>0</v>
      </c>
      <c r="U364" s="6">
        <f>IFERROR(__xludf.DUMMYFUNCTION("""COMPUTED_VALUE"""),0.0)</f>
        <v>0</v>
      </c>
      <c r="V364" s="4">
        <f t="shared" ref="V364:X364" si="363">SUM(D364, G364, J364, M364, P364, S364)</f>
        <v>0</v>
      </c>
      <c r="W364" s="4">
        <f t="shared" si="363"/>
        <v>0</v>
      </c>
      <c r="X364" s="4">
        <f t="shared" si="363"/>
        <v>2</v>
      </c>
    </row>
    <row r="365">
      <c r="A365" s="4" t="str">
        <f>IFERROR(__xludf.DUMMYFUNCTION("""COMPUTED_VALUE"""),"Гимназия им. Н. В. Пушкова")</f>
        <v>Гимназия им. Н. В. Пушкова</v>
      </c>
      <c r="B365" s="4" t="str">
        <f t="array" ref="B365">IFERROR(INDEX('Адреса школ'!F:F, MATCH(A365, 'Адреса школ'!E:E, 0)), "")</f>
        <v>55.470423, 37.297979</v>
      </c>
      <c r="C365" s="5" t="str">
        <f t="array" ref="C365">IFERROR(INDEX('Топ-400'!A:A, MATCH(A365, 'Топ-400'!E:E, 0)), "Вне рейтинга")</f>
        <v>275</v>
      </c>
      <c r="D365" s="6">
        <f>IFERROR(__xludf.DUMMYFUNCTION("""COMPUTED_VALUE"""),0.0)</f>
        <v>0</v>
      </c>
      <c r="E365" s="6">
        <f>IFERROR(__xludf.DUMMYFUNCTION("""COMPUTED_VALUE"""),0.0)</f>
        <v>0</v>
      </c>
      <c r="F365" s="6">
        <f>IFERROR(__xludf.DUMMYFUNCTION("""COMPUTED_VALUE"""),0.0)</f>
        <v>0</v>
      </c>
      <c r="G365" s="6">
        <f>IFERROR(__xludf.DUMMYFUNCTION("""COMPUTED_VALUE"""),0.0)</f>
        <v>0</v>
      </c>
      <c r="H365" s="6">
        <f>IFERROR(__xludf.DUMMYFUNCTION("""COMPUTED_VALUE"""),0.0)</f>
        <v>0</v>
      </c>
      <c r="I365" s="6">
        <f>IFERROR(__xludf.DUMMYFUNCTION("""COMPUTED_VALUE"""),1.0)</f>
        <v>1</v>
      </c>
      <c r="J365" s="6">
        <f>IFERROR(__xludf.DUMMYFUNCTION("""COMPUTED_VALUE"""),0.0)</f>
        <v>0</v>
      </c>
      <c r="K365" s="6">
        <f>IFERROR(__xludf.DUMMYFUNCTION("""COMPUTED_VALUE"""),0.0)</f>
        <v>0</v>
      </c>
      <c r="L365" s="6">
        <f>IFERROR(__xludf.DUMMYFUNCTION("""COMPUTED_VALUE"""),1.0)</f>
        <v>1</v>
      </c>
      <c r="M365" s="6">
        <f>IFERROR(__xludf.DUMMYFUNCTION("""COMPUTED_VALUE"""),0.0)</f>
        <v>0</v>
      </c>
      <c r="N365" s="6">
        <f>IFERROR(__xludf.DUMMYFUNCTION("""COMPUTED_VALUE"""),0.0)</f>
        <v>0</v>
      </c>
      <c r="O365" s="6">
        <f>IFERROR(__xludf.DUMMYFUNCTION("""COMPUTED_VALUE"""),1.0)</f>
        <v>1</v>
      </c>
      <c r="P365" s="6">
        <f>IFERROR(__xludf.DUMMYFUNCTION("""COMPUTED_VALUE"""),0.0)</f>
        <v>0</v>
      </c>
      <c r="Q365" s="6">
        <f>IFERROR(__xludf.DUMMYFUNCTION("""COMPUTED_VALUE"""),0.0)</f>
        <v>0</v>
      </c>
      <c r="R365" s="6">
        <f>IFERROR(__xludf.DUMMYFUNCTION("""COMPUTED_VALUE"""),0.0)</f>
        <v>0</v>
      </c>
      <c r="S365" s="6">
        <f>IFERROR(__xludf.DUMMYFUNCTION("""COMPUTED_VALUE"""),0.0)</f>
        <v>0</v>
      </c>
      <c r="T365" s="6">
        <f>IFERROR(__xludf.DUMMYFUNCTION("""COMPUTED_VALUE"""),0.0)</f>
        <v>0</v>
      </c>
      <c r="U365" s="6">
        <f>IFERROR(__xludf.DUMMYFUNCTION("""COMPUTED_VALUE"""),0.0)</f>
        <v>0</v>
      </c>
      <c r="V365" s="4">
        <f t="shared" ref="V365:X365" si="364">SUM(D365, G365, J365, M365, P365, S365)</f>
        <v>0</v>
      </c>
      <c r="W365" s="4">
        <f t="shared" si="364"/>
        <v>0</v>
      </c>
      <c r="X365" s="4">
        <f t="shared" si="364"/>
        <v>3</v>
      </c>
    </row>
    <row r="366">
      <c r="A366" s="4" t="str">
        <f>IFERROR(__xludf.DUMMYFUNCTION("""COMPUTED_VALUE"""),"Инженерно-техническая школа им. дважды Героя Советского Союза П. Р. Поповича")</f>
        <v>Инженерно-техническая школа им. дважды Героя Советского Союза П. Р. Поповича</v>
      </c>
      <c r="B366" s="4" t="str">
        <f t="array" ref="B366">IFERROR(INDEX('Адреса школ'!F:F, MATCH(A366, 'Адреса школ'!E:E, 0)), "")</f>
        <v>55.757237, 38.011942</v>
      </c>
      <c r="C366" s="5" t="str">
        <f t="array" ref="C366">IFERROR(INDEX('Топ-400'!A:A, MATCH(A366, 'Топ-400'!E:E, 0)), "Вне рейтинга")</f>
        <v>Вне рейтинга</v>
      </c>
      <c r="D366" s="6">
        <f>IFERROR(__xludf.DUMMYFUNCTION("""COMPUTED_VALUE"""),1.0)</f>
        <v>1</v>
      </c>
      <c r="E366" s="6">
        <f>IFERROR(__xludf.DUMMYFUNCTION("""COMPUTED_VALUE"""),0.0)</f>
        <v>0</v>
      </c>
      <c r="F366" s="6">
        <f>IFERROR(__xludf.DUMMYFUNCTION("""COMPUTED_VALUE"""),1.0)</f>
        <v>1</v>
      </c>
      <c r="G366" s="6">
        <f>IFERROR(__xludf.DUMMYFUNCTION("""COMPUTED_VALUE"""),0.0)</f>
        <v>0</v>
      </c>
      <c r="H366" s="6">
        <f>IFERROR(__xludf.DUMMYFUNCTION("""COMPUTED_VALUE"""),0.0)</f>
        <v>0</v>
      </c>
      <c r="I366" s="6">
        <f>IFERROR(__xludf.DUMMYFUNCTION("""COMPUTED_VALUE"""),0.0)</f>
        <v>0</v>
      </c>
      <c r="J366" s="6">
        <f>IFERROR(__xludf.DUMMYFUNCTION("""COMPUTED_VALUE"""),1.0)</f>
        <v>1</v>
      </c>
      <c r="K366" s="6">
        <f>IFERROR(__xludf.DUMMYFUNCTION("""COMPUTED_VALUE"""),0.0)</f>
        <v>0</v>
      </c>
      <c r="L366" s="6">
        <f>IFERROR(__xludf.DUMMYFUNCTION("""COMPUTED_VALUE"""),1.0)</f>
        <v>1</v>
      </c>
      <c r="M366" s="6">
        <f>IFERROR(__xludf.DUMMYFUNCTION("""COMPUTED_VALUE"""),1.0)</f>
        <v>1</v>
      </c>
      <c r="N366" s="6">
        <f>IFERROR(__xludf.DUMMYFUNCTION("""COMPUTED_VALUE"""),0.0)</f>
        <v>0</v>
      </c>
      <c r="O366" s="6">
        <f>IFERROR(__xludf.DUMMYFUNCTION("""COMPUTED_VALUE"""),1.0)</f>
        <v>1</v>
      </c>
      <c r="P366" s="6">
        <f>IFERROR(__xludf.DUMMYFUNCTION("""COMPUTED_VALUE"""),0.0)</f>
        <v>0</v>
      </c>
      <c r="Q366" s="6">
        <f>IFERROR(__xludf.DUMMYFUNCTION("""COMPUTED_VALUE"""),0.0)</f>
        <v>0</v>
      </c>
      <c r="R366" s="6">
        <f>IFERROR(__xludf.DUMMYFUNCTION("""COMPUTED_VALUE"""),0.0)</f>
        <v>0</v>
      </c>
      <c r="S366" s="6">
        <f>IFERROR(__xludf.DUMMYFUNCTION("""COMPUTED_VALUE"""),0.0)</f>
        <v>0</v>
      </c>
      <c r="T366" s="6">
        <f>IFERROR(__xludf.DUMMYFUNCTION("""COMPUTED_VALUE"""),0.0)</f>
        <v>0</v>
      </c>
      <c r="U366" s="6">
        <f>IFERROR(__xludf.DUMMYFUNCTION("""COMPUTED_VALUE"""),0.0)</f>
        <v>0</v>
      </c>
      <c r="V366" s="4">
        <f t="shared" ref="V366:X366" si="365">SUM(D366, G366, J366, M366, P366, S366)</f>
        <v>3</v>
      </c>
      <c r="W366" s="4">
        <f t="shared" si="365"/>
        <v>0</v>
      </c>
      <c r="X366" s="4">
        <f t="shared" si="365"/>
        <v>3</v>
      </c>
    </row>
    <row r="367">
      <c r="A367" s="4" t="str">
        <f>IFERROR(__xludf.DUMMYFUNCTION("""COMPUTED_VALUE"""),"Курчатовская школа")</f>
        <v>Курчатовская школа</v>
      </c>
      <c r="B367" s="4" t="str">
        <f t="array" ref="B367">IFERROR(INDEX('Адреса школ'!F:F, MATCH(A367, 'Адреса школ'!E:E, 0)), "")</f>
        <v>55.797194, 37.488404</v>
      </c>
      <c r="C367" s="5" t="str">
        <f t="array" ref="C367">IFERROR(INDEX('Топ-400'!A:A, MATCH(A367, 'Топ-400'!E:E, 0)), "Вне рейтинга")</f>
        <v>8</v>
      </c>
      <c r="D367" s="6">
        <f>IFERROR(__xludf.DUMMYFUNCTION("""COMPUTED_VALUE"""),1.0)</f>
        <v>1</v>
      </c>
      <c r="E367" s="6">
        <f>IFERROR(__xludf.DUMMYFUNCTION("""COMPUTED_VALUE"""),1.0)</f>
        <v>1</v>
      </c>
      <c r="F367" s="6">
        <f>IFERROR(__xludf.DUMMYFUNCTION("""COMPUTED_VALUE"""),1.0)</f>
        <v>1</v>
      </c>
      <c r="G367" s="6">
        <f>IFERROR(__xludf.DUMMYFUNCTION("""COMPUTED_VALUE"""),1.0)</f>
        <v>1</v>
      </c>
      <c r="H367" s="6">
        <f>IFERROR(__xludf.DUMMYFUNCTION("""COMPUTED_VALUE"""),1.0)</f>
        <v>1</v>
      </c>
      <c r="I367" s="6">
        <f>IFERROR(__xludf.DUMMYFUNCTION("""COMPUTED_VALUE"""),1.0)</f>
        <v>1</v>
      </c>
      <c r="J367" s="6">
        <f>IFERROR(__xludf.DUMMYFUNCTION("""COMPUTED_VALUE"""),0.0)</f>
        <v>0</v>
      </c>
      <c r="K367" s="6">
        <f>IFERROR(__xludf.DUMMYFUNCTION("""COMPUTED_VALUE"""),0.0)</f>
        <v>0</v>
      </c>
      <c r="L367" s="6">
        <f>IFERROR(__xludf.DUMMYFUNCTION("""COMPUTED_VALUE"""),0.0)</f>
        <v>0</v>
      </c>
      <c r="M367" s="6">
        <f>IFERROR(__xludf.DUMMYFUNCTION("""COMPUTED_VALUE"""),0.0)</f>
        <v>0</v>
      </c>
      <c r="N367" s="6">
        <f>IFERROR(__xludf.DUMMYFUNCTION("""COMPUTED_VALUE"""),0.0)</f>
        <v>0</v>
      </c>
      <c r="O367" s="6">
        <f>IFERROR(__xludf.DUMMYFUNCTION("""COMPUTED_VALUE"""),0.0)</f>
        <v>0</v>
      </c>
      <c r="P367" s="6">
        <f>IFERROR(__xludf.DUMMYFUNCTION("""COMPUTED_VALUE"""),1.0)</f>
        <v>1</v>
      </c>
      <c r="Q367" s="6">
        <f>IFERROR(__xludf.DUMMYFUNCTION("""COMPUTED_VALUE"""),1.0)</f>
        <v>1</v>
      </c>
      <c r="R367" s="6">
        <f>IFERROR(__xludf.DUMMYFUNCTION("""COMPUTED_VALUE"""),1.0)</f>
        <v>1</v>
      </c>
      <c r="S367" s="6">
        <f>IFERROR(__xludf.DUMMYFUNCTION("""COMPUTED_VALUE"""),0.0)</f>
        <v>0</v>
      </c>
      <c r="T367" s="6">
        <f>IFERROR(__xludf.DUMMYFUNCTION("""COMPUTED_VALUE"""),0.0)</f>
        <v>0</v>
      </c>
      <c r="U367" s="6">
        <f>IFERROR(__xludf.DUMMYFUNCTION("""COMPUTED_VALUE"""),0.0)</f>
        <v>0</v>
      </c>
      <c r="V367" s="4">
        <f t="shared" ref="V367:X367" si="366">SUM(D367, G367, J367, M367, P367, S367)</f>
        <v>3</v>
      </c>
      <c r="W367" s="4">
        <f t="shared" si="366"/>
        <v>3</v>
      </c>
      <c r="X367" s="4">
        <f t="shared" si="366"/>
        <v>3</v>
      </c>
    </row>
    <row r="368">
      <c r="A368" s="4" t="str">
        <f>IFERROR(__xludf.DUMMYFUNCTION("""COMPUTED_VALUE"""),"Лицей Вторая школа им. В. Ф. Овчинникова")</f>
        <v>Лицей Вторая школа им. В. Ф. Овчинникова</v>
      </c>
      <c r="B368" s="4" t="str">
        <f t="array" ref="B368">IFERROR(INDEX('Адреса школ'!F:F, MATCH(A368, 'Адреса школ'!E:E, 0)), "")</f>
        <v>55.697985, 37.556442</v>
      </c>
      <c r="C368" s="5" t="str">
        <f t="array" ref="C368">IFERROR(INDEX('Топ-400'!A:A, MATCH(A368, 'Топ-400'!E:E, 0)), "Вне рейтинга")</f>
        <v>17</v>
      </c>
      <c r="D368" s="6">
        <f>IFERROR(__xludf.DUMMYFUNCTION("""COMPUTED_VALUE"""),1.0)</f>
        <v>1</v>
      </c>
      <c r="E368" s="6">
        <f>IFERROR(__xludf.DUMMYFUNCTION("""COMPUTED_VALUE"""),0.0)</f>
        <v>0</v>
      </c>
      <c r="F368" s="6">
        <f>IFERROR(__xludf.DUMMYFUNCTION("""COMPUTED_VALUE"""),0.0)</f>
        <v>0</v>
      </c>
      <c r="G368" s="6">
        <f>IFERROR(__xludf.DUMMYFUNCTION("""COMPUTED_VALUE"""),0.0)</f>
        <v>0</v>
      </c>
      <c r="H368" s="6">
        <f>IFERROR(__xludf.DUMMYFUNCTION("""COMPUTED_VALUE"""),0.0)</f>
        <v>0</v>
      </c>
      <c r="I368" s="6">
        <f>IFERROR(__xludf.DUMMYFUNCTION("""COMPUTED_VALUE"""),0.0)</f>
        <v>0</v>
      </c>
      <c r="J368" s="6">
        <f>IFERROR(__xludf.DUMMYFUNCTION("""COMPUTED_VALUE"""),0.0)</f>
        <v>0</v>
      </c>
      <c r="K368" s="6">
        <f>IFERROR(__xludf.DUMMYFUNCTION("""COMPUTED_VALUE"""),0.0)</f>
        <v>0</v>
      </c>
      <c r="L368" s="6">
        <f>IFERROR(__xludf.DUMMYFUNCTION("""COMPUTED_VALUE"""),0.0)</f>
        <v>0</v>
      </c>
      <c r="M368" s="6">
        <f>IFERROR(__xludf.DUMMYFUNCTION("""COMPUTED_VALUE"""),0.0)</f>
        <v>0</v>
      </c>
      <c r="N368" s="6">
        <f>IFERROR(__xludf.DUMMYFUNCTION("""COMPUTED_VALUE"""),0.0)</f>
        <v>0</v>
      </c>
      <c r="O368" s="6">
        <f>IFERROR(__xludf.DUMMYFUNCTION("""COMPUTED_VALUE"""),0.0)</f>
        <v>0</v>
      </c>
      <c r="P368" s="6">
        <f>IFERROR(__xludf.DUMMYFUNCTION("""COMPUTED_VALUE"""),0.0)</f>
        <v>0</v>
      </c>
      <c r="Q368" s="6">
        <f>IFERROR(__xludf.DUMMYFUNCTION("""COMPUTED_VALUE"""),0.0)</f>
        <v>0</v>
      </c>
      <c r="R368" s="6">
        <f>IFERROR(__xludf.DUMMYFUNCTION("""COMPUTED_VALUE"""),0.0)</f>
        <v>0</v>
      </c>
      <c r="S368" s="6">
        <f>IFERROR(__xludf.DUMMYFUNCTION("""COMPUTED_VALUE"""),0.0)</f>
        <v>0</v>
      </c>
      <c r="T368" s="6">
        <f>IFERROR(__xludf.DUMMYFUNCTION("""COMPUTED_VALUE"""),0.0)</f>
        <v>0</v>
      </c>
      <c r="U368" s="6">
        <f>IFERROR(__xludf.DUMMYFUNCTION("""COMPUTED_VALUE"""),0.0)</f>
        <v>0</v>
      </c>
      <c r="V368" s="4">
        <f t="shared" ref="V368:X368" si="367">SUM(D368, G368, J368, M368, P368, S368)</f>
        <v>1</v>
      </c>
      <c r="W368" s="4">
        <f t="shared" si="367"/>
        <v>0</v>
      </c>
      <c r="X368" s="4">
        <f t="shared" si="367"/>
        <v>0</v>
      </c>
    </row>
    <row r="369">
      <c r="A369" s="4" t="str">
        <f>IFERROR(__xludf.DUMMYFUNCTION("""COMPUTED_VALUE"""),"Лицей города Троицка")</f>
        <v>Лицей города Троицка</v>
      </c>
      <c r="B369" s="4" t="str">
        <f t="array" ref="B369">IFERROR(INDEX('Адреса школ'!F:F, MATCH(A369, 'Адреса школ'!E:E, 0)), "")</f>
        <v>55.475368, 37.300808</v>
      </c>
      <c r="C369" s="5" t="str">
        <f t="array" ref="C369">IFERROR(INDEX('Топ-400'!A:A, MATCH(A369, 'Топ-400'!E:E, 0)), "Вне рейтинга")</f>
        <v>276</v>
      </c>
      <c r="D369" s="6">
        <f>IFERROR(__xludf.DUMMYFUNCTION("""COMPUTED_VALUE"""),0.0)</f>
        <v>0</v>
      </c>
      <c r="E369" s="6">
        <f>IFERROR(__xludf.DUMMYFUNCTION("""COMPUTED_VALUE"""),0.0)</f>
        <v>0</v>
      </c>
      <c r="F369" s="6">
        <f>IFERROR(__xludf.DUMMYFUNCTION("""COMPUTED_VALUE"""),1.0)</f>
        <v>1</v>
      </c>
      <c r="G369" s="6">
        <f>IFERROR(__xludf.DUMMYFUNCTION("""COMPUTED_VALUE"""),0.0)</f>
        <v>0</v>
      </c>
      <c r="H369" s="6">
        <f>IFERROR(__xludf.DUMMYFUNCTION("""COMPUTED_VALUE"""),0.0)</f>
        <v>0</v>
      </c>
      <c r="I369" s="6">
        <f>IFERROR(__xludf.DUMMYFUNCTION("""COMPUTED_VALUE"""),0.0)</f>
        <v>0</v>
      </c>
      <c r="J369" s="6">
        <f>IFERROR(__xludf.DUMMYFUNCTION("""COMPUTED_VALUE"""),0.0)</f>
        <v>0</v>
      </c>
      <c r="K369" s="6">
        <f>IFERROR(__xludf.DUMMYFUNCTION("""COMPUTED_VALUE"""),0.0)</f>
        <v>0</v>
      </c>
      <c r="L369" s="6">
        <f>IFERROR(__xludf.DUMMYFUNCTION("""COMPUTED_VALUE"""),0.0)</f>
        <v>0</v>
      </c>
      <c r="M369" s="6">
        <f>IFERROR(__xludf.DUMMYFUNCTION("""COMPUTED_VALUE"""),0.0)</f>
        <v>0</v>
      </c>
      <c r="N369" s="6">
        <f>IFERROR(__xludf.DUMMYFUNCTION("""COMPUTED_VALUE"""),0.0)</f>
        <v>0</v>
      </c>
      <c r="O369" s="6">
        <f>IFERROR(__xludf.DUMMYFUNCTION("""COMPUTED_VALUE"""),1.0)</f>
        <v>1</v>
      </c>
      <c r="P369" s="6">
        <f>IFERROR(__xludf.DUMMYFUNCTION("""COMPUTED_VALUE"""),0.0)</f>
        <v>0</v>
      </c>
      <c r="Q369" s="6">
        <f>IFERROR(__xludf.DUMMYFUNCTION("""COMPUTED_VALUE"""),0.0)</f>
        <v>0</v>
      </c>
      <c r="R369" s="6">
        <f>IFERROR(__xludf.DUMMYFUNCTION("""COMPUTED_VALUE"""),0.0)</f>
        <v>0</v>
      </c>
      <c r="S369" s="6">
        <f>IFERROR(__xludf.DUMMYFUNCTION("""COMPUTED_VALUE"""),0.0)</f>
        <v>0</v>
      </c>
      <c r="T369" s="6">
        <f>IFERROR(__xludf.DUMMYFUNCTION("""COMPUTED_VALUE"""),0.0)</f>
        <v>0</v>
      </c>
      <c r="U369" s="6">
        <f>IFERROR(__xludf.DUMMYFUNCTION("""COMPUTED_VALUE"""),0.0)</f>
        <v>0</v>
      </c>
      <c r="V369" s="4">
        <f t="shared" ref="V369:X369" si="368">SUM(D369, G369, J369, M369, P369, S369)</f>
        <v>0</v>
      </c>
      <c r="W369" s="4">
        <f t="shared" si="368"/>
        <v>0</v>
      </c>
      <c r="X369" s="4">
        <f t="shared" si="368"/>
        <v>2</v>
      </c>
    </row>
    <row r="370">
      <c r="A370" s="4" t="str">
        <f>IFERROR(__xludf.DUMMYFUNCTION("""COMPUTED_VALUE"""),"Московская международная школа")</f>
        <v>Московская международная школа</v>
      </c>
      <c r="B370" s="4" t="str">
        <f t="array" ref="B370">IFERROR(INDEX('Адреса школ'!F:F, MATCH(A370, 'Адреса школ'!E:E, 0)), "")</f>
        <v>55.745002, 37.686096</v>
      </c>
      <c r="C370" s="5" t="str">
        <f t="array" ref="C370">IFERROR(INDEX('Топ-400'!A:A, MATCH(A370, 'Топ-400'!E:E, 0)), "Вне рейтинга")</f>
        <v>307</v>
      </c>
      <c r="D370" s="6">
        <f>IFERROR(__xludf.DUMMYFUNCTION("""COMPUTED_VALUE"""),0.0)</f>
        <v>0</v>
      </c>
      <c r="E370" s="6">
        <f>IFERROR(__xludf.DUMMYFUNCTION("""COMPUTED_VALUE"""),0.0)</f>
        <v>0</v>
      </c>
      <c r="F370" s="6">
        <f>IFERROR(__xludf.DUMMYFUNCTION("""COMPUTED_VALUE"""),0.0)</f>
        <v>0</v>
      </c>
      <c r="G370" s="6">
        <f>IFERROR(__xludf.DUMMYFUNCTION("""COMPUTED_VALUE"""),0.0)</f>
        <v>0</v>
      </c>
      <c r="H370" s="6">
        <f>IFERROR(__xludf.DUMMYFUNCTION("""COMPUTED_VALUE"""),0.0)</f>
        <v>0</v>
      </c>
      <c r="I370" s="6">
        <f>IFERROR(__xludf.DUMMYFUNCTION("""COMPUTED_VALUE"""),1.0)</f>
        <v>1</v>
      </c>
      <c r="J370" s="6">
        <f>IFERROR(__xludf.DUMMYFUNCTION("""COMPUTED_VALUE"""),0.0)</f>
        <v>0</v>
      </c>
      <c r="K370" s="6">
        <f>IFERROR(__xludf.DUMMYFUNCTION("""COMPUTED_VALUE"""),0.0)</f>
        <v>0</v>
      </c>
      <c r="L370" s="6">
        <f>IFERROR(__xludf.DUMMYFUNCTION("""COMPUTED_VALUE"""),0.0)</f>
        <v>0</v>
      </c>
      <c r="M370" s="6">
        <f>IFERROR(__xludf.DUMMYFUNCTION("""COMPUTED_VALUE"""),1.0)</f>
        <v>1</v>
      </c>
      <c r="N370" s="6">
        <f>IFERROR(__xludf.DUMMYFUNCTION("""COMPUTED_VALUE"""),1.0)</f>
        <v>1</v>
      </c>
      <c r="O370" s="6">
        <f>IFERROR(__xludf.DUMMYFUNCTION("""COMPUTED_VALUE"""),1.0)</f>
        <v>1</v>
      </c>
      <c r="P370" s="6">
        <f>IFERROR(__xludf.DUMMYFUNCTION("""COMPUTED_VALUE"""),1.0)</f>
        <v>1</v>
      </c>
      <c r="Q370" s="6">
        <f>IFERROR(__xludf.DUMMYFUNCTION("""COMPUTED_VALUE"""),0.0)</f>
        <v>0</v>
      </c>
      <c r="R370" s="6">
        <f>IFERROR(__xludf.DUMMYFUNCTION("""COMPUTED_VALUE"""),0.0)</f>
        <v>0</v>
      </c>
      <c r="S370" s="6">
        <f>IFERROR(__xludf.DUMMYFUNCTION("""COMPUTED_VALUE"""),0.0)</f>
        <v>0</v>
      </c>
      <c r="T370" s="6">
        <f>IFERROR(__xludf.DUMMYFUNCTION("""COMPUTED_VALUE"""),0.0)</f>
        <v>0</v>
      </c>
      <c r="U370" s="6">
        <f>IFERROR(__xludf.DUMMYFUNCTION("""COMPUTED_VALUE"""),0.0)</f>
        <v>0</v>
      </c>
      <c r="V370" s="4">
        <f t="shared" ref="V370:X370" si="369">SUM(D370, G370, J370, M370, P370, S370)</f>
        <v>2</v>
      </c>
      <c r="W370" s="4">
        <f t="shared" si="369"/>
        <v>1</v>
      </c>
      <c r="X370" s="4">
        <f t="shared" si="369"/>
        <v>2</v>
      </c>
    </row>
    <row r="371">
      <c r="A371" s="4" t="str">
        <f>IFERROR(__xludf.DUMMYFUNCTION("""COMPUTED_VALUE"""),"образовательное высшего образования Московский городской педагогический университет")</f>
        <v>образовательное высшего образования Московский городской педагогический университет</v>
      </c>
      <c r="B371" s="4" t="str">
        <f t="array" ref="B371">IFERROR(INDEX('Адреса школ'!F:F, MATCH(A371, 'Адреса школ'!E:E, 0)), "")</f>
        <v>55.833643, 37.643471</v>
      </c>
      <c r="C371" s="5" t="str">
        <f t="array" ref="C371">IFERROR(INDEX('Топ-400'!A:A, MATCH(A371, 'Топ-400'!E:E, 0)), "Вне рейтинга")</f>
        <v>Вне рейтинга</v>
      </c>
      <c r="D371" s="6">
        <f>IFERROR(__xludf.DUMMYFUNCTION("""COMPUTED_VALUE"""),0.0)</f>
        <v>0</v>
      </c>
      <c r="E371" s="6">
        <f>IFERROR(__xludf.DUMMYFUNCTION("""COMPUTED_VALUE"""),0.0)</f>
        <v>0</v>
      </c>
      <c r="F371" s="6">
        <f>IFERROR(__xludf.DUMMYFUNCTION("""COMPUTED_VALUE"""),0.0)</f>
        <v>0</v>
      </c>
      <c r="G371" s="6">
        <f>IFERROR(__xludf.DUMMYFUNCTION("""COMPUTED_VALUE"""),0.0)</f>
        <v>0</v>
      </c>
      <c r="H371" s="6">
        <f>IFERROR(__xludf.DUMMYFUNCTION("""COMPUTED_VALUE"""),0.0)</f>
        <v>0</v>
      </c>
      <c r="I371" s="6">
        <f>IFERROR(__xludf.DUMMYFUNCTION("""COMPUTED_VALUE"""),0.0)</f>
        <v>0</v>
      </c>
      <c r="J371" s="6">
        <f>IFERROR(__xludf.DUMMYFUNCTION("""COMPUTED_VALUE"""),0.0)</f>
        <v>0</v>
      </c>
      <c r="K371" s="6">
        <f>IFERROR(__xludf.DUMMYFUNCTION("""COMPUTED_VALUE"""),0.0)</f>
        <v>0</v>
      </c>
      <c r="L371" s="6">
        <f>IFERROR(__xludf.DUMMYFUNCTION("""COMPUTED_VALUE"""),1.0)</f>
        <v>1</v>
      </c>
      <c r="M371" s="6">
        <f>IFERROR(__xludf.DUMMYFUNCTION("""COMPUTED_VALUE"""),0.0)</f>
        <v>0</v>
      </c>
      <c r="N371" s="6">
        <f>IFERROR(__xludf.DUMMYFUNCTION("""COMPUTED_VALUE"""),0.0)</f>
        <v>0</v>
      </c>
      <c r="O371" s="6">
        <f>IFERROR(__xludf.DUMMYFUNCTION("""COMPUTED_VALUE"""),0.0)</f>
        <v>0</v>
      </c>
      <c r="P371" s="6">
        <f>IFERROR(__xludf.DUMMYFUNCTION("""COMPUTED_VALUE"""),0.0)</f>
        <v>0</v>
      </c>
      <c r="Q371" s="6">
        <f>IFERROR(__xludf.DUMMYFUNCTION("""COMPUTED_VALUE"""),0.0)</f>
        <v>0</v>
      </c>
      <c r="R371" s="6">
        <f>IFERROR(__xludf.DUMMYFUNCTION("""COMPUTED_VALUE"""),0.0)</f>
        <v>0</v>
      </c>
      <c r="S371" s="6">
        <f>IFERROR(__xludf.DUMMYFUNCTION("""COMPUTED_VALUE"""),0.0)</f>
        <v>0</v>
      </c>
      <c r="T371" s="6">
        <f>IFERROR(__xludf.DUMMYFUNCTION("""COMPUTED_VALUE"""),0.0)</f>
        <v>0</v>
      </c>
      <c r="U371" s="6">
        <f>IFERROR(__xludf.DUMMYFUNCTION("""COMPUTED_VALUE"""),0.0)</f>
        <v>0</v>
      </c>
      <c r="V371" s="4">
        <f t="shared" ref="V371:X371" si="370">SUM(D371, G371, J371, M371, P371, S371)</f>
        <v>0</v>
      </c>
      <c r="W371" s="4">
        <f t="shared" si="370"/>
        <v>0</v>
      </c>
      <c r="X371" s="4">
        <f t="shared" si="370"/>
        <v>1</v>
      </c>
    </row>
    <row r="372">
      <c r="A372" s="4" t="str">
        <f>IFERROR(__xludf.DUMMYFUNCTION("""COMPUTED_VALUE"""),"Образовательный центр Протон")</f>
        <v>Образовательный центр Протон</v>
      </c>
      <c r="B372" s="4" t="str">
        <f t="array" ref="B372">IFERROR(INDEX('Адреса школ'!F:F, MATCH(A372, 'Адреса школ'!E:E, 0)), "")</f>
        <v>55.749451, 37.542824</v>
      </c>
      <c r="C372" s="5" t="str">
        <f t="array" ref="C372">IFERROR(INDEX('Топ-400'!A:A, MATCH(A372, 'Топ-400'!E:E, 0)), "Вне рейтинга")</f>
        <v>32</v>
      </c>
      <c r="D372" s="6">
        <f>IFERROR(__xludf.DUMMYFUNCTION("""COMPUTED_VALUE"""),1.0)</f>
        <v>1</v>
      </c>
      <c r="E372" s="6">
        <f>IFERROR(__xludf.DUMMYFUNCTION("""COMPUTED_VALUE"""),0.0)</f>
        <v>0</v>
      </c>
      <c r="F372" s="6">
        <f>IFERROR(__xludf.DUMMYFUNCTION("""COMPUTED_VALUE"""),1.0)</f>
        <v>1</v>
      </c>
      <c r="G372" s="6">
        <f>IFERROR(__xludf.DUMMYFUNCTION("""COMPUTED_VALUE"""),1.0)</f>
        <v>1</v>
      </c>
      <c r="H372" s="6">
        <f>IFERROR(__xludf.DUMMYFUNCTION("""COMPUTED_VALUE"""),0.0)</f>
        <v>0</v>
      </c>
      <c r="I372" s="6">
        <f>IFERROR(__xludf.DUMMYFUNCTION("""COMPUTED_VALUE"""),0.0)</f>
        <v>0</v>
      </c>
      <c r="J372" s="6">
        <f>IFERROR(__xludf.DUMMYFUNCTION("""COMPUTED_VALUE"""),1.0)</f>
        <v>1</v>
      </c>
      <c r="K372" s="6">
        <f>IFERROR(__xludf.DUMMYFUNCTION("""COMPUTED_VALUE"""),1.0)</f>
        <v>1</v>
      </c>
      <c r="L372" s="6">
        <f>IFERROR(__xludf.DUMMYFUNCTION("""COMPUTED_VALUE"""),1.0)</f>
        <v>1</v>
      </c>
      <c r="M372" s="6">
        <f>IFERROR(__xludf.DUMMYFUNCTION("""COMPUTED_VALUE"""),1.0)</f>
        <v>1</v>
      </c>
      <c r="N372" s="6">
        <f>IFERROR(__xludf.DUMMYFUNCTION("""COMPUTED_VALUE"""),0.0)</f>
        <v>0</v>
      </c>
      <c r="O372" s="6">
        <f>IFERROR(__xludf.DUMMYFUNCTION("""COMPUTED_VALUE"""),1.0)</f>
        <v>1</v>
      </c>
      <c r="P372" s="6">
        <f>IFERROR(__xludf.DUMMYFUNCTION("""COMPUTED_VALUE"""),1.0)</f>
        <v>1</v>
      </c>
      <c r="Q372" s="6">
        <f>IFERROR(__xludf.DUMMYFUNCTION("""COMPUTED_VALUE"""),1.0)</f>
        <v>1</v>
      </c>
      <c r="R372" s="6">
        <f>IFERROR(__xludf.DUMMYFUNCTION("""COMPUTED_VALUE"""),1.0)</f>
        <v>1</v>
      </c>
      <c r="S372" s="6">
        <f>IFERROR(__xludf.DUMMYFUNCTION("""COMPUTED_VALUE"""),0.0)</f>
        <v>0</v>
      </c>
      <c r="T372" s="6">
        <f>IFERROR(__xludf.DUMMYFUNCTION("""COMPUTED_VALUE"""),0.0)</f>
        <v>0</v>
      </c>
      <c r="U372" s="6">
        <f>IFERROR(__xludf.DUMMYFUNCTION("""COMPUTED_VALUE"""),0.0)</f>
        <v>0</v>
      </c>
      <c r="V372" s="4">
        <f t="shared" ref="V372:X372" si="371">SUM(D372, G372, J372, M372, P372, S372)</f>
        <v>5</v>
      </c>
      <c r="W372" s="4">
        <f t="shared" si="371"/>
        <v>2</v>
      </c>
      <c r="X372" s="4">
        <f t="shared" si="371"/>
        <v>4</v>
      </c>
    </row>
    <row r="373">
      <c r="A373" s="4" t="str">
        <f>IFERROR(__xludf.DUMMYFUNCTION("""COMPUTED_VALUE"""),"профессиональное образовательное Первый Московский Образовательный Комплекс")</f>
        <v>профессиональное образовательное Первый Московский Образовательный Комплекс</v>
      </c>
      <c r="B373" s="4" t="str">
        <f t="array" ref="B373">IFERROR(INDEX('Адреса школ'!F:F, MATCH(A373, 'Адреса школ'!E:E, 0)), "")</f>
        <v>55.883742, 37.652382</v>
      </c>
      <c r="C373" s="5" t="str">
        <f t="array" ref="C373">IFERROR(INDEX('Топ-400'!A:A, MATCH(A373, 'Топ-400'!E:E, 0)), "Вне рейтинга")</f>
        <v>Вне рейтинга</v>
      </c>
      <c r="D373" s="6">
        <f>IFERROR(__xludf.DUMMYFUNCTION("""COMPUTED_VALUE"""),1.0)</f>
        <v>1</v>
      </c>
      <c r="E373" s="6">
        <f>IFERROR(__xludf.DUMMYFUNCTION("""COMPUTED_VALUE"""),1.0)</f>
        <v>1</v>
      </c>
      <c r="F373" s="6">
        <f>IFERROR(__xludf.DUMMYFUNCTION("""COMPUTED_VALUE"""),1.0)</f>
        <v>1</v>
      </c>
      <c r="G373" s="6">
        <f>IFERROR(__xludf.DUMMYFUNCTION("""COMPUTED_VALUE"""),0.0)</f>
        <v>0</v>
      </c>
      <c r="H373" s="6">
        <f>IFERROR(__xludf.DUMMYFUNCTION("""COMPUTED_VALUE"""),0.0)</f>
        <v>0</v>
      </c>
      <c r="I373" s="6">
        <f>IFERROR(__xludf.DUMMYFUNCTION("""COMPUTED_VALUE"""),0.0)</f>
        <v>0</v>
      </c>
      <c r="J373" s="6">
        <f>IFERROR(__xludf.DUMMYFUNCTION("""COMPUTED_VALUE"""),0.0)</f>
        <v>0</v>
      </c>
      <c r="K373" s="6">
        <f>IFERROR(__xludf.DUMMYFUNCTION("""COMPUTED_VALUE"""),0.0)</f>
        <v>0</v>
      </c>
      <c r="L373" s="6">
        <f>IFERROR(__xludf.DUMMYFUNCTION("""COMPUTED_VALUE"""),1.0)</f>
        <v>1</v>
      </c>
      <c r="M373" s="6">
        <f>IFERROR(__xludf.DUMMYFUNCTION("""COMPUTED_VALUE"""),0.0)</f>
        <v>0</v>
      </c>
      <c r="N373" s="6">
        <f>IFERROR(__xludf.DUMMYFUNCTION("""COMPUTED_VALUE"""),0.0)</f>
        <v>0</v>
      </c>
      <c r="O373" s="6">
        <f>IFERROR(__xludf.DUMMYFUNCTION("""COMPUTED_VALUE"""),0.0)</f>
        <v>0</v>
      </c>
      <c r="P373" s="6">
        <f>IFERROR(__xludf.DUMMYFUNCTION("""COMPUTED_VALUE"""),0.0)</f>
        <v>0</v>
      </c>
      <c r="Q373" s="6">
        <f>IFERROR(__xludf.DUMMYFUNCTION("""COMPUTED_VALUE"""),0.0)</f>
        <v>0</v>
      </c>
      <c r="R373" s="6">
        <f>IFERROR(__xludf.DUMMYFUNCTION("""COMPUTED_VALUE"""),0.0)</f>
        <v>0</v>
      </c>
      <c r="S373" s="6">
        <f>IFERROR(__xludf.DUMMYFUNCTION("""COMPUTED_VALUE"""),0.0)</f>
        <v>0</v>
      </c>
      <c r="T373" s="6">
        <f>IFERROR(__xludf.DUMMYFUNCTION("""COMPUTED_VALUE"""),0.0)</f>
        <v>0</v>
      </c>
      <c r="U373" s="6">
        <f>IFERROR(__xludf.DUMMYFUNCTION("""COMPUTED_VALUE"""),0.0)</f>
        <v>0</v>
      </c>
      <c r="V373" s="4">
        <f t="shared" ref="V373:X373" si="372">SUM(D373, G373, J373, M373, P373, S373)</f>
        <v>1</v>
      </c>
      <c r="W373" s="4">
        <f t="shared" si="372"/>
        <v>1</v>
      </c>
      <c r="X373" s="4">
        <f t="shared" si="372"/>
        <v>2</v>
      </c>
    </row>
    <row r="374">
      <c r="A374" s="4" t="str">
        <f>IFERROR(__xludf.DUMMYFUNCTION("""COMPUTED_VALUE"""),"Романовская школа")</f>
        <v>Романовская школа</v>
      </c>
      <c r="B374" s="4" t="str">
        <f t="array" ref="B374">IFERROR(INDEX('Адреса школ'!F:F, MATCH(A374, 'Адреса школ'!E:E, 0)), "")</f>
        <v>55.768527, 37.569809</v>
      </c>
      <c r="C374" s="5" t="str">
        <f t="array" ref="C374">IFERROR(INDEX('Топ-400'!A:A, MATCH(A374, 'Топ-400'!E:E, 0)), "Вне рейтинга")</f>
        <v>127</v>
      </c>
      <c r="D374" s="6">
        <f>IFERROR(__xludf.DUMMYFUNCTION("""COMPUTED_VALUE"""),1.0)</f>
        <v>1</v>
      </c>
      <c r="E374" s="6">
        <f>IFERROR(__xludf.DUMMYFUNCTION("""COMPUTED_VALUE"""),0.0)</f>
        <v>0</v>
      </c>
      <c r="F374" s="6">
        <f>IFERROR(__xludf.DUMMYFUNCTION("""COMPUTED_VALUE"""),0.0)</f>
        <v>0</v>
      </c>
      <c r="G374" s="6">
        <f>IFERROR(__xludf.DUMMYFUNCTION("""COMPUTED_VALUE"""),1.0)</f>
        <v>1</v>
      </c>
      <c r="H374" s="6">
        <f>IFERROR(__xludf.DUMMYFUNCTION("""COMPUTED_VALUE"""),0.0)</f>
        <v>0</v>
      </c>
      <c r="I374" s="6">
        <f>IFERROR(__xludf.DUMMYFUNCTION("""COMPUTED_VALUE"""),1.0)</f>
        <v>1</v>
      </c>
      <c r="J374" s="6">
        <f>IFERROR(__xludf.DUMMYFUNCTION("""COMPUTED_VALUE"""),1.0)</f>
        <v>1</v>
      </c>
      <c r="K374" s="6">
        <f>IFERROR(__xludf.DUMMYFUNCTION("""COMPUTED_VALUE"""),0.0)</f>
        <v>0</v>
      </c>
      <c r="L374" s="6">
        <f>IFERROR(__xludf.DUMMYFUNCTION("""COMPUTED_VALUE"""),1.0)</f>
        <v>1</v>
      </c>
      <c r="M374" s="6">
        <f>IFERROR(__xludf.DUMMYFUNCTION("""COMPUTED_VALUE"""),0.0)</f>
        <v>0</v>
      </c>
      <c r="N374" s="6">
        <f>IFERROR(__xludf.DUMMYFUNCTION("""COMPUTED_VALUE"""),0.0)</f>
        <v>0</v>
      </c>
      <c r="O374" s="6">
        <f>IFERROR(__xludf.DUMMYFUNCTION("""COMPUTED_VALUE"""),0.0)</f>
        <v>0</v>
      </c>
      <c r="P374" s="6">
        <f>IFERROR(__xludf.DUMMYFUNCTION("""COMPUTED_VALUE"""),0.0)</f>
        <v>0</v>
      </c>
      <c r="Q374" s="6">
        <f>IFERROR(__xludf.DUMMYFUNCTION("""COMPUTED_VALUE"""),0.0)</f>
        <v>0</v>
      </c>
      <c r="R374" s="6">
        <f>IFERROR(__xludf.DUMMYFUNCTION("""COMPUTED_VALUE"""),1.0)</f>
        <v>1</v>
      </c>
      <c r="S374" s="6">
        <f>IFERROR(__xludf.DUMMYFUNCTION("""COMPUTED_VALUE"""),0.0)</f>
        <v>0</v>
      </c>
      <c r="T374" s="6">
        <f>IFERROR(__xludf.DUMMYFUNCTION("""COMPUTED_VALUE"""),0.0)</f>
        <v>0</v>
      </c>
      <c r="U374" s="6">
        <f>IFERROR(__xludf.DUMMYFUNCTION("""COMPUTED_VALUE"""),0.0)</f>
        <v>0</v>
      </c>
      <c r="V374" s="4">
        <f t="shared" ref="V374:X374" si="373">SUM(D374, G374, J374, M374, P374, S374)</f>
        <v>3</v>
      </c>
      <c r="W374" s="4">
        <f t="shared" si="373"/>
        <v>0</v>
      </c>
      <c r="X374" s="4">
        <f t="shared" si="373"/>
        <v>3</v>
      </c>
    </row>
    <row r="375">
      <c r="A375" s="4" t="str">
        <f>IFERROR(__xludf.DUMMYFUNCTION("""COMPUTED_VALUE"""),"Цифровая школа")</f>
        <v>Цифровая школа</v>
      </c>
      <c r="B375" s="4" t="str">
        <f t="array" ref="B375">IFERROR(INDEX('Адреса школ'!F:F, MATCH(A375, 'Адреса школ'!E:E, 0)), "")</f>
        <v>55.786364, 37.714213</v>
      </c>
      <c r="C375" s="5" t="str">
        <f t="array" ref="C375">IFERROR(INDEX('Топ-400'!A:A, MATCH(A375, 'Топ-400'!E:E, 0)), "Вне рейтинга")</f>
        <v>Вне рейтинга</v>
      </c>
      <c r="D375" s="6">
        <f>IFERROR(__xludf.DUMMYFUNCTION("""COMPUTED_VALUE"""),0.0)</f>
        <v>0</v>
      </c>
      <c r="E375" s="6">
        <f>IFERROR(__xludf.DUMMYFUNCTION("""COMPUTED_VALUE"""),0.0)</f>
        <v>0</v>
      </c>
      <c r="F375" s="6">
        <f>IFERROR(__xludf.DUMMYFUNCTION("""COMPUTED_VALUE"""),0.0)</f>
        <v>0</v>
      </c>
      <c r="G375" s="6">
        <f>IFERROR(__xludf.DUMMYFUNCTION("""COMPUTED_VALUE"""),0.0)</f>
        <v>0</v>
      </c>
      <c r="H375" s="6">
        <f>IFERROR(__xludf.DUMMYFUNCTION("""COMPUTED_VALUE"""),0.0)</f>
        <v>0</v>
      </c>
      <c r="I375" s="6">
        <f>IFERROR(__xludf.DUMMYFUNCTION("""COMPUTED_VALUE"""),0.0)</f>
        <v>0</v>
      </c>
      <c r="J375" s="6">
        <f>IFERROR(__xludf.DUMMYFUNCTION("""COMPUTED_VALUE"""),1.0)</f>
        <v>1</v>
      </c>
      <c r="K375" s="6">
        <f>IFERROR(__xludf.DUMMYFUNCTION("""COMPUTED_VALUE"""),0.0)</f>
        <v>0</v>
      </c>
      <c r="L375" s="6">
        <f>IFERROR(__xludf.DUMMYFUNCTION("""COMPUTED_VALUE"""),0.0)</f>
        <v>0</v>
      </c>
      <c r="M375" s="6">
        <f>IFERROR(__xludf.DUMMYFUNCTION("""COMPUTED_VALUE"""),0.0)</f>
        <v>0</v>
      </c>
      <c r="N375" s="6">
        <f>IFERROR(__xludf.DUMMYFUNCTION("""COMPUTED_VALUE"""),0.0)</f>
        <v>0</v>
      </c>
      <c r="O375" s="6">
        <f>IFERROR(__xludf.DUMMYFUNCTION("""COMPUTED_VALUE"""),0.0)</f>
        <v>0</v>
      </c>
      <c r="P375" s="6">
        <f>IFERROR(__xludf.DUMMYFUNCTION("""COMPUTED_VALUE"""),0.0)</f>
        <v>0</v>
      </c>
      <c r="Q375" s="6">
        <f>IFERROR(__xludf.DUMMYFUNCTION("""COMPUTED_VALUE"""),0.0)</f>
        <v>0</v>
      </c>
      <c r="R375" s="6">
        <f>IFERROR(__xludf.DUMMYFUNCTION("""COMPUTED_VALUE"""),0.0)</f>
        <v>0</v>
      </c>
      <c r="S375" s="6">
        <f>IFERROR(__xludf.DUMMYFUNCTION("""COMPUTED_VALUE"""),0.0)</f>
        <v>0</v>
      </c>
      <c r="T375" s="6">
        <f>IFERROR(__xludf.DUMMYFUNCTION("""COMPUTED_VALUE"""),0.0)</f>
        <v>0</v>
      </c>
      <c r="U375" s="6">
        <f>IFERROR(__xludf.DUMMYFUNCTION("""COMPUTED_VALUE"""),0.0)</f>
        <v>0</v>
      </c>
      <c r="V375" s="4">
        <f t="shared" ref="V375:X375" si="374">SUM(D375, G375, J375, M375, P375, S375)</f>
        <v>1</v>
      </c>
      <c r="W375" s="4">
        <f t="shared" si="374"/>
        <v>0</v>
      </c>
      <c r="X375" s="4">
        <f t="shared" si="374"/>
        <v>0</v>
      </c>
    </row>
    <row r="376">
      <c r="A376" s="4" t="str">
        <f>IFERROR(__xludf.DUMMYFUNCTION("""COMPUTED_VALUE"""),"Школа Бескудниково")</f>
        <v>Школа Бескудниково</v>
      </c>
      <c r="B376" s="4" t="str">
        <f t="array" ref="B376">IFERROR(INDEX('Адреса школ'!F:F, MATCH(A376, 'Адреса школ'!E:E, 0)), "")</f>
        <v>55.877223, 37.575837</v>
      </c>
      <c r="C376" s="5" t="str">
        <f t="array" ref="C376">IFERROR(INDEX('Топ-400'!A:A, MATCH(A376, 'Топ-400'!E:E, 0)), "Вне рейтинга")</f>
        <v>186</v>
      </c>
      <c r="D376" s="6">
        <f>IFERROR(__xludf.DUMMYFUNCTION("""COMPUTED_VALUE"""),0.0)</f>
        <v>0</v>
      </c>
      <c r="E376" s="6">
        <f>IFERROR(__xludf.DUMMYFUNCTION("""COMPUTED_VALUE"""),0.0)</f>
        <v>0</v>
      </c>
      <c r="F376" s="6">
        <f>IFERROR(__xludf.DUMMYFUNCTION("""COMPUTED_VALUE"""),0.0)</f>
        <v>0</v>
      </c>
      <c r="G376" s="6">
        <f>IFERROR(__xludf.DUMMYFUNCTION("""COMPUTED_VALUE"""),0.0)</f>
        <v>0</v>
      </c>
      <c r="H376" s="6">
        <f>IFERROR(__xludf.DUMMYFUNCTION("""COMPUTED_VALUE"""),0.0)</f>
        <v>0</v>
      </c>
      <c r="I376" s="6">
        <f>IFERROR(__xludf.DUMMYFUNCTION("""COMPUTED_VALUE"""),0.0)</f>
        <v>0</v>
      </c>
      <c r="J376" s="6">
        <f>IFERROR(__xludf.DUMMYFUNCTION("""COMPUTED_VALUE"""),1.0)</f>
        <v>1</v>
      </c>
      <c r="K376" s="6">
        <f>IFERROR(__xludf.DUMMYFUNCTION("""COMPUTED_VALUE"""),0.0)</f>
        <v>0</v>
      </c>
      <c r="L376" s="6">
        <f>IFERROR(__xludf.DUMMYFUNCTION("""COMPUTED_VALUE"""),1.0)</f>
        <v>1</v>
      </c>
      <c r="M376" s="6">
        <f>IFERROR(__xludf.DUMMYFUNCTION("""COMPUTED_VALUE"""),0.0)</f>
        <v>0</v>
      </c>
      <c r="N376" s="6">
        <f>IFERROR(__xludf.DUMMYFUNCTION("""COMPUTED_VALUE"""),0.0)</f>
        <v>0</v>
      </c>
      <c r="O376" s="6">
        <f>IFERROR(__xludf.DUMMYFUNCTION("""COMPUTED_VALUE"""),0.0)</f>
        <v>0</v>
      </c>
      <c r="P376" s="6">
        <f>IFERROR(__xludf.DUMMYFUNCTION("""COMPUTED_VALUE"""),0.0)</f>
        <v>0</v>
      </c>
      <c r="Q376" s="6">
        <f>IFERROR(__xludf.DUMMYFUNCTION("""COMPUTED_VALUE"""),0.0)</f>
        <v>0</v>
      </c>
      <c r="R376" s="6">
        <f>IFERROR(__xludf.DUMMYFUNCTION("""COMPUTED_VALUE"""),0.0)</f>
        <v>0</v>
      </c>
      <c r="S376" s="6">
        <f>IFERROR(__xludf.DUMMYFUNCTION("""COMPUTED_VALUE"""),0.0)</f>
        <v>0</v>
      </c>
      <c r="T376" s="6">
        <f>IFERROR(__xludf.DUMMYFUNCTION("""COMPUTED_VALUE"""),0.0)</f>
        <v>0</v>
      </c>
      <c r="U376" s="6">
        <f>IFERROR(__xludf.DUMMYFUNCTION("""COMPUTED_VALUE"""),0.0)</f>
        <v>0</v>
      </c>
      <c r="V376" s="4">
        <f t="shared" ref="V376:X376" si="375">SUM(D376, G376, J376, M376, P376, S376)</f>
        <v>1</v>
      </c>
      <c r="W376" s="4">
        <f t="shared" si="375"/>
        <v>0</v>
      </c>
      <c r="X376" s="4">
        <f t="shared" si="375"/>
        <v>1</v>
      </c>
    </row>
    <row r="377">
      <c r="A377" s="4" t="str">
        <f>IFERROR(__xludf.DUMMYFUNCTION("""COMPUTED_VALUE"""),"Школа Бибирево")</f>
        <v>Школа Бибирево</v>
      </c>
      <c r="B377" s="4" t="str">
        <f t="array" ref="B377">IFERROR(INDEX('Адреса школ'!F:F, MATCH(A377, 'Адреса школ'!E:E, 0)), "")</f>
        <v>55.889649, 37.610179</v>
      </c>
      <c r="C377" s="5" t="str">
        <f t="array" ref="C377">IFERROR(INDEX('Топ-400'!A:A, MATCH(A377, 'Топ-400'!E:E, 0)), "Вне рейтинга")</f>
        <v>Вне рейтинга</v>
      </c>
      <c r="D377" s="6">
        <f>IFERROR(__xludf.DUMMYFUNCTION("""COMPUTED_VALUE"""),0.0)</f>
        <v>0</v>
      </c>
      <c r="E377" s="6">
        <f>IFERROR(__xludf.DUMMYFUNCTION("""COMPUTED_VALUE"""),0.0)</f>
        <v>0</v>
      </c>
      <c r="F377" s="6">
        <f>IFERROR(__xludf.DUMMYFUNCTION("""COMPUTED_VALUE"""),0.0)</f>
        <v>0</v>
      </c>
      <c r="G377" s="6">
        <f>IFERROR(__xludf.DUMMYFUNCTION("""COMPUTED_VALUE"""),0.0)</f>
        <v>0</v>
      </c>
      <c r="H377" s="6">
        <f>IFERROR(__xludf.DUMMYFUNCTION("""COMPUTED_VALUE"""),0.0)</f>
        <v>0</v>
      </c>
      <c r="I377" s="6">
        <f>IFERROR(__xludf.DUMMYFUNCTION("""COMPUTED_VALUE"""),0.0)</f>
        <v>0</v>
      </c>
      <c r="J377" s="6">
        <f>IFERROR(__xludf.DUMMYFUNCTION("""COMPUTED_VALUE"""),0.0)</f>
        <v>0</v>
      </c>
      <c r="K377" s="6">
        <f>IFERROR(__xludf.DUMMYFUNCTION("""COMPUTED_VALUE"""),0.0)</f>
        <v>0</v>
      </c>
      <c r="L377" s="6">
        <f>IFERROR(__xludf.DUMMYFUNCTION("""COMPUTED_VALUE"""),0.0)</f>
        <v>0</v>
      </c>
      <c r="M377" s="6">
        <f>IFERROR(__xludf.DUMMYFUNCTION("""COMPUTED_VALUE"""),1.0)</f>
        <v>1</v>
      </c>
      <c r="N377" s="6">
        <f>IFERROR(__xludf.DUMMYFUNCTION("""COMPUTED_VALUE"""),0.0)</f>
        <v>0</v>
      </c>
      <c r="O377" s="6">
        <f>IFERROR(__xludf.DUMMYFUNCTION("""COMPUTED_VALUE"""),0.0)</f>
        <v>0</v>
      </c>
      <c r="P377" s="6">
        <f>IFERROR(__xludf.DUMMYFUNCTION("""COMPUTED_VALUE"""),1.0)</f>
        <v>1</v>
      </c>
      <c r="Q377" s="6">
        <f>IFERROR(__xludf.DUMMYFUNCTION("""COMPUTED_VALUE"""),0.0)</f>
        <v>0</v>
      </c>
      <c r="R377" s="6">
        <f>IFERROR(__xludf.DUMMYFUNCTION("""COMPUTED_VALUE"""),0.0)</f>
        <v>0</v>
      </c>
      <c r="S377" s="6">
        <f>IFERROR(__xludf.DUMMYFUNCTION("""COMPUTED_VALUE"""),0.0)</f>
        <v>0</v>
      </c>
      <c r="T377" s="6">
        <f>IFERROR(__xludf.DUMMYFUNCTION("""COMPUTED_VALUE"""),0.0)</f>
        <v>0</v>
      </c>
      <c r="U377" s="6">
        <f>IFERROR(__xludf.DUMMYFUNCTION("""COMPUTED_VALUE"""),0.0)</f>
        <v>0</v>
      </c>
      <c r="V377" s="4">
        <f t="shared" ref="V377:X377" si="376">SUM(D377, G377, J377, M377, P377, S377)</f>
        <v>2</v>
      </c>
      <c r="W377" s="4">
        <f t="shared" si="376"/>
        <v>0</v>
      </c>
      <c r="X377" s="4">
        <f t="shared" si="376"/>
        <v>0</v>
      </c>
    </row>
    <row r="378">
      <c r="A378" s="4" t="str">
        <f>IFERROR(__xludf.DUMMYFUNCTION("""COMPUTED_VALUE"""),"Школа в Капотне")</f>
        <v>Школа в Капотне</v>
      </c>
      <c r="B378" s="4" t="str">
        <f t="array" ref="B378">IFERROR(INDEX('Адреса школ'!F:F, MATCH(A378, 'Адреса школ'!E:E, 0)), "")</f>
        <v>55.629928, 37.796768</v>
      </c>
      <c r="C378" s="5" t="str">
        <f t="array" ref="C378">IFERROR(INDEX('Топ-400'!A:A, MATCH(A378, 'Топ-400'!E:E, 0)), "Вне рейтинга")</f>
        <v>370</v>
      </c>
      <c r="D378" s="6">
        <f>IFERROR(__xludf.DUMMYFUNCTION("""COMPUTED_VALUE"""),0.0)</f>
        <v>0</v>
      </c>
      <c r="E378" s="6">
        <f>IFERROR(__xludf.DUMMYFUNCTION("""COMPUTED_VALUE"""),0.0)</f>
        <v>0</v>
      </c>
      <c r="F378" s="6">
        <f>IFERROR(__xludf.DUMMYFUNCTION("""COMPUTED_VALUE"""),0.0)</f>
        <v>0</v>
      </c>
      <c r="G378" s="6">
        <f>IFERROR(__xludf.DUMMYFUNCTION("""COMPUTED_VALUE"""),1.0)</f>
        <v>1</v>
      </c>
      <c r="H378" s="6">
        <f>IFERROR(__xludf.DUMMYFUNCTION("""COMPUTED_VALUE"""),0.0)</f>
        <v>0</v>
      </c>
      <c r="I378" s="6">
        <f>IFERROR(__xludf.DUMMYFUNCTION("""COMPUTED_VALUE"""),1.0)</f>
        <v>1</v>
      </c>
      <c r="J378" s="6">
        <f>IFERROR(__xludf.DUMMYFUNCTION("""COMPUTED_VALUE"""),1.0)</f>
        <v>1</v>
      </c>
      <c r="K378" s="6">
        <f>IFERROR(__xludf.DUMMYFUNCTION("""COMPUTED_VALUE"""),1.0)</f>
        <v>1</v>
      </c>
      <c r="L378" s="6">
        <f>IFERROR(__xludf.DUMMYFUNCTION("""COMPUTED_VALUE"""),1.0)</f>
        <v>1</v>
      </c>
      <c r="M378" s="6">
        <f>IFERROR(__xludf.DUMMYFUNCTION("""COMPUTED_VALUE"""),0.0)</f>
        <v>0</v>
      </c>
      <c r="N378" s="6">
        <f>IFERROR(__xludf.DUMMYFUNCTION("""COMPUTED_VALUE"""),0.0)</f>
        <v>0</v>
      </c>
      <c r="O378" s="6">
        <f>IFERROR(__xludf.DUMMYFUNCTION("""COMPUTED_VALUE"""),0.0)</f>
        <v>0</v>
      </c>
      <c r="P378" s="6">
        <f>IFERROR(__xludf.DUMMYFUNCTION("""COMPUTED_VALUE"""),1.0)</f>
        <v>1</v>
      </c>
      <c r="Q378" s="6">
        <f>IFERROR(__xludf.DUMMYFUNCTION("""COMPUTED_VALUE"""),0.0)</f>
        <v>0</v>
      </c>
      <c r="R378" s="6">
        <f>IFERROR(__xludf.DUMMYFUNCTION("""COMPUTED_VALUE"""),0.0)</f>
        <v>0</v>
      </c>
      <c r="S378" s="6">
        <f>IFERROR(__xludf.DUMMYFUNCTION("""COMPUTED_VALUE"""),0.0)</f>
        <v>0</v>
      </c>
      <c r="T378" s="6">
        <f>IFERROR(__xludf.DUMMYFUNCTION("""COMPUTED_VALUE"""),0.0)</f>
        <v>0</v>
      </c>
      <c r="U378" s="6">
        <f>IFERROR(__xludf.DUMMYFUNCTION("""COMPUTED_VALUE"""),0.0)</f>
        <v>0</v>
      </c>
      <c r="V378" s="4">
        <f t="shared" ref="V378:X378" si="377">SUM(D378, G378, J378, M378, P378, S378)</f>
        <v>3</v>
      </c>
      <c r="W378" s="4">
        <f t="shared" si="377"/>
        <v>1</v>
      </c>
      <c r="X378" s="4">
        <f t="shared" si="377"/>
        <v>2</v>
      </c>
    </row>
    <row r="379">
      <c r="A379" s="4" t="str">
        <f>IFERROR(__xludf.DUMMYFUNCTION("""COMPUTED_VALUE"""),"Школа в Некрасовке")</f>
        <v>Школа в Некрасовке</v>
      </c>
      <c r="B379" s="4" t="str">
        <f t="array" ref="B379">IFERROR(INDEX('Адреса школ'!F:F, MATCH(A379, 'Адреса школ'!E:E, 0)), "")</f>
        <v>55.688126, 37.923116</v>
      </c>
      <c r="C379" s="5" t="str">
        <f t="array" ref="C379">IFERROR(INDEX('Топ-400'!A:A, MATCH(A379, 'Топ-400'!E:E, 0)), "Вне рейтинга")</f>
        <v>145</v>
      </c>
      <c r="D379" s="6">
        <f>IFERROR(__xludf.DUMMYFUNCTION("""COMPUTED_VALUE"""),1.0)</f>
        <v>1</v>
      </c>
      <c r="E379" s="6">
        <f>IFERROR(__xludf.DUMMYFUNCTION("""COMPUTED_VALUE"""),1.0)</f>
        <v>1</v>
      </c>
      <c r="F379" s="6">
        <f>IFERROR(__xludf.DUMMYFUNCTION("""COMPUTED_VALUE"""),1.0)</f>
        <v>1</v>
      </c>
      <c r="G379" s="6">
        <f>IFERROR(__xludf.DUMMYFUNCTION("""COMPUTED_VALUE"""),1.0)</f>
        <v>1</v>
      </c>
      <c r="H379" s="6">
        <f>IFERROR(__xludf.DUMMYFUNCTION("""COMPUTED_VALUE"""),1.0)</f>
        <v>1</v>
      </c>
      <c r="I379" s="6">
        <f>IFERROR(__xludf.DUMMYFUNCTION("""COMPUTED_VALUE"""),1.0)</f>
        <v>1</v>
      </c>
      <c r="J379" s="6">
        <f>IFERROR(__xludf.DUMMYFUNCTION("""COMPUTED_VALUE"""),0.0)</f>
        <v>0</v>
      </c>
      <c r="K379" s="6">
        <f>IFERROR(__xludf.DUMMYFUNCTION("""COMPUTED_VALUE"""),0.0)</f>
        <v>0</v>
      </c>
      <c r="L379" s="6">
        <f>IFERROR(__xludf.DUMMYFUNCTION("""COMPUTED_VALUE"""),1.0)</f>
        <v>1</v>
      </c>
      <c r="M379" s="6">
        <f>IFERROR(__xludf.DUMMYFUNCTION("""COMPUTED_VALUE"""),1.0)</f>
        <v>1</v>
      </c>
      <c r="N379" s="6">
        <f>IFERROR(__xludf.DUMMYFUNCTION("""COMPUTED_VALUE"""),1.0)</f>
        <v>1</v>
      </c>
      <c r="O379" s="6">
        <f>IFERROR(__xludf.DUMMYFUNCTION("""COMPUTED_VALUE"""),1.0)</f>
        <v>1</v>
      </c>
      <c r="P379" s="6">
        <f>IFERROR(__xludf.DUMMYFUNCTION("""COMPUTED_VALUE"""),1.0)</f>
        <v>1</v>
      </c>
      <c r="Q379" s="6">
        <f>IFERROR(__xludf.DUMMYFUNCTION("""COMPUTED_VALUE"""),1.0)</f>
        <v>1</v>
      </c>
      <c r="R379" s="6">
        <f>IFERROR(__xludf.DUMMYFUNCTION("""COMPUTED_VALUE"""),1.0)</f>
        <v>1</v>
      </c>
      <c r="S379" s="6">
        <f>IFERROR(__xludf.DUMMYFUNCTION("""COMPUTED_VALUE"""),0.0)</f>
        <v>0</v>
      </c>
      <c r="T379" s="6">
        <f>IFERROR(__xludf.DUMMYFUNCTION("""COMPUTED_VALUE"""),0.0)</f>
        <v>0</v>
      </c>
      <c r="U379" s="6">
        <f>IFERROR(__xludf.DUMMYFUNCTION("""COMPUTED_VALUE"""),0.0)</f>
        <v>0</v>
      </c>
      <c r="V379" s="4">
        <f t="shared" ref="V379:X379" si="378">SUM(D379, G379, J379, M379, P379, S379)</f>
        <v>4</v>
      </c>
      <c r="W379" s="4">
        <f t="shared" si="378"/>
        <v>4</v>
      </c>
      <c r="X379" s="4">
        <f t="shared" si="378"/>
        <v>5</v>
      </c>
    </row>
    <row r="380">
      <c r="A380" s="4" t="str">
        <f>IFERROR(__xludf.DUMMYFUNCTION("""COMPUTED_VALUE"""),"Школа Глория")</f>
        <v>Школа Глория</v>
      </c>
      <c r="B380" s="4" t="str">
        <f t="array" ref="B380">IFERROR(INDEX('Адреса школ'!F:F, MATCH(A380, 'Адреса школ'!E:E, 0)), "")</f>
        <v>55.895666, 37.616207</v>
      </c>
      <c r="C380" s="5" t="str">
        <f t="array" ref="C380">IFERROR(INDEX('Топ-400'!A:A, MATCH(A380, 'Топ-400'!E:E, 0)), "Вне рейтинга")</f>
        <v>108</v>
      </c>
      <c r="D380" s="6">
        <f>IFERROR(__xludf.DUMMYFUNCTION("""COMPUTED_VALUE"""),1.0)</f>
        <v>1</v>
      </c>
      <c r="E380" s="6">
        <f>IFERROR(__xludf.DUMMYFUNCTION("""COMPUTED_VALUE"""),1.0)</f>
        <v>1</v>
      </c>
      <c r="F380" s="6">
        <f>IFERROR(__xludf.DUMMYFUNCTION("""COMPUTED_VALUE"""),1.0)</f>
        <v>1</v>
      </c>
      <c r="G380" s="6">
        <f>IFERROR(__xludf.DUMMYFUNCTION("""COMPUTED_VALUE"""),0.0)</f>
        <v>0</v>
      </c>
      <c r="H380" s="6">
        <f>IFERROR(__xludf.DUMMYFUNCTION("""COMPUTED_VALUE"""),0.0)</f>
        <v>0</v>
      </c>
      <c r="I380" s="6">
        <f>IFERROR(__xludf.DUMMYFUNCTION("""COMPUTED_VALUE"""),0.0)</f>
        <v>0</v>
      </c>
      <c r="J380" s="6">
        <f>IFERROR(__xludf.DUMMYFUNCTION("""COMPUTED_VALUE"""),0.0)</f>
        <v>0</v>
      </c>
      <c r="K380" s="6">
        <f>IFERROR(__xludf.DUMMYFUNCTION("""COMPUTED_VALUE"""),0.0)</f>
        <v>0</v>
      </c>
      <c r="L380" s="6">
        <f>IFERROR(__xludf.DUMMYFUNCTION("""COMPUTED_VALUE"""),0.0)</f>
        <v>0</v>
      </c>
      <c r="M380" s="6">
        <f>IFERROR(__xludf.DUMMYFUNCTION("""COMPUTED_VALUE"""),0.0)</f>
        <v>0</v>
      </c>
      <c r="N380" s="6">
        <f>IFERROR(__xludf.DUMMYFUNCTION("""COMPUTED_VALUE"""),0.0)</f>
        <v>0</v>
      </c>
      <c r="O380" s="6">
        <f>IFERROR(__xludf.DUMMYFUNCTION("""COMPUTED_VALUE"""),1.0)</f>
        <v>1</v>
      </c>
      <c r="P380" s="6">
        <f>IFERROR(__xludf.DUMMYFUNCTION("""COMPUTED_VALUE"""),1.0)</f>
        <v>1</v>
      </c>
      <c r="Q380" s="6">
        <f>IFERROR(__xludf.DUMMYFUNCTION("""COMPUTED_VALUE"""),1.0)</f>
        <v>1</v>
      </c>
      <c r="R380" s="6">
        <f>IFERROR(__xludf.DUMMYFUNCTION("""COMPUTED_VALUE"""),1.0)</f>
        <v>1</v>
      </c>
      <c r="S380" s="6">
        <f>IFERROR(__xludf.DUMMYFUNCTION("""COMPUTED_VALUE"""),0.0)</f>
        <v>0</v>
      </c>
      <c r="T380" s="6">
        <f>IFERROR(__xludf.DUMMYFUNCTION("""COMPUTED_VALUE"""),0.0)</f>
        <v>0</v>
      </c>
      <c r="U380" s="6">
        <f>IFERROR(__xludf.DUMMYFUNCTION("""COMPUTED_VALUE"""),0.0)</f>
        <v>0</v>
      </c>
      <c r="V380" s="4">
        <f t="shared" ref="V380:X380" si="379">SUM(D380, G380, J380, M380, P380, S380)</f>
        <v>2</v>
      </c>
      <c r="W380" s="4">
        <f t="shared" si="379"/>
        <v>2</v>
      </c>
      <c r="X380" s="4">
        <f t="shared" si="379"/>
        <v>3</v>
      </c>
    </row>
    <row r="381">
      <c r="A381" s="4" t="str">
        <f>IFERROR(__xludf.DUMMYFUNCTION("""COMPUTED_VALUE"""),"Школа Дмитровский им. Героя Советского Союза В. П. Кислякова")</f>
        <v>Школа Дмитровский им. Героя Советского Союза В. П. Кислякова</v>
      </c>
      <c r="B381" s="4" t="str">
        <f t="array" ref="B381">IFERROR(INDEX('Адреса школ'!F:F, MATCH(A381, 'Адреса школ'!E:E, 0)), "")</f>
        <v>55.892314, 37.540012</v>
      </c>
      <c r="C381" s="5" t="str">
        <f t="array" ref="C381">IFERROR(INDEX('Топ-400'!A:A, MATCH(A381, 'Топ-400'!E:E, 0)), "Вне рейтинга")</f>
        <v>Вне рейтинга</v>
      </c>
      <c r="D381" s="6">
        <f>IFERROR(__xludf.DUMMYFUNCTION("""COMPUTED_VALUE"""),1.0)</f>
        <v>1</v>
      </c>
      <c r="E381" s="6">
        <f>IFERROR(__xludf.DUMMYFUNCTION("""COMPUTED_VALUE"""),0.0)</f>
        <v>0</v>
      </c>
      <c r="F381" s="6">
        <f>IFERROR(__xludf.DUMMYFUNCTION("""COMPUTED_VALUE"""),1.0)</f>
        <v>1</v>
      </c>
      <c r="G381" s="6">
        <f>IFERROR(__xludf.DUMMYFUNCTION("""COMPUTED_VALUE"""),1.0)</f>
        <v>1</v>
      </c>
      <c r="H381" s="6">
        <f>IFERROR(__xludf.DUMMYFUNCTION("""COMPUTED_VALUE"""),0.0)</f>
        <v>0</v>
      </c>
      <c r="I381" s="6">
        <f>IFERROR(__xludf.DUMMYFUNCTION("""COMPUTED_VALUE"""),1.0)</f>
        <v>1</v>
      </c>
      <c r="J381" s="6">
        <f>IFERROR(__xludf.DUMMYFUNCTION("""COMPUTED_VALUE"""),0.0)</f>
        <v>0</v>
      </c>
      <c r="K381" s="6">
        <f>IFERROR(__xludf.DUMMYFUNCTION("""COMPUTED_VALUE"""),0.0)</f>
        <v>0</v>
      </c>
      <c r="L381" s="6">
        <f>IFERROR(__xludf.DUMMYFUNCTION("""COMPUTED_VALUE"""),0.0)</f>
        <v>0</v>
      </c>
      <c r="M381" s="6">
        <f>IFERROR(__xludf.DUMMYFUNCTION("""COMPUTED_VALUE"""),1.0)</f>
        <v>1</v>
      </c>
      <c r="N381" s="6">
        <f>IFERROR(__xludf.DUMMYFUNCTION("""COMPUTED_VALUE"""),0.0)</f>
        <v>0</v>
      </c>
      <c r="O381" s="6">
        <f>IFERROR(__xludf.DUMMYFUNCTION("""COMPUTED_VALUE"""),1.0)</f>
        <v>1</v>
      </c>
      <c r="P381" s="6">
        <f>IFERROR(__xludf.DUMMYFUNCTION("""COMPUTED_VALUE"""),1.0)</f>
        <v>1</v>
      </c>
      <c r="Q381" s="6">
        <f>IFERROR(__xludf.DUMMYFUNCTION("""COMPUTED_VALUE"""),1.0)</f>
        <v>1</v>
      </c>
      <c r="R381" s="6">
        <f>IFERROR(__xludf.DUMMYFUNCTION("""COMPUTED_VALUE"""),1.0)</f>
        <v>1</v>
      </c>
      <c r="S381" s="6">
        <f>IFERROR(__xludf.DUMMYFUNCTION("""COMPUTED_VALUE"""),0.0)</f>
        <v>0</v>
      </c>
      <c r="T381" s="6">
        <f>IFERROR(__xludf.DUMMYFUNCTION("""COMPUTED_VALUE"""),0.0)</f>
        <v>0</v>
      </c>
      <c r="U381" s="6">
        <f>IFERROR(__xludf.DUMMYFUNCTION("""COMPUTED_VALUE"""),0.0)</f>
        <v>0</v>
      </c>
      <c r="V381" s="4">
        <f t="shared" ref="V381:X381" si="380">SUM(D381, G381, J381, M381, P381, S381)</f>
        <v>4</v>
      </c>
      <c r="W381" s="4">
        <f t="shared" si="380"/>
        <v>1</v>
      </c>
      <c r="X381" s="4">
        <f t="shared" si="380"/>
        <v>4</v>
      </c>
    </row>
    <row r="382">
      <c r="A382" s="4" t="str">
        <f>IFERROR(__xludf.DUMMYFUNCTION("""COMPUTED_VALUE"""),"Школа им. Артема Боровика")</f>
        <v>Школа им. Артема Боровика</v>
      </c>
      <c r="B382" s="4" t="str">
        <f t="array" ref="B382">IFERROR(INDEX('Адреса школ'!F:F, MATCH(A382, 'Адреса школ'!E:E, 0)), "")</f>
        <v>55.665203, 37.751314</v>
      </c>
      <c r="C382" s="5" t="str">
        <f t="array" ref="C382">IFERROR(INDEX('Топ-400'!A:A, MATCH(A382, 'Топ-400'!E:E, 0)), "Вне рейтинга")</f>
        <v>141</v>
      </c>
      <c r="D382" s="6">
        <f>IFERROR(__xludf.DUMMYFUNCTION("""COMPUTED_VALUE"""),1.0)</f>
        <v>1</v>
      </c>
      <c r="E382" s="6">
        <f>IFERROR(__xludf.DUMMYFUNCTION("""COMPUTED_VALUE"""),1.0)</f>
        <v>1</v>
      </c>
      <c r="F382" s="6">
        <f>IFERROR(__xludf.DUMMYFUNCTION("""COMPUTED_VALUE"""),1.0)</f>
        <v>1</v>
      </c>
      <c r="G382" s="6">
        <f>IFERROR(__xludf.DUMMYFUNCTION("""COMPUTED_VALUE"""),0.0)</f>
        <v>0</v>
      </c>
      <c r="H382" s="6">
        <f>IFERROR(__xludf.DUMMYFUNCTION("""COMPUTED_VALUE"""),0.0)</f>
        <v>0</v>
      </c>
      <c r="I382" s="6">
        <f>IFERROR(__xludf.DUMMYFUNCTION("""COMPUTED_VALUE"""),0.0)</f>
        <v>0</v>
      </c>
      <c r="J382" s="6">
        <f>IFERROR(__xludf.DUMMYFUNCTION("""COMPUTED_VALUE"""),0.0)</f>
        <v>0</v>
      </c>
      <c r="K382" s="6">
        <f>IFERROR(__xludf.DUMMYFUNCTION("""COMPUTED_VALUE"""),0.0)</f>
        <v>0</v>
      </c>
      <c r="L382" s="6">
        <f>IFERROR(__xludf.DUMMYFUNCTION("""COMPUTED_VALUE"""),0.0)</f>
        <v>0</v>
      </c>
      <c r="M382" s="6">
        <f>IFERROR(__xludf.DUMMYFUNCTION("""COMPUTED_VALUE"""),1.0)</f>
        <v>1</v>
      </c>
      <c r="N382" s="6">
        <f>IFERROR(__xludf.DUMMYFUNCTION("""COMPUTED_VALUE"""),1.0)</f>
        <v>1</v>
      </c>
      <c r="O382" s="6">
        <f>IFERROR(__xludf.DUMMYFUNCTION("""COMPUTED_VALUE"""),1.0)</f>
        <v>1</v>
      </c>
      <c r="P382" s="6">
        <f>IFERROR(__xludf.DUMMYFUNCTION("""COMPUTED_VALUE"""),1.0)</f>
        <v>1</v>
      </c>
      <c r="Q382" s="6">
        <f>IFERROR(__xludf.DUMMYFUNCTION("""COMPUTED_VALUE"""),0.0)</f>
        <v>0</v>
      </c>
      <c r="R382" s="6">
        <f>IFERROR(__xludf.DUMMYFUNCTION("""COMPUTED_VALUE"""),0.0)</f>
        <v>0</v>
      </c>
      <c r="S382" s="6">
        <f>IFERROR(__xludf.DUMMYFUNCTION("""COMPUTED_VALUE"""),0.0)</f>
        <v>0</v>
      </c>
      <c r="T382" s="6">
        <f>IFERROR(__xludf.DUMMYFUNCTION("""COMPUTED_VALUE"""),0.0)</f>
        <v>0</v>
      </c>
      <c r="U382" s="6">
        <f>IFERROR(__xludf.DUMMYFUNCTION("""COMPUTED_VALUE"""),0.0)</f>
        <v>0</v>
      </c>
      <c r="V382" s="4">
        <f t="shared" ref="V382:X382" si="381">SUM(D382, G382, J382, M382, P382, S382)</f>
        <v>3</v>
      </c>
      <c r="W382" s="4">
        <f t="shared" si="381"/>
        <v>2</v>
      </c>
      <c r="X382" s="4">
        <f t="shared" si="381"/>
        <v>2</v>
      </c>
    </row>
    <row r="383">
      <c r="A383" s="4" t="str">
        <f>IFERROR(__xludf.DUMMYFUNCTION("""COMPUTED_VALUE"""),"Школа им. В. В. Маяковского")</f>
        <v>Школа им. В. В. Маяковского</v>
      </c>
      <c r="B383" s="4" t="str">
        <f t="array" ref="B383">IFERROR(INDEX('Адреса школ'!F:F, MATCH(A383, 'Адреса школ'!E:E, 0)), "")</f>
        <v>55.738277, 37.658194</v>
      </c>
      <c r="C383" s="5" t="str">
        <f t="array" ref="C383">IFERROR(INDEX('Топ-400'!A:A, MATCH(A383, 'Топ-400'!E:E, 0)), "Вне рейтинга")</f>
        <v>204</v>
      </c>
      <c r="D383" s="6">
        <f>IFERROR(__xludf.DUMMYFUNCTION("""COMPUTED_VALUE"""),1.0)</f>
        <v>1</v>
      </c>
      <c r="E383" s="6">
        <f>IFERROR(__xludf.DUMMYFUNCTION("""COMPUTED_VALUE"""),1.0)</f>
        <v>1</v>
      </c>
      <c r="F383" s="6">
        <f>IFERROR(__xludf.DUMMYFUNCTION("""COMPUTED_VALUE"""),1.0)</f>
        <v>1</v>
      </c>
      <c r="G383" s="6">
        <f>IFERROR(__xludf.DUMMYFUNCTION("""COMPUTED_VALUE"""),1.0)</f>
        <v>1</v>
      </c>
      <c r="H383" s="6">
        <f>IFERROR(__xludf.DUMMYFUNCTION("""COMPUTED_VALUE"""),0.0)</f>
        <v>0</v>
      </c>
      <c r="I383" s="6">
        <f>IFERROR(__xludf.DUMMYFUNCTION("""COMPUTED_VALUE"""),1.0)</f>
        <v>1</v>
      </c>
      <c r="J383" s="6">
        <f>IFERROR(__xludf.DUMMYFUNCTION("""COMPUTED_VALUE"""),1.0)</f>
        <v>1</v>
      </c>
      <c r="K383" s="6">
        <f>IFERROR(__xludf.DUMMYFUNCTION("""COMPUTED_VALUE"""),1.0)</f>
        <v>1</v>
      </c>
      <c r="L383" s="6">
        <f>IFERROR(__xludf.DUMMYFUNCTION("""COMPUTED_VALUE"""),1.0)</f>
        <v>1</v>
      </c>
      <c r="M383" s="6">
        <f>IFERROR(__xludf.DUMMYFUNCTION("""COMPUTED_VALUE"""),1.0)</f>
        <v>1</v>
      </c>
      <c r="N383" s="6">
        <f>IFERROR(__xludf.DUMMYFUNCTION("""COMPUTED_VALUE"""),1.0)</f>
        <v>1</v>
      </c>
      <c r="O383" s="6">
        <f>IFERROR(__xludf.DUMMYFUNCTION("""COMPUTED_VALUE"""),1.0)</f>
        <v>1</v>
      </c>
      <c r="P383" s="6">
        <f>IFERROR(__xludf.DUMMYFUNCTION("""COMPUTED_VALUE"""),1.0)</f>
        <v>1</v>
      </c>
      <c r="Q383" s="6">
        <f>IFERROR(__xludf.DUMMYFUNCTION("""COMPUTED_VALUE"""),1.0)</f>
        <v>1</v>
      </c>
      <c r="R383" s="6">
        <f>IFERROR(__xludf.DUMMYFUNCTION("""COMPUTED_VALUE"""),1.0)</f>
        <v>1</v>
      </c>
      <c r="S383" s="6">
        <f>IFERROR(__xludf.DUMMYFUNCTION("""COMPUTED_VALUE"""),0.0)</f>
        <v>0</v>
      </c>
      <c r="T383" s="6">
        <f>IFERROR(__xludf.DUMMYFUNCTION("""COMPUTED_VALUE"""),0.0)</f>
        <v>0</v>
      </c>
      <c r="U383" s="6">
        <f>IFERROR(__xludf.DUMMYFUNCTION("""COMPUTED_VALUE"""),0.0)</f>
        <v>0</v>
      </c>
      <c r="V383" s="4">
        <f t="shared" ref="V383:X383" si="382">SUM(D383, G383, J383, M383, P383, S383)</f>
        <v>5</v>
      </c>
      <c r="W383" s="4">
        <f t="shared" si="382"/>
        <v>4</v>
      </c>
      <c r="X383" s="4">
        <f t="shared" si="382"/>
        <v>5</v>
      </c>
    </row>
    <row r="384">
      <c r="A384" s="4" t="str">
        <f>IFERROR(__xludf.DUMMYFUNCTION("""COMPUTED_VALUE"""),"Школа им. Героя Российской Федерации Е. Н. Чернышева")</f>
        <v>Школа им. Героя Российской Федерации Е. Н. Чернышева</v>
      </c>
      <c r="B384" s="4" t="str">
        <f t="array" ref="B384">IFERROR(INDEX('Адреса школ'!F:F, MATCH(A384, 'Адреса школ'!E:E, 0)), "")</f>
        <v>55.875203, 37.555463</v>
      </c>
      <c r="C384" s="5" t="str">
        <f t="array" ref="C384">IFERROR(INDEX('Топ-400'!A:A, MATCH(A384, 'Топ-400'!E:E, 0)), "Вне рейтинга")</f>
        <v>Вне рейтинга</v>
      </c>
      <c r="D384" s="6">
        <f>IFERROR(__xludf.DUMMYFUNCTION("""COMPUTED_VALUE"""),0.0)</f>
        <v>0</v>
      </c>
      <c r="E384" s="6">
        <f>IFERROR(__xludf.DUMMYFUNCTION("""COMPUTED_VALUE"""),0.0)</f>
        <v>0</v>
      </c>
      <c r="F384" s="6">
        <f>IFERROR(__xludf.DUMMYFUNCTION("""COMPUTED_VALUE"""),0.0)</f>
        <v>0</v>
      </c>
      <c r="G384" s="6">
        <f>IFERROR(__xludf.DUMMYFUNCTION("""COMPUTED_VALUE"""),0.0)</f>
        <v>0</v>
      </c>
      <c r="H384" s="6">
        <f>IFERROR(__xludf.DUMMYFUNCTION("""COMPUTED_VALUE"""),0.0)</f>
        <v>0</v>
      </c>
      <c r="I384" s="6">
        <f>IFERROR(__xludf.DUMMYFUNCTION("""COMPUTED_VALUE"""),0.0)</f>
        <v>0</v>
      </c>
      <c r="J384" s="6">
        <f>IFERROR(__xludf.DUMMYFUNCTION("""COMPUTED_VALUE"""),0.0)</f>
        <v>0</v>
      </c>
      <c r="K384" s="6">
        <f>IFERROR(__xludf.DUMMYFUNCTION("""COMPUTED_VALUE"""),0.0)</f>
        <v>0</v>
      </c>
      <c r="L384" s="6">
        <f>IFERROR(__xludf.DUMMYFUNCTION("""COMPUTED_VALUE"""),0.0)</f>
        <v>0</v>
      </c>
      <c r="M384" s="6">
        <f>IFERROR(__xludf.DUMMYFUNCTION("""COMPUTED_VALUE"""),1.0)</f>
        <v>1</v>
      </c>
      <c r="N384" s="6">
        <f>IFERROR(__xludf.DUMMYFUNCTION("""COMPUTED_VALUE"""),0.0)</f>
        <v>0</v>
      </c>
      <c r="O384" s="6">
        <f>IFERROR(__xludf.DUMMYFUNCTION("""COMPUTED_VALUE"""),0.0)</f>
        <v>0</v>
      </c>
      <c r="P384" s="6">
        <f>IFERROR(__xludf.DUMMYFUNCTION("""COMPUTED_VALUE"""),0.0)</f>
        <v>0</v>
      </c>
      <c r="Q384" s="6">
        <f>IFERROR(__xludf.DUMMYFUNCTION("""COMPUTED_VALUE"""),0.0)</f>
        <v>0</v>
      </c>
      <c r="R384" s="6">
        <f>IFERROR(__xludf.DUMMYFUNCTION("""COMPUTED_VALUE"""),0.0)</f>
        <v>0</v>
      </c>
      <c r="S384" s="6">
        <f>IFERROR(__xludf.DUMMYFUNCTION("""COMPUTED_VALUE"""),0.0)</f>
        <v>0</v>
      </c>
      <c r="T384" s="6">
        <f>IFERROR(__xludf.DUMMYFUNCTION("""COMPUTED_VALUE"""),0.0)</f>
        <v>0</v>
      </c>
      <c r="U384" s="6">
        <f>IFERROR(__xludf.DUMMYFUNCTION("""COMPUTED_VALUE"""),0.0)</f>
        <v>0</v>
      </c>
      <c r="V384" s="4">
        <f t="shared" ref="V384:X384" si="383">SUM(D384, G384, J384, M384, P384, S384)</f>
        <v>1</v>
      </c>
      <c r="W384" s="4">
        <f t="shared" si="383"/>
        <v>0</v>
      </c>
      <c r="X384" s="4">
        <f t="shared" si="383"/>
        <v>0</v>
      </c>
    </row>
    <row r="385">
      <c r="A385" s="4" t="str">
        <f>IFERROR(__xludf.DUMMYFUNCTION("""COMPUTED_VALUE"""),"Школа им. дважды Героя Советского Союза И. С. Полбина")</f>
        <v>Школа им. дважды Героя Советского Союза И. С. Полбина</v>
      </c>
      <c r="B385" s="4" t="str">
        <f t="array" ref="B385">IFERROR(INDEX('Адреса школ'!F:F, MATCH(A385, 'Адреса школ'!E:E, 0)), "")</f>
        <v>55.681839, 37.727598</v>
      </c>
      <c r="C385" s="5" t="str">
        <f t="array" ref="C385">IFERROR(INDEX('Топ-400'!A:A, MATCH(A385, 'Топ-400'!E:E, 0)), "Вне рейтинга")</f>
        <v>Вне рейтинга</v>
      </c>
      <c r="D385" s="6">
        <f>IFERROR(__xludf.DUMMYFUNCTION("""COMPUTED_VALUE"""),0.0)</f>
        <v>0</v>
      </c>
      <c r="E385" s="6">
        <f>IFERROR(__xludf.DUMMYFUNCTION("""COMPUTED_VALUE"""),0.0)</f>
        <v>0</v>
      </c>
      <c r="F385" s="6">
        <f>IFERROR(__xludf.DUMMYFUNCTION("""COMPUTED_VALUE"""),0.0)</f>
        <v>0</v>
      </c>
      <c r="G385" s="6">
        <f>IFERROR(__xludf.DUMMYFUNCTION("""COMPUTED_VALUE"""),0.0)</f>
        <v>0</v>
      </c>
      <c r="H385" s="6">
        <f>IFERROR(__xludf.DUMMYFUNCTION("""COMPUTED_VALUE"""),0.0)</f>
        <v>0</v>
      </c>
      <c r="I385" s="6">
        <f>IFERROR(__xludf.DUMMYFUNCTION("""COMPUTED_VALUE"""),0.0)</f>
        <v>0</v>
      </c>
      <c r="J385" s="6">
        <f>IFERROR(__xludf.DUMMYFUNCTION("""COMPUTED_VALUE"""),1.0)</f>
        <v>1</v>
      </c>
      <c r="K385" s="6">
        <f>IFERROR(__xludf.DUMMYFUNCTION("""COMPUTED_VALUE"""),1.0)</f>
        <v>1</v>
      </c>
      <c r="L385" s="6">
        <f>IFERROR(__xludf.DUMMYFUNCTION("""COMPUTED_VALUE"""),1.0)</f>
        <v>1</v>
      </c>
      <c r="M385" s="6">
        <f>IFERROR(__xludf.DUMMYFUNCTION("""COMPUTED_VALUE"""),1.0)</f>
        <v>1</v>
      </c>
      <c r="N385" s="6">
        <f>IFERROR(__xludf.DUMMYFUNCTION("""COMPUTED_VALUE"""),0.0)</f>
        <v>0</v>
      </c>
      <c r="O385" s="6">
        <f>IFERROR(__xludf.DUMMYFUNCTION("""COMPUTED_VALUE"""),0.0)</f>
        <v>0</v>
      </c>
      <c r="P385" s="6">
        <f>IFERROR(__xludf.DUMMYFUNCTION("""COMPUTED_VALUE"""),0.0)</f>
        <v>0</v>
      </c>
      <c r="Q385" s="6">
        <f>IFERROR(__xludf.DUMMYFUNCTION("""COMPUTED_VALUE"""),0.0)</f>
        <v>0</v>
      </c>
      <c r="R385" s="6">
        <f>IFERROR(__xludf.DUMMYFUNCTION("""COMPUTED_VALUE"""),0.0)</f>
        <v>0</v>
      </c>
      <c r="S385" s="6">
        <f>IFERROR(__xludf.DUMMYFUNCTION("""COMPUTED_VALUE"""),0.0)</f>
        <v>0</v>
      </c>
      <c r="T385" s="6">
        <f>IFERROR(__xludf.DUMMYFUNCTION("""COMPUTED_VALUE"""),0.0)</f>
        <v>0</v>
      </c>
      <c r="U385" s="6">
        <f>IFERROR(__xludf.DUMMYFUNCTION("""COMPUTED_VALUE"""),0.0)</f>
        <v>0</v>
      </c>
      <c r="V385" s="4">
        <f t="shared" ref="V385:X385" si="384">SUM(D385, G385, J385, M385, P385, S385)</f>
        <v>2</v>
      </c>
      <c r="W385" s="4">
        <f t="shared" si="384"/>
        <v>1</v>
      </c>
      <c r="X385" s="4">
        <f t="shared" si="384"/>
        <v>1</v>
      </c>
    </row>
    <row r="386">
      <c r="A386" s="4" t="str">
        <f>IFERROR(__xludf.DUMMYFUNCTION("""COMPUTED_VALUE"""),"Школа им. Н. М. Карамзина")</f>
        <v>Школа им. Н. М. Карамзина</v>
      </c>
      <c r="B386" s="4" t="str">
        <f t="array" ref="B386">IFERROR(INDEX('Адреса школ'!F:F, MATCH(A386, 'Адреса школ'!E:E, 0)), "")</f>
        <v>55.590465, 37.539149</v>
      </c>
      <c r="C386" s="5" t="str">
        <f t="array" ref="C386">IFERROR(INDEX('Топ-400'!A:A, MATCH(A386, 'Топ-400'!E:E, 0)), "Вне рейтинга")</f>
        <v>388</v>
      </c>
      <c r="D386" s="6">
        <f>IFERROR(__xludf.DUMMYFUNCTION("""COMPUTED_VALUE"""),1.0)</f>
        <v>1</v>
      </c>
      <c r="E386" s="6">
        <f>IFERROR(__xludf.DUMMYFUNCTION("""COMPUTED_VALUE"""),0.0)</f>
        <v>0</v>
      </c>
      <c r="F386" s="6">
        <f>IFERROR(__xludf.DUMMYFUNCTION("""COMPUTED_VALUE"""),1.0)</f>
        <v>1</v>
      </c>
      <c r="G386" s="6">
        <f>IFERROR(__xludf.DUMMYFUNCTION("""COMPUTED_VALUE"""),0.0)</f>
        <v>0</v>
      </c>
      <c r="H386" s="6">
        <f>IFERROR(__xludf.DUMMYFUNCTION("""COMPUTED_VALUE"""),0.0)</f>
        <v>0</v>
      </c>
      <c r="I386" s="6">
        <f>IFERROR(__xludf.DUMMYFUNCTION("""COMPUTED_VALUE"""),0.0)</f>
        <v>0</v>
      </c>
      <c r="J386" s="6">
        <f>IFERROR(__xludf.DUMMYFUNCTION("""COMPUTED_VALUE"""),0.0)</f>
        <v>0</v>
      </c>
      <c r="K386" s="6">
        <f>IFERROR(__xludf.DUMMYFUNCTION("""COMPUTED_VALUE"""),0.0)</f>
        <v>0</v>
      </c>
      <c r="L386" s="6">
        <f>IFERROR(__xludf.DUMMYFUNCTION("""COMPUTED_VALUE"""),0.0)</f>
        <v>0</v>
      </c>
      <c r="M386" s="6">
        <f>IFERROR(__xludf.DUMMYFUNCTION("""COMPUTED_VALUE"""),0.0)</f>
        <v>0</v>
      </c>
      <c r="N386" s="6">
        <f>IFERROR(__xludf.DUMMYFUNCTION("""COMPUTED_VALUE"""),0.0)</f>
        <v>0</v>
      </c>
      <c r="O386" s="6">
        <f>IFERROR(__xludf.DUMMYFUNCTION("""COMPUTED_VALUE"""),0.0)</f>
        <v>0</v>
      </c>
      <c r="P386" s="6">
        <f>IFERROR(__xludf.DUMMYFUNCTION("""COMPUTED_VALUE"""),1.0)</f>
        <v>1</v>
      </c>
      <c r="Q386" s="6">
        <f>IFERROR(__xludf.DUMMYFUNCTION("""COMPUTED_VALUE"""),0.0)</f>
        <v>0</v>
      </c>
      <c r="R386" s="6">
        <f>IFERROR(__xludf.DUMMYFUNCTION("""COMPUTED_VALUE"""),0.0)</f>
        <v>0</v>
      </c>
      <c r="S386" s="6">
        <f>IFERROR(__xludf.DUMMYFUNCTION("""COMPUTED_VALUE"""),0.0)</f>
        <v>0</v>
      </c>
      <c r="T386" s="6">
        <f>IFERROR(__xludf.DUMMYFUNCTION("""COMPUTED_VALUE"""),0.0)</f>
        <v>0</v>
      </c>
      <c r="U386" s="6">
        <f>IFERROR(__xludf.DUMMYFUNCTION("""COMPUTED_VALUE"""),0.0)</f>
        <v>0</v>
      </c>
      <c r="V386" s="4">
        <f t="shared" ref="V386:X386" si="385">SUM(D386, G386, J386, M386, P386, S386)</f>
        <v>2</v>
      </c>
      <c r="W386" s="4">
        <f t="shared" si="385"/>
        <v>0</v>
      </c>
      <c r="X386" s="4">
        <f t="shared" si="385"/>
        <v>1</v>
      </c>
    </row>
    <row r="387">
      <c r="A387" s="4" t="str">
        <f>IFERROR(__xludf.DUMMYFUNCTION("""COMPUTED_VALUE"""),"Школа им. Ф. М. Достоевского")</f>
        <v>Школа им. Ф. М. Достоевского</v>
      </c>
      <c r="B387" s="4" t="str">
        <f t="array" ref="B387">IFERROR(INDEX('Адреса школ'!F:F, MATCH(A387, 'Адреса школ'!E:E, 0)), "")</f>
        <v>55.686508, 37.751278</v>
      </c>
      <c r="C387" s="5" t="str">
        <f t="array" ref="C387">IFERROR(INDEX('Топ-400'!A:A, MATCH(A387, 'Топ-400'!E:E, 0)), "Вне рейтинга")</f>
        <v>374</v>
      </c>
      <c r="D387" s="6">
        <f>IFERROR(__xludf.DUMMYFUNCTION("""COMPUTED_VALUE"""),0.0)</f>
        <v>0</v>
      </c>
      <c r="E387" s="6">
        <f>IFERROR(__xludf.DUMMYFUNCTION("""COMPUTED_VALUE"""),0.0)</f>
        <v>0</v>
      </c>
      <c r="F387" s="6">
        <f>IFERROR(__xludf.DUMMYFUNCTION("""COMPUTED_VALUE"""),0.0)</f>
        <v>0</v>
      </c>
      <c r="G387" s="6">
        <f>IFERROR(__xludf.DUMMYFUNCTION("""COMPUTED_VALUE"""),0.0)</f>
        <v>0</v>
      </c>
      <c r="H387" s="6">
        <f>IFERROR(__xludf.DUMMYFUNCTION("""COMPUTED_VALUE"""),0.0)</f>
        <v>0</v>
      </c>
      <c r="I387" s="6">
        <f>IFERROR(__xludf.DUMMYFUNCTION("""COMPUTED_VALUE"""),0.0)</f>
        <v>0</v>
      </c>
      <c r="J387" s="6">
        <f>IFERROR(__xludf.DUMMYFUNCTION("""COMPUTED_VALUE"""),0.0)</f>
        <v>0</v>
      </c>
      <c r="K387" s="6">
        <f>IFERROR(__xludf.DUMMYFUNCTION("""COMPUTED_VALUE"""),0.0)</f>
        <v>0</v>
      </c>
      <c r="L387" s="6">
        <f>IFERROR(__xludf.DUMMYFUNCTION("""COMPUTED_VALUE"""),1.0)</f>
        <v>1</v>
      </c>
      <c r="M387" s="6">
        <f>IFERROR(__xludf.DUMMYFUNCTION("""COMPUTED_VALUE"""),0.0)</f>
        <v>0</v>
      </c>
      <c r="N387" s="6">
        <f>IFERROR(__xludf.DUMMYFUNCTION("""COMPUTED_VALUE"""),0.0)</f>
        <v>0</v>
      </c>
      <c r="O387" s="6">
        <f>IFERROR(__xludf.DUMMYFUNCTION("""COMPUTED_VALUE"""),0.0)</f>
        <v>0</v>
      </c>
      <c r="P387" s="6">
        <f>IFERROR(__xludf.DUMMYFUNCTION("""COMPUTED_VALUE"""),1.0)</f>
        <v>1</v>
      </c>
      <c r="Q387" s="6">
        <f>IFERROR(__xludf.DUMMYFUNCTION("""COMPUTED_VALUE"""),1.0)</f>
        <v>1</v>
      </c>
      <c r="R387" s="6">
        <f>IFERROR(__xludf.DUMMYFUNCTION("""COMPUTED_VALUE"""),1.0)</f>
        <v>1</v>
      </c>
      <c r="S387" s="6">
        <f>IFERROR(__xludf.DUMMYFUNCTION("""COMPUTED_VALUE"""),0.0)</f>
        <v>0</v>
      </c>
      <c r="T387" s="6">
        <f>IFERROR(__xludf.DUMMYFUNCTION("""COMPUTED_VALUE"""),0.0)</f>
        <v>0</v>
      </c>
      <c r="U387" s="6">
        <f>IFERROR(__xludf.DUMMYFUNCTION("""COMPUTED_VALUE"""),0.0)</f>
        <v>0</v>
      </c>
      <c r="V387" s="4">
        <f t="shared" ref="V387:X387" si="386">SUM(D387, G387, J387, M387, P387, S387)</f>
        <v>1</v>
      </c>
      <c r="W387" s="4">
        <f t="shared" si="386"/>
        <v>1</v>
      </c>
      <c r="X387" s="4">
        <f t="shared" si="386"/>
        <v>2</v>
      </c>
    </row>
    <row r="388">
      <c r="A388" s="4" t="str">
        <f>IFERROR(__xludf.DUMMYFUNCTION("""COMPUTED_VALUE"""),"Школа Интеграл")</f>
        <v>Школа Интеграл</v>
      </c>
      <c r="B388" s="4" t="str">
        <f t="array" ref="B388">IFERROR(INDEX('Адреса школ'!F:F, MATCH(A388, 'Адреса школ'!E:E, 0)), "")</f>
        <v>55.740446, 37.495725</v>
      </c>
      <c r="C388" s="5" t="str">
        <f t="array" ref="C388">IFERROR(INDEX('Топ-400'!A:A, MATCH(A388, 'Топ-400'!E:E, 0)), "Вне рейтинга")</f>
        <v>86</v>
      </c>
      <c r="D388" s="6">
        <f>IFERROR(__xludf.DUMMYFUNCTION("""COMPUTED_VALUE"""),1.0)</f>
        <v>1</v>
      </c>
      <c r="E388" s="6">
        <f>IFERROR(__xludf.DUMMYFUNCTION("""COMPUTED_VALUE"""),0.0)</f>
        <v>0</v>
      </c>
      <c r="F388" s="6">
        <f>IFERROR(__xludf.DUMMYFUNCTION("""COMPUTED_VALUE"""),1.0)</f>
        <v>1</v>
      </c>
      <c r="G388" s="6">
        <f>IFERROR(__xludf.DUMMYFUNCTION("""COMPUTED_VALUE"""),1.0)</f>
        <v>1</v>
      </c>
      <c r="H388" s="6">
        <f>IFERROR(__xludf.DUMMYFUNCTION("""COMPUTED_VALUE"""),0.0)</f>
        <v>0</v>
      </c>
      <c r="I388" s="6">
        <f>IFERROR(__xludf.DUMMYFUNCTION("""COMPUTED_VALUE"""),1.0)</f>
        <v>1</v>
      </c>
      <c r="J388" s="6">
        <f>IFERROR(__xludf.DUMMYFUNCTION("""COMPUTED_VALUE"""),0.0)</f>
        <v>0</v>
      </c>
      <c r="K388" s="6">
        <f>IFERROR(__xludf.DUMMYFUNCTION("""COMPUTED_VALUE"""),0.0)</f>
        <v>0</v>
      </c>
      <c r="L388" s="6">
        <f>IFERROR(__xludf.DUMMYFUNCTION("""COMPUTED_VALUE"""),0.0)</f>
        <v>0</v>
      </c>
      <c r="M388" s="6">
        <f>IFERROR(__xludf.DUMMYFUNCTION("""COMPUTED_VALUE"""),0.0)</f>
        <v>0</v>
      </c>
      <c r="N388" s="6">
        <f>IFERROR(__xludf.DUMMYFUNCTION("""COMPUTED_VALUE"""),0.0)</f>
        <v>0</v>
      </c>
      <c r="O388" s="6">
        <f>IFERROR(__xludf.DUMMYFUNCTION("""COMPUTED_VALUE"""),1.0)</f>
        <v>1</v>
      </c>
      <c r="P388" s="6">
        <f>IFERROR(__xludf.DUMMYFUNCTION("""COMPUTED_VALUE"""),1.0)</f>
        <v>1</v>
      </c>
      <c r="Q388" s="6">
        <f>IFERROR(__xludf.DUMMYFUNCTION("""COMPUTED_VALUE"""),1.0)</f>
        <v>1</v>
      </c>
      <c r="R388" s="6">
        <f>IFERROR(__xludf.DUMMYFUNCTION("""COMPUTED_VALUE"""),1.0)</f>
        <v>1</v>
      </c>
      <c r="S388" s="6">
        <f>IFERROR(__xludf.DUMMYFUNCTION("""COMPUTED_VALUE"""),0.0)</f>
        <v>0</v>
      </c>
      <c r="T388" s="6">
        <f>IFERROR(__xludf.DUMMYFUNCTION("""COMPUTED_VALUE"""),0.0)</f>
        <v>0</v>
      </c>
      <c r="U388" s="6">
        <f>IFERROR(__xludf.DUMMYFUNCTION("""COMPUTED_VALUE"""),0.0)</f>
        <v>0</v>
      </c>
      <c r="V388" s="4">
        <f t="shared" ref="V388:X388" si="387">SUM(D388, G388, J388, M388, P388, S388)</f>
        <v>3</v>
      </c>
      <c r="W388" s="4">
        <f t="shared" si="387"/>
        <v>1</v>
      </c>
      <c r="X388" s="4">
        <f t="shared" si="387"/>
        <v>4</v>
      </c>
    </row>
    <row r="389">
      <c r="A389" s="4" t="str">
        <f>IFERROR(__xludf.DUMMYFUNCTION("""COMPUTED_VALUE"""),"Школа Кузьминки")</f>
        <v>Школа Кузьминки</v>
      </c>
      <c r="B389" s="4" t="str">
        <f t="array" ref="B389">IFERROR(INDEX('Адреса школ'!F:F, MATCH(A389, 'Адреса школ'!E:E, 0)), "")</f>
        <v>55.698645, 37.773556</v>
      </c>
      <c r="C389" s="5" t="str">
        <f t="array" ref="C389">IFERROR(INDEX('Топ-400'!A:A, MATCH(A389, 'Топ-400'!E:E, 0)), "Вне рейтинга")</f>
        <v>Вне рейтинга</v>
      </c>
      <c r="D389" s="6">
        <f>IFERROR(__xludf.DUMMYFUNCTION("""COMPUTED_VALUE"""),0.0)</f>
        <v>0</v>
      </c>
      <c r="E389" s="6">
        <f>IFERROR(__xludf.DUMMYFUNCTION("""COMPUTED_VALUE"""),0.0)</f>
        <v>0</v>
      </c>
      <c r="F389" s="6">
        <f>IFERROR(__xludf.DUMMYFUNCTION("""COMPUTED_VALUE"""),0.0)</f>
        <v>0</v>
      </c>
      <c r="G389" s="6">
        <f>IFERROR(__xludf.DUMMYFUNCTION("""COMPUTED_VALUE"""),1.0)</f>
        <v>1</v>
      </c>
      <c r="H389" s="6">
        <f>IFERROR(__xludf.DUMMYFUNCTION("""COMPUTED_VALUE"""),0.0)</f>
        <v>0</v>
      </c>
      <c r="I389" s="6">
        <f>IFERROR(__xludf.DUMMYFUNCTION("""COMPUTED_VALUE"""),0.0)</f>
        <v>0</v>
      </c>
      <c r="J389" s="6">
        <f>IFERROR(__xludf.DUMMYFUNCTION("""COMPUTED_VALUE"""),0.0)</f>
        <v>0</v>
      </c>
      <c r="K389" s="6">
        <f>IFERROR(__xludf.DUMMYFUNCTION("""COMPUTED_VALUE"""),0.0)</f>
        <v>0</v>
      </c>
      <c r="L389" s="6">
        <f>IFERROR(__xludf.DUMMYFUNCTION("""COMPUTED_VALUE"""),0.0)</f>
        <v>0</v>
      </c>
      <c r="M389" s="6">
        <f>IFERROR(__xludf.DUMMYFUNCTION("""COMPUTED_VALUE"""),1.0)</f>
        <v>1</v>
      </c>
      <c r="N389" s="6">
        <f>IFERROR(__xludf.DUMMYFUNCTION("""COMPUTED_VALUE"""),1.0)</f>
        <v>1</v>
      </c>
      <c r="O389" s="6">
        <f>IFERROR(__xludf.DUMMYFUNCTION("""COMPUTED_VALUE"""),1.0)</f>
        <v>1</v>
      </c>
      <c r="P389" s="6">
        <f>IFERROR(__xludf.DUMMYFUNCTION("""COMPUTED_VALUE"""),0.0)</f>
        <v>0</v>
      </c>
      <c r="Q389" s="6">
        <f>IFERROR(__xludf.DUMMYFUNCTION("""COMPUTED_VALUE"""),0.0)</f>
        <v>0</v>
      </c>
      <c r="R389" s="6">
        <f>IFERROR(__xludf.DUMMYFUNCTION("""COMPUTED_VALUE"""),0.0)</f>
        <v>0</v>
      </c>
      <c r="S389" s="6">
        <f>IFERROR(__xludf.DUMMYFUNCTION("""COMPUTED_VALUE"""),0.0)</f>
        <v>0</v>
      </c>
      <c r="T389" s="6">
        <f>IFERROR(__xludf.DUMMYFUNCTION("""COMPUTED_VALUE"""),0.0)</f>
        <v>0</v>
      </c>
      <c r="U389" s="6">
        <f>IFERROR(__xludf.DUMMYFUNCTION("""COMPUTED_VALUE"""),0.0)</f>
        <v>0</v>
      </c>
      <c r="V389" s="4">
        <f t="shared" ref="V389:X389" si="388">SUM(D389, G389, J389, M389, P389, S389)</f>
        <v>2</v>
      </c>
      <c r="W389" s="4">
        <f t="shared" si="388"/>
        <v>1</v>
      </c>
      <c r="X389" s="4">
        <f t="shared" si="388"/>
        <v>1</v>
      </c>
    </row>
    <row r="390">
      <c r="A390" s="4" t="str">
        <f>IFERROR(__xludf.DUMMYFUNCTION("""COMPUTED_VALUE"""),"Школа Марьина Роща им. В. Ф. Орлова")</f>
        <v>Школа Марьина Роща им. В. Ф. Орлова</v>
      </c>
      <c r="B390" s="4" t="str">
        <f t="array" ref="B390">IFERROR(INDEX('Адреса школ'!F:F, MATCH(A390, 'Адреса школ'!E:E, 0)), "")</f>
        <v>55.79556, 37.600648</v>
      </c>
      <c r="C390" s="5" t="str">
        <f t="array" ref="C390">IFERROR(INDEX('Топ-400'!A:A, MATCH(A390, 'Топ-400'!E:E, 0)), "Вне рейтинга")</f>
        <v>46</v>
      </c>
      <c r="D390" s="6">
        <f>IFERROR(__xludf.DUMMYFUNCTION("""COMPUTED_VALUE"""),1.0)</f>
        <v>1</v>
      </c>
      <c r="E390" s="6">
        <f>IFERROR(__xludf.DUMMYFUNCTION("""COMPUTED_VALUE"""),1.0)</f>
        <v>1</v>
      </c>
      <c r="F390" s="6">
        <f>IFERROR(__xludf.DUMMYFUNCTION("""COMPUTED_VALUE"""),1.0)</f>
        <v>1</v>
      </c>
      <c r="G390" s="6">
        <f>IFERROR(__xludf.DUMMYFUNCTION("""COMPUTED_VALUE"""),1.0)</f>
        <v>1</v>
      </c>
      <c r="H390" s="6">
        <f>IFERROR(__xludf.DUMMYFUNCTION("""COMPUTED_VALUE"""),0.0)</f>
        <v>0</v>
      </c>
      <c r="I390" s="6">
        <f>IFERROR(__xludf.DUMMYFUNCTION("""COMPUTED_VALUE"""),1.0)</f>
        <v>1</v>
      </c>
      <c r="J390" s="6">
        <f>IFERROR(__xludf.DUMMYFUNCTION("""COMPUTED_VALUE"""),1.0)</f>
        <v>1</v>
      </c>
      <c r="K390" s="6">
        <f>IFERROR(__xludf.DUMMYFUNCTION("""COMPUTED_VALUE"""),0.0)</f>
        <v>0</v>
      </c>
      <c r="L390" s="6">
        <f>IFERROR(__xludf.DUMMYFUNCTION("""COMPUTED_VALUE"""),1.0)</f>
        <v>1</v>
      </c>
      <c r="M390" s="6">
        <f>IFERROR(__xludf.DUMMYFUNCTION("""COMPUTED_VALUE"""),1.0)</f>
        <v>1</v>
      </c>
      <c r="N390" s="6">
        <f>IFERROR(__xludf.DUMMYFUNCTION("""COMPUTED_VALUE"""),1.0)</f>
        <v>1</v>
      </c>
      <c r="O390" s="6">
        <f>IFERROR(__xludf.DUMMYFUNCTION("""COMPUTED_VALUE"""),1.0)</f>
        <v>1</v>
      </c>
      <c r="P390" s="6">
        <f>IFERROR(__xludf.DUMMYFUNCTION("""COMPUTED_VALUE"""),1.0)</f>
        <v>1</v>
      </c>
      <c r="Q390" s="6">
        <f>IFERROR(__xludf.DUMMYFUNCTION("""COMPUTED_VALUE"""),1.0)</f>
        <v>1</v>
      </c>
      <c r="R390" s="6">
        <f>IFERROR(__xludf.DUMMYFUNCTION("""COMPUTED_VALUE"""),1.0)</f>
        <v>1</v>
      </c>
      <c r="S390" s="6">
        <f>IFERROR(__xludf.DUMMYFUNCTION("""COMPUTED_VALUE"""),0.0)</f>
        <v>0</v>
      </c>
      <c r="T390" s="6">
        <f>IFERROR(__xludf.DUMMYFUNCTION("""COMPUTED_VALUE"""),0.0)</f>
        <v>0</v>
      </c>
      <c r="U390" s="6">
        <f>IFERROR(__xludf.DUMMYFUNCTION("""COMPUTED_VALUE"""),0.0)</f>
        <v>0</v>
      </c>
      <c r="V390" s="4">
        <f t="shared" ref="V390:X390" si="389">SUM(D390, G390, J390, M390, P390, S390)</f>
        <v>5</v>
      </c>
      <c r="W390" s="4">
        <f t="shared" si="389"/>
        <v>3</v>
      </c>
      <c r="X390" s="4">
        <f t="shared" si="389"/>
        <v>5</v>
      </c>
    </row>
    <row r="391">
      <c r="A391" s="4" t="str">
        <f>IFERROR(__xludf.DUMMYFUNCTION("""COMPUTED_VALUE"""),"Школа Марьино им. маршала авиации А. Е. Голованова")</f>
        <v>Школа Марьино им. маршала авиации А. Е. Голованова</v>
      </c>
      <c r="B391" s="4" t="str">
        <f t="array" ref="B391">IFERROR(INDEX('Адреса школ'!F:F, MATCH(A391, 'Адреса школ'!E:E, 0)), "")</f>
        <v>55.643322, 37.718884</v>
      </c>
      <c r="C391" s="5" t="str">
        <f t="array" ref="C391">IFERROR(INDEX('Топ-400'!A:A, MATCH(A391, 'Топ-400'!E:E, 0)), "Вне рейтинга")</f>
        <v>Вне рейтинга</v>
      </c>
      <c r="D391" s="6">
        <f>IFERROR(__xludf.DUMMYFUNCTION("""COMPUTED_VALUE"""),1.0)</f>
        <v>1</v>
      </c>
      <c r="E391" s="6">
        <f>IFERROR(__xludf.DUMMYFUNCTION("""COMPUTED_VALUE"""),0.0)</f>
        <v>0</v>
      </c>
      <c r="F391" s="6">
        <f>IFERROR(__xludf.DUMMYFUNCTION("""COMPUTED_VALUE"""),0.0)</f>
        <v>0</v>
      </c>
      <c r="G391" s="6">
        <f>IFERROR(__xludf.DUMMYFUNCTION("""COMPUTED_VALUE"""),1.0)</f>
        <v>1</v>
      </c>
      <c r="H391" s="6">
        <f>IFERROR(__xludf.DUMMYFUNCTION("""COMPUTED_VALUE"""),0.0)</f>
        <v>0</v>
      </c>
      <c r="I391" s="6">
        <f>IFERROR(__xludf.DUMMYFUNCTION("""COMPUTED_VALUE"""),1.0)</f>
        <v>1</v>
      </c>
      <c r="J391" s="6">
        <f>IFERROR(__xludf.DUMMYFUNCTION("""COMPUTED_VALUE"""),0.0)</f>
        <v>0</v>
      </c>
      <c r="K391" s="6">
        <f>IFERROR(__xludf.DUMMYFUNCTION("""COMPUTED_VALUE"""),1.0)</f>
        <v>1</v>
      </c>
      <c r="L391" s="6">
        <f>IFERROR(__xludf.DUMMYFUNCTION("""COMPUTED_VALUE"""),1.0)</f>
        <v>1</v>
      </c>
      <c r="M391" s="6">
        <f>IFERROR(__xludf.DUMMYFUNCTION("""COMPUTED_VALUE"""),0.0)</f>
        <v>0</v>
      </c>
      <c r="N391" s="6">
        <f>IFERROR(__xludf.DUMMYFUNCTION("""COMPUTED_VALUE"""),0.0)</f>
        <v>0</v>
      </c>
      <c r="O391" s="6">
        <f>IFERROR(__xludf.DUMMYFUNCTION("""COMPUTED_VALUE"""),0.0)</f>
        <v>0</v>
      </c>
      <c r="P391" s="6">
        <f>IFERROR(__xludf.DUMMYFUNCTION("""COMPUTED_VALUE"""),1.0)</f>
        <v>1</v>
      </c>
      <c r="Q391" s="6">
        <f>IFERROR(__xludf.DUMMYFUNCTION("""COMPUTED_VALUE"""),1.0)</f>
        <v>1</v>
      </c>
      <c r="R391" s="6">
        <f>IFERROR(__xludf.DUMMYFUNCTION("""COMPUTED_VALUE"""),1.0)</f>
        <v>1</v>
      </c>
      <c r="S391" s="6">
        <f>IFERROR(__xludf.DUMMYFUNCTION("""COMPUTED_VALUE"""),0.0)</f>
        <v>0</v>
      </c>
      <c r="T391" s="6">
        <f>IFERROR(__xludf.DUMMYFUNCTION("""COMPUTED_VALUE"""),0.0)</f>
        <v>0</v>
      </c>
      <c r="U391" s="6">
        <f>IFERROR(__xludf.DUMMYFUNCTION("""COMPUTED_VALUE"""),0.0)</f>
        <v>0</v>
      </c>
      <c r="V391" s="4">
        <f t="shared" ref="V391:X391" si="390">SUM(D391, G391, J391, M391, P391, S391)</f>
        <v>3</v>
      </c>
      <c r="W391" s="4">
        <f t="shared" si="390"/>
        <v>2</v>
      </c>
      <c r="X391" s="4">
        <f t="shared" si="390"/>
        <v>3</v>
      </c>
    </row>
    <row r="392">
      <c r="A392" s="4" t="str">
        <f>IFERROR(__xludf.DUMMYFUNCTION("""COMPUTED_VALUE"""),"Школа на проспекте Вернадского")</f>
        <v>Школа на проспекте Вернадского</v>
      </c>
      <c r="B392" s="4" t="str">
        <f t="array" ref="B392">IFERROR(INDEX('Адреса школ'!F:F, MATCH(A392, 'Адреса школ'!E:E, 0)), "")</f>
        <v>55.656133, 37.476366</v>
      </c>
      <c r="C392" s="5" t="str">
        <f t="array" ref="C392">IFERROR(INDEX('Топ-400'!A:A, MATCH(A392, 'Топ-400'!E:E, 0)), "Вне рейтинга")</f>
        <v>29</v>
      </c>
      <c r="D392" s="6">
        <f>IFERROR(__xludf.DUMMYFUNCTION("""COMPUTED_VALUE"""),1.0)</f>
        <v>1</v>
      </c>
      <c r="E392" s="6">
        <f>IFERROR(__xludf.DUMMYFUNCTION("""COMPUTED_VALUE"""),1.0)</f>
        <v>1</v>
      </c>
      <c r="F392" s="6">
        <f>IFERROR(__xludf.DUMMYFUNCTION("""COMPUTED_VALUE"""),1.0)</f>
        <v>1</v>
      </c>
      <c r="G392" s="6">
        <f>IFERROR(__xludf.DUMMYFUNCTION("""COMPUTED_VALUE"""),0.0)</f>
        <v>0</v>
      </c>
      <c r="H392" s="6">
        <f>IFERROR(__xludf.DUMMYFUNCTION("""COMPUTED_VALUE"""),0.0)</f>
        <v>0</v>
      </c>
      <c r="I392" s="6">
        <f>IFERROR(__xludf.DUMMYFUNCTION("""COMPUTED_VALUE"""),0.0)</f>
        <v>0</v>
      </c>
      <c r="J392" s="6">
        <f>IFERROR(__xludf.DUMMYFUNCTION("""COMPUTED_VALUE"""),0.0)</f>
        <v>0</v>
      </c>
      <c r="K392" s="6">
        <f>IFERROR(__xludf.DUMMYFUNCTION("""COMPUTED_VALUE"""),0.0)</f>
        <v>0</v>
      </c>
      <c r="L392" s="6">
        <f>IFERROR(__xludf.DUMMYFUNCTION("""COMPUTED_VALUE"""),1.0)</f>
        <v>1</v>
      </c>
      <c r="M392" s="6">
        <f>IFERROR(__xludf.DUMMYFUNCTION("""COMPUTED_VALUE"""),0.0)</f>
        <v>0</v>
      </c>
      <c r="N392" s="6">
        <f>IFERROR(__xludf.DUMMYFUNCTION("""COMPUTED_VALUE"""),0.0)</f>
        <v>0</v>
      </c>
      <c r="O392" s="6">
        <f>IFERROR(__xludf.DUMMYFUNCTION("""COMPUTED_VALUE"""),1.0)</f>
        <v>1</v>
      </c>
      <c r="P392" s="6">
        <f>IFERROR(__xludf.DUMMYFUNCTION("""COMPUTED_VALUE"""),1.0)</f>
        <v>1</v>
      </c>
      <c r="Q392" s="6">
        <f>IFERROR(__xludf.DUMMYFUNCTION("""COMPUTED_VALUE"""),1.0)</f>
        <v>1</v>
      </c>
      <c r="R392" s="6">
        <f>IFERROR(__xludf.DUMMYFUNCTION("""COMPUTED_VALUE"""),1.0)</f>
        <v>1</v>
      </c>
      <c r="S392" s="6">
        <f>IFERROR(__xludf.DUMMYFUNCTION("""COMPUTED_VALUE"""),0.0)</f>
        <v>0</v>
      </c>
      <c r="T392" s="6">
        <f>IFERROR(__xludf.DUMMYFUNCTION("""COMPUTED_VALUE"""),0.0)</f>
        <v>0</v>
      </c>
      <c r="U392" s="6">
        <f>IFERROR(__xludf.DUMMYFUNCTION("""COMPUTED_VALUE"""),0.0)</f>
        <v>0</v>
      </c>
      <c r="V392" s="4">
        <f t="shared" ref="V392:X392" si="391">SUM(D392, G392, J392, M392, P392, S392)</f>
        <v>2</v>
      </c>
      <c r="W392" s="4">
        <f t="shared" si="391"/>
        <v>2</v>
      </c>
      <c r="X392" s="4">
        <f t="shared" si="391"/>
        <v>4</v>
      </c>
    </row>
    <row r="393">
      <c r="A393" s="4" t="str">
        <f>IFERROR(__xludf.DUMMYFUNCTION("""COMPUTED_VALUE"""),"Школа на Юго-Востоке им. Маршала В. И. Чуйкова")</f>
        <v>Школа на Юго-Востоке им. Маршала В. И. Чуйкова</v>
      </c>
      <c r="B393" s="4" t="str">
        <f t="array" ref="B393">IFERROR(INDEX('Адреса школ'!F:F, MATCH(A393, 'Адреса школ'!E:E, 0)), "")</f>
        <v>55.751883, 37.679161</v>
      </c>
      <c r="C393" s="5" t="str">
        <f t="array" ref="C393">IFERROR(INDEX('Топ-400'!A:A, MATCH(A393, 'Топ-400'!E:E, 0)), "Вне рейтинга")</f>
        <v>Вне рейтинга</v>
      </c>
      <c r="D393" s="6">
        <f>IFERROR(__xludf.DUMMYFUNCTION("""COMPUTED_VALUE"""),1.0)</f>
        <v>1</v>
      </c>
      <c r="E393" s="6">
        <f>IFERROR(__xludf.DUMMYFUNCTION("""COMPUTED_VALUE"""),0.0)</f>
        <v>0</v>
      </c>
      <c r="F393" s="6">
        <f>IFERROR(__xludf.DUMMYFUNCTION("""COMPUTED_VALUE"""),1.0)</f>
        <v>1</v>
      </c>
      <c r="G393" s="6">
        <f>IFERROR(__xludf.DUMMYFUNCTION("""COMPUTED_VALUE"""),1.0)</f>
        <v>1</v>
      </c>
      <c r="H393" s="6">
        <f>IFERROR(__xludf.DUMMYFUNCTION("""COMPUTED_VALUE"""),0.0)</f>
        <v>0</v>
      </c>
      <c r="I393" s="6">
        <f>IFERROR(__xludf.DUMMYFUNCTION("""COMPUTED_VALUE"""),0.0)</f>
        <v>0</v>
      </c>
      <c r="J393" s="6">
        <f>IFERROR(__xludf.DUMMYFUNCTION("""COMPUTED_VALUE"""),0.0)</f>
        <v>0</v>
      </c>
      <c r="K393" s="6">
        <f>IFERROR(__xludf.DUMMYFUNCTION("""COMPUTED_VALUE"""),0.0)</f>
        <v>0</v>
      </c>
      <c r="L393" s="6">
        <f>IFERROR(__xludf.DUMMYFUNCTION("""COMPUTED_VALUE"""),0.0)</f>
        <v>0</v>
      </c>
      <c r="M393" s="6">
        <f>IFERROR(__xludf.DUMMYFUNCTION("""COMPUTED_VALUE"""),0.0)</f>
        <v>0</v>
      </c>
      <c r="N393" s="6">
        <f>IFERROR(__xludf.DUMMYFUNCTION("""COMPUTED_VALUE"""),0.0)</f>
        <v>0</v>
      </c>
      <c r="O393" s="6">
        <f>IFERROR(__xludf.DUMMYFUNCTION("""COMPUTED_VALUE"""),0.0)</f>
        <v>0</v>
      </c>
      <c r="P393" s="6">
        <f>IFERROR(__xludf.DUMMYFUNCTION("""COMPUTED_VALUE"""),1.0)</f>
        <v>1</v>
      </c>
      <c r="Q393" s="6">
        <f>IFERROR(__xludf.DUMMYFUNCTION("""COMPUTED_VALUE"""),0.0)</f>
        <v>0</v>
      </c>
      <c r="R393" s="6">
        <f>IFERROR(__xludf.DUMMYFUNCTION("""COMPUTED_VALUE"""),0.0)</f>
        <v>0</v>
      </c>
      <c r="S393" s="6">
        <f>IFERROR(__xludf.DUMMYFUNCTION("""COMPUTED_VALUE"""),0.0)</f>
        <v>0</v>
      </c>
      <c r="T393" s="6">
        <f>IFERROR(__xludf.DUMMYFUNCTION("""COMPUTED_VALUE"""),0.0)</f>
        <v>0</v>
      </c>
      <c r="U393" s="6">
        <f>IFERROR(__xludf.DUMMYFUNCTION("""COMPUTED_VALUE"""),0.0)</f>
        <v>0</v>
      </c>
      <c r="V393" s="4">
        <f t="shared" ref="V393:X393" si="392">SUM(D393, G393, J393, M393, P393, S393)</f>
        <v>3</v>
      </c>
      <c r="W393" s="4">
        <f t="shared" si="392"/>
        <v>0</v>
      </c>
      <c r="X393" s="4">
        <f t="shared" si="392"/>
        <v>1</v>
      </c>
    </row>
    <row r="394">
      <c r="A394" s="4" t="str">
        <f>IFERROR(__xludf.DUMMYFUNCTION("""COMPUTED_VALUE"""),"Школа на Яузе")</f>
        <v>Школа на Яузе</v>
      </c>
      <c r="B394" s="4" t="str">
        <f t="array" ref="B394">IFERROR(INDEX('Адреса школ'!F:F, MATCH(A394, 'Адреса школ'!E:E, 0)), "")</f>
        <v>55.768851, 37.687973</v>
      </c>
      <c r="C394" s="5" t="str">
        <f t="array" ref="C394">IFERROR(INDEX('Топ-400'!A:A, MATCH(A394, 'Топ-400'!E:E, 0)), "Вне рейтинга")</f>
        <v>362</v>
      </c>
      <c r="D394" s="6">
        <f>IFERROR(__xludf.DUMMYFUNCTION("""COMPUTED_VALUE"""),1.0)</f>
        <v>1</v>
      </c>
      <c r="E394" s="6">
        <f>IFERROR(__xludf.DUMMYFUNCTION("""COMPUTED_VALUE"""),0.0)</f>
        <v>0</v>
      </c>
      <c r="F394" s="6">
        <f>IFERROR(__xludf.DUMMYFUNCTION("""COMPUTED_VALUE"""),1.0)</f>
        <v>1</v>
      </c>
      <c r="G394" s="6">
        <f>IFERROR(__xludf.DUMMYFUNCTION("""COMPUTED_VALUE"""),0.0)</f>
        <v>0</v>
      </c>
      <c r="H394" s="6">
        <f>IFERROR(__xludf.DUMMYFUNCTION("""COMPUTED_VALUE"""),0.0)</f>
        <v>0</v>
      </c>
      <c r="I394" s="6">
        <f>IFERROR(__xludf.DUMMYFUNCTION("""COMPUTED_VALUE"""),0.0)</f>
        <v>0</v>
      </c>
      <c r="J394" s="6">
        <f>IFERROR(__xludf.DUMMYFUNCTION("""COMPUTED_VALUE"""),0.0)</f>
        <v>0</v>
      </c>
      <c r="K394" s="6">
        <f>IFERROR(__xludf.DUMMYFUNCTION("""COMPUTED_VALUE"""),0.0)</f>
        <v>0</v>
      </c>
      <c r="L394" s="6">
        <f>IFERROR(__xludf.DUMMYFUNCTION("""COMPUTED_VALUE"""),0.0)</f>
        <v>0</v>
      </c>
      <c r="M394" s="6">
        <f>IFERROR(__xludf.DUMMYFUNCTION("""COMPUTED_VALUE"""),0.0)</f>
        <v>0</v>
      </c>
      <c r="N394" s="6">
        <f>IFERROR(__xludf.DUMMYFUNCTION("""COMPUTED_VALUE"""),0.0)</f>
        <v>0</v>
      </c>
      <c r="O394" s="6">
        <f>IFERROR(__xludf.DUMMYFUNCTION("""COMPUTED_VALUE"""),0.0)</f>
        <v>0</v>
      </c>
      <c r="P394" s="6">
        <f>IFERROR(__xludf.DUMMYFUNCTION("""COMPUTED_VALUE"""),0.0)</f>
        <v>0</v>
      </c>
      <c r="Q394" s="6">
        <f>IFERROR(__xludf.DUMMYFUNCTION("""COMPUTED_VALUE"""),0.0)</f>
        <v>0</v>
      </c>
      <c r="R394" s="6">
        <f>IFERROR(__xludf.DUMMYFUNCTION("""COMPUTED_VALUE"""),0.0)</f>
        <v>0</v>
      </c>
      <c r="S394" s="6">
        <f>IFERROR(__xludf.DUMMYFUNCTION("""COMPUTED_VALUE"""),0.0)</f>
        <v>0</v>
      </c>
      <c r="T394" s="6">
        <f>IFERROR(__xludf.DUMMYFUNCTION("""COMPUTED_VALUE"""),0.0)</f>
        <v>0</v>
      </c>
      <c r="U394" s="6">
        <f>IFERROR(__xludf.DUMMYFUNCTION("""COMPUTED_VALUE"""),0.0)</f>
        <v>0</v>
      </c>
      <c r="V394" s="4">
        <f t="shared" ref="V394:X394" si="393">SUM(D394, G394, J394, M394, P394, S394)</f>
        <v>1</v>
      </c>
      <c r="W394" s="4">
        <f t="shared" si="393"/>
        <v>0</v>
      </c>
      <c r="X394" s="4">
        <f t="shared" si="393"/>
        <v>1</v>
      </c>
    </row>
    <row r="395">
      <c r="A395" s="4" t="str">
        <f>IFERROR(__xludf.DUMMYFUNCTION("""COMPUTED_VALUE"""),"Школа Новокосино им. Героя Советского Союза адмирала А. П. Михайловского")</f>
        <v>Школа Новокосино им. Героя Советского Союза адмирала А. П. Михайловского</v>
      </c>
      <c r="B395" s="4" t="str">
        <f t="array" ref="B395">IFERROR(INDEX('Адреса школ'!F:F, MATCH(A395, 'Адреса школ'!E:E, 0)), "")</f>
        <v>55.742352, 37.858977</v>
      </c>
      <c r="C395" s="5" t="str">
        <f t="array" ref="C395">IFERROR(INDEX('Топ-400'!A:A, MATCH(A395, 'Топ-400'!E:E, 0)), "Вне рейтинга")</f>
        <v>Вне рейтинга</v>
      </c>
      <c r="D395" s="6">
        <f>IFERROR(__xludf.DUMMYFUNCTION("""COMPUTED_VALUE"""),0.0)</f>
        <v>0</v>
      </c>
      <c r="E395" s="6">
        <f>IFERROR(__xludf.DUMMYFUNCTION("""COMPUTED_VALUE"""),0.0)</f>
        <v>0</v>
      </c>
      <c r="F395" s="6">
        <f>IFERROR(__xludf.DUMMYFUNCTION("""COMPUTED_VALUE"""),0.0)</f>
        <v>0</v>
      </c>
      <c r="G395" s="6">
        <f>IFERROR(__xludf.DUMMYFUNCTION("""COMPUTED_VALUE"""),1.0)</f>
        <v>1</v>
      </c>
      <c r="H395" s="6">
        <f>IFERROR(__xludf.DUMMYFUNCTION("""COMPUTED_VALUE"""),0.0)</f>
        <v>0</v>
      </c>
      <c r="I395" s="6">
        <f>IFERROR(__xludf.DUMMYFUNCTION("""COMPUTED_VALUE"""),1.0)</f>
        <v>1</v>
      </c>
      <c r="J395" s="6">
        <f>IFERROR(__xludf.DUMMYFUNCTION("""COMPUTED_VALUE"""),0.0)</f>
        <v>0</v>
      </c>
      <c r="K395" s="6">
        <f>IFERROR(__xludf.DUMMYFUNCTION("""COMPUTED_VALUE"""),0.0)</f>
        <v>0</v>
      </c>
      <c r="L395" s="6">
        <f>IFERROR(__xludf.DUMMYFUNCTION("""COMPUTED_VALUE"""),0.0)</f>
        <v>0</v>
      </c>
      <c r="M395" s="6">
        <f>IFERROR(__xludf.DUMMYFUNCTION("""COMPUTED_VALUE"""),0.0)</f>
        <v>0</v>
      </c>
      <c r="N395" s="6">
        <f>IFERROR(__xludf.DUMMYFUNCTION("""COMPUTED_VALUE"""),0.0)</f>
        <v>0</v>
      </c>
      <c r="O395" s="6">
        <f>IFERROR(__xludf.DUMMYFUNCTION("""COMPUTED_VALUE"""),0.0)</f>
        <v>0</v>
      </c>
      <c r="P395" s="6">
        <f>IFERROR(__xludf.DUMMYFUNCTION("""COMPUTED_VALUE"""),1.0)</f>
        <v>1</v>
      </c>
      <c r="Q395" s="6">
        <f>IFERROR(__xludf.DUMMYFUNCTION("""COMPUTED_VALUE"""),1.0)</f>
        <v>1</v>
      </c>
      <c r="R395" s="6">
        <f>IFERROR(__xludf.DUMMYFUNCTION("""COMPUTED_VALUE"""),1.0)</f>
        <v>1</v>
      </c>
      <c r="S395" s="6">
        <f>IFERROR(__xludf.DUMMYFUNCTION("""COMPUTED_VALUE"""),0.0)</f>
        <v>0</v>
      </c>
      <c r="T395" s="6">
        <f>IFERROR(__xludf.DUMMYFUNCTION("""COMPUTED_VALUE"""),0.0)</f>
        <v>0</v>
      </c>
      <c r="U395" s="6">
        <f>IFERROR(__xludf.DUMMYFUNCTION("""COMPUTED_VALUE"""),0.0)</f>
        <v>0</v>
      </c>
      <c r="V395" s="4">
        <f t="shared" ref="V395:X395" si="394">SUM(D395, G395, J395, M395, P395, S395)</f>
        <v>2</v>
      </c>
      <c r="W395" s="4">
        <f t="shared" si="394"/>
        <v>1</v>
      </c>
      <c r="X395" s="4">
        <f t="shared" si="394"/>
        <v>2</v>
      </c>
    </row>
    <row r="396">
      <c r="A396" s="4" t="str">
        <f>IFERROR(__xludf.DUMMYFUNCTION("""COMPUTED_VALUE"""),"Школа Перспектива")</f>
        <v>Школа Перспектива</v>
      </c>
      <c r="B396" s="4" t="str">
        <f t="array" ref="B396">IFERROR(INDEX('Адреса школ'!F:F, MATCH(A396, 'Адреса школ'!E:E, 0)), "")</f>
        <v>55.94563, 37.347099</v>
      </c>
      <c r="C396" s="5" t="str">
        <f t="array" ref="C396">IFERROR(INDEX('Топ-400'!A:A, MATCH(A396, 'Топ-400'!E:E, 0)), "Вне рейтинга")</f>
        <v>251</v>
      </c>
      <c r="D396" s="6">
        <f>IFERROR(__xludf.DUMMYFUNCTION("""COMPUTED_VALUE"""),0.0)</f>
        <v>0</v>
      </c>
      <c r="E396" s="6">
        <f>IFERROR(__xludf.DUMMYFUNCTION("""COMPUTED_VALUE"""),0.0)</f>
        <v>0</v>
      </c>
      <c r="F396" s="6">
        <f>IFERROR(__xludf.DUMMYFUNCTION("""COMPUTED_VALUE"""),1.0)</f>
        <v>1</v>
      </c>
      <c r="G396" s="6">
        <f>IFERROR(__xludf.DUMMYFUNCTION("""COMPUTED_VALUE"""),0.0)</f>
        <v>0</v>
      </c>
      <c r="H396" s="6">
        <f>IFERROR(__xludf.DUMMYFUNCTION("""COMPUTED_VALUE"""),0.0)</f>
        <v>0</v>
      </c>
      <c r="I396" s="6">
        <f>IFERROR(__xludf.DUMMYFUNCTION("""COMPUTED_VALUE"""),0.0)</f>
        <v>0</v>
      </c>
      <c r="J396" s="6">
        <f>IFERROR(__xludf.DUMMYFUNCTION("""COMPUTED_VALUE"""),0.0)</f>
        <v>0</v>
      </c>
      <c r="K396" s="6">
        <f>IFERROR(__xludf.DUMMYFUNCTION("""COMPUTED_VALUE"""),0.0)</f>
        <v>0</v>
      </c>
      <c r="L396" s="6">
        <f>IFERROR(__xludf.DUMMYFUNCTION("""COMPUTED_VALUE"""),0.0)</f>
        <v>0</v>
      </c>
      <c r="M396" s="6">
        <f>IFERROR(__xludf.DUMMYFUNCTION("""COMPUTED_VALUE"""),0.0)</f>
        <v>0</v>
      </c>
      <c r="N396" s="6">
        <f>IFERROR(__xludf.DUMMYFUNCTION("""COMPUTED_VALUE"""),0.0)</f>
        <v>0</v>
      </c>
      <c r="O396" s="6">
        <f>IFERROR(__xludf.DUMMYFUNCTION("""COMPUTED_VALUE"""),0.0)</f>
        <v>0</v>
      </c>
      <c r="P396" s="6">
        <f>IFERROR(__xludf.DUMMYFUNCTION("""COMPUTED_VALUE"""),0.0)</f>
        <v>0</v>
      </c>
      <c r="Q396" s="6">
        <f>IFERROR(__xludf.DUMMYFUNCTION("""COMPUTED_VALUE"""),0.0)</f>
        <v>0</v>
      </c>
      <c r="R396" s="6">
        <f>IFERROR(__xludf.DUMMYFUNCTION("""COMPUTED_VALUE"""),0.0)</f>
        <v>0</v>
      </c>
      <c r="S396" s="6">
        <f>IFERROR(__xludf.DUMMYFUNCTION("""COMPUTED_VALUE"""),0.0)</f>
        <v>0</v>
      </c>
      <c r="T396" s="6">
        <f>IFERROR(__xludf.DUMMYFUNCTION("""COMPUTED_VALUE"""),1.0)</f>
        <v>1</v>
      </c>
      <c r="U396" s="6">
        <f>IFERROR(__xludf.DUMMYFUNCTION("""COMPUTED_VALUE"""),1.0)</f>
        <v>1</v>
      </c>
      <c r="V396" s="4">
        <f t="shared" ref="V396:X396" si="395">SUM(D396, G396, J396, M396, P396, S396)</f>
        <v>0</v>
      </c>
      <c r="W396" s="4">
        <f t="shared" si="395"/>
        <v>1</v>
      </c>
      <c r="X396" s="4">
        <f t="shared" si="395"/>
        <v>2</v>
      </c>
    </row>
    <row r="397">
      <c r="A397" s="4" t="str">
        <f>IFERROR(__xludf.DUMMYFUNCTION("""COMPUTED_VALUE"""),"Школа Покровский квартал")</f>
        <v>Школа Покровский квартал</v>
      </c>
      <c r="B397" s="4" t="str">
        <f t="array" ref="B397">IFERROR(INDEX('Адреса школ'!F:F, MATCH(A397, 'Адреса школ'!E:E, 0)), "")</f>
        <v>55.760352, 37.655652</v>
      </c>
      <c r="C397" s="5" t="str">
        <f t="array" ref="C397">IFERROR(INDEX('Топ-400'!A:A, MATCH(A397, 'Топ-400'!E:E, 0)), "Вне рейтинга")</f>
        <v>53</v>
      </c>
      <c r="D397" s="6">
        <f>IFERROR(__xludf.DUMMYFUNCTION("""COMPUTED_VALUE"""),1.0)</f>
        <v>1</v>
      </c>
      <c r="E397" s="6">
        <f>IFERROR(__xludf.DUMMYFUNCTION("""COMPUTED_VALUE"""),0.0)</f>
        <v>0</v>
      </c>
      <c r="F397" s="6">
        <f>IFERROR(__xludf.DUMMYFUNCTION("""COMPUTED_VALUE"""),1.0)</f>
        <v>1</v>
      </c>
      <c r="G397" s="6">
        <f>IFERROR(__xludf.DUMMYFUNCTION("""COMPUTED_VALUE"""),1.0)</f>
        <v>1</v>
      </c>
      <c r="H397" s="6">
        <f>IFERROR(__xludf.DUMMYFUNCTION("""COMPUTED_VALUE"""),0.0)</f>
        <v>0</v>
      </c>
      <c r="I397" s="6">
        <f>IFERROR(__xludf.DUMMYFUNCTION("""COMPUTED_VALUE"""),1.0)</f>
        <v>1</v>
      </c>
      <c r="J397" s="6">
        <f>IFERROR(__xludf.DUMMYFUNCTION("""COMPUTED_VALUE"""),0.0)</f>
        <v>0</v>
      </c>
      <c r="K397" s="6">
        <f>IFERROR(__xludf.DUMMYFUNCTION("""COMPUTED_VALUE"""),0.0)</f>
        <v>0</v>
      </c>
      <c r="L397" s="6">
        <f>IFERROR(__xludf.DUMMYFUNCTION("""COMPUTED_VALUE"""),0.0)</f>
        <v>0</v>
      </c>
      <c r="M397" s="6">
        <f>IFERROR(__xludf.DUMMYFUNCTION("""COMPUTED_VALUE"""),0.0)</f>
        <v>0</v>
      </c>
      <c r="N397" s="6">
        <f>IFERROR(__xludf.DUMMYFUNCTION("""COMPUTED_VALUE"""),0.0)</f>
        <v>0</v>
      </c>
      <c r="O397" s="6">
        <f>IFERROR(__xludf.DUMMYFUNCTION("""COMPUTED_VALUE"""),1.0)</f>
        <v>1</v>
      </c>
      <c r="P397" s="6">
        <f>IFERROR(__xludf.DUMMYFUNCTION("""COMPUTED_VALUE"""),1.0)</f>
        <v>1</v>
      </c>
      <c r="Q397" s="6">
        <f>IFERROR(__xludf.DUMMYFUNCTION("""COMPUTED_VALUE"""),1.0)</f>
        <v>1</v>
      </c>
      <c r="R397" s="6">
        <f>IFERROR(__xludf.DUMMYFUNCTION("""COMPUTED_VALUE"""),1.0)</f>
        <v>1</v>
      </c>
      <c r="S397" s="6">
        <f>IFERROR(__xludf.DUMMYFUNCTION("""COMPUTED_VALUE"""),0.0)</f>
        <v>0</v>
      </c>
      <c r="T397" s="6">
        <f>IFERROR(__xludf.DUMMYFUNCTION("""COMPUTED_VALUE"""),0.0)</f>
        <v>0</v>
      </c>
      <c r="U397" s="6">
        <f>IFERROR(__xludf.DUMMYFUNCTION("""COMPUTED_VALUE"""),0.0)</f>
        <v>0</v>
      </c>
      <c r="V397" s="4">
        <f t="shared" ref="V397:X397" si="396">SUM(D397, G397, J397, M397, P397, S397)</f>
        <v>3</v>
      </c>
      <c r="W397" s="4">
        <f t="shared" si="396"/>
        <v>1</v>
      </c>
      <c r="X397" s="4">
        <f t="shared" si="396"/>
        <v>4</v>
      </c>
    </row>
    <row r="398">
      <c r="A398" s="4" t="str">
        <f>IFERROR(__xludf.DUMMYFUNCTION("""COMPUTED_VALUE"""),"Школа Свиблово")</f>
        <v>Школа Свиблово</v>
      </c>
      <c r="B398" s="4" t="str">
        <f t="array" ref="B398">IFERROR(INDEX('Адреса школ'!F:F, MATCH(A398, 'Адреса школ'!E:E, 0)), "")</f>
        <v>55.852854, 37.642186</v>
      </c>
      <c r="C398" s="5" t="str">
        <f t="array" ref="C398">IFERROR(INDEX('Топ-400'!A:A, MATCH(A398, 'Топ-400'!E:E, 0)), "Вне рейтинга")</f>
        <v>113</v>
      </c>
      <c r="D398" s="6">
        <f>IFERROR(__xludf.DUMMYFUNCTION("""COMPUTED_VALUE"""),1.0)</f>
        <v>1</v>
      </c>
      <c r="E398" s="6">
        <f>IFERROR(__xludf.DUMMYFUNCTION("""COMPUTED_VALUE"""),1.0)</f>
        <v>1</v>
      </c>
      <c r="F398" s="6">
        <f>IFERROR(__xludf.DUMMYFUNCTION("""COMPUTED_VALUE"""),1.0)</f>
        <v>1</v>
      </c>
      <c r="G398" s="6">
        <f>IFERROR(__xludf.DUMMYFUNCTION("""COMPUTED_VALUE"""),0.0)</f>
        <v>0</v>
      </c>
      <c r="H398" s="6">
        <f>IFERROR(__xludf.DUMMYFUNCTION("""COMPUTED_VALUE"""),0.0)</f>
        <v>0</v>
      </c>
      <c r="I398" s="6">
        <f>IFERROR(__xludf.DUMMYFUNCTION("""COMPUTED_VALUE"""),0.0)</f>
        <v>0</v>
      </c>
      <c r="J398" s="6">
        <f>IFERROR(__xludf.DUMMYFUNCTION("""COMPUTED_VALUE"""),0.0)</f>
        <v>0</v>
      </c>
      <c r="K398" s="6">
        <f>IFERROR(__xludf.DUMMYFUNCTION("""COMPUTED_VALUE"""),1.0)</f>
        <v>1</v>
      </c>
      <c r="L398" s="6">
        <f>IFERROR(__xludf.DUMMYFUNCTION("""COMPUTED_VALUE"""),1.0)</f>
        <v>1</v>
      </c>
      <c r="M398" s="6">
        <f>IFERROR(__xludf.DUMMYFUNCTION("""COMPUTED_VALUE"""),1.0)</f>
        <v>1</v>
      </c>
      <c r="N398" s="6">
        <f>IFERROR(__xludf.DUMMYFUNCTION("""COMPUTED_VALUE"""),1.0)</f>
        <v>1</v>
      </c>
      <c r="O398" s="6">
        <f>IFERROR(__xludf.DUMMYFUNCTION("""COMPUTED_VALUE"""),1.0)</f>
        <v>1</v>
      </c>
      <c r="P398" s="6">
        <f>IFERROR(__xludf.DUMMYFUNCTION("""COMPUTED_VALUE"""),1.0)</f>
        <v>1</v>
      </c>
      <c r="Q398" s="6">
        <f>IFERROR(__xludf.DUMMYFUNCTION("""COMPUTED_VALUE"""),1.0)</f>
        <v>1</v>
      </c>
      <c r="R398" s="6">
        <f>IFERROR(__xludf.DUMMYFUNCTION("""COMPUTED_VALUE"""),1.0)</f>
        <v>1</v>
      </c>
      <c r="S398" s="6">
        <f>IFERROR(__xludf.DUMMYFUNCTION("""COMPUTED_VALUE"""),0.0)</f>
        <v>0</v>
      </c>
      <c r="T398" s="6">
        <f>IFERROR(__xludf.DUMMYFUNCTION("""COMPUTED_VALUE"""),0.0)</f>
        <v>0</v>
      </c>
      <c r="U398" s="6">
        <f>IFERROR(__xludf.DUMMYFUNCTION("""COMPUTED_VALUE"""),0.0)</f>
        <v>0</v>
      </c>
      <c r="V398" s="4">
        <f t="shared" ref="V398:X398" si="397">SUM(D398, G398, J398, M398, P398, S398)</f>
        <v>3</v>
      </c>
      <c r="W398" s="4">
        <f t="shared" si="397"/>
        <v>4</v>
      </c>
      <c r="X398" s="4">
        <f t="shared" si="397"/>
        <v>4</v>
      </c>
    </row>
    <row r="399">
      <c r="A399" s="4" t="str">
        <f>IFERROR(__xludf.DUMMYFUNCTION("""COMPUTED_VALUE"""),"Школа Тропарево")</f>
        <v>Школа Тропарево</v>
      </c>
      <c r="B399" s="4" t="str">
        <f t="array" ref="B399">IFERROR(INDEX('Адреса школ'!F:F, MATCH(A399, 'Адреса школ'!E:E, 0)), "")</f>
        <v>55.653309, 37.469665</v>
      </c>
      <c r="C399" s="5" t="str">
        <f t="array" ref="C399">IFERROR(INDEX('Топ-400'!A:A, MATCH(A399, 'Топ-400'!E:E, 0)), "Вне рейтинга")</f>
        <v>Вне рейтинга</v>
      </c>
      <c r="D399" s="6">
        <f>IFERROR(__xludf.DUMMYFUNCTION("""COMPUTED_VALUE"""),0.0)</f>
        <v>0</v>
      </c>
      <c r="E399" s="6">
        <f>IFERROR(__xludf.DUMMYFUNCTION("""COMPUTED_VALUE"""),0.0)</f>
        <v>0</v>
      </c>
      <c r="F399" s="6">
        <f>IFERROR(__xludf.DUMMYFUNCTION("""COMPUTED_VALUE"""),0.0)</f>
        <v>0</v>
      </c>
      <c r="G399" s="6">
        <f>IFERROR(__xludf.DUMMYFUNCTION("""COMPUTED_VALUE"""),0.0)</f>
        <v>0</v>
      </c>
      <c r="H399" s="6">
        <f>IFERROR(__xludf.DUMMYFUNCTION("""COMPUTED_VALUE"""),0.0)</f>
        <v>0</v>
      </c>
      <c r="I399" s="6">
        <f>IFERROR(__xludf.DUMMYFUNCTION("""COMPUTED_VALUE"""),0.0)</f>
        <v>0</v>
      </c>
      <c r="J399" s="6">
        <f>IFERROR(__xludf.DUMMYFUNCTION("""COMPUTED_VALUE"""),0.0)</f>
        <v>0</v>
      </c>
      <c r="K399" s="6">
        <f>IFERROR(__xludf.DUMMYFUNCTION("""COMPUTED_VALUE"""),0.0)</f>
        <v>0</v>
      </c>
      <c r="L399" s="6">
        <f>IFERROR(__xludf.DUMMYFUNCTION("""COMPUTED_VALUE"""),0.0)</f>
        <v>0</v>
      </c>
      <c r="M399" s="6">
        <f>IFERROR(__xludf.DUMMYFUNCTION("""COMPUTED_VALUE"""),0.0)</f>
        <v>0</v>
      </c>
      <c r="N399" s="6">
        <f>IFERROR(__xludf.DUMMYFUNCTION("""COMPUTED_VALUE"""),0.0)</f>
        <v>0</v>
      </c>
      <c r="O399" s="6">
        <f>IFERROR(__xludf.DUMMYFUNCTION("""COMPUTED_VALUE"""),0.0)</f>
        <v>0</v>
      </c>
      <c r="P399" s="6">
        <f>IFERROR(__xludf.DUMMYFUNCTION("""COMPUTED_VALUE"""),1.0)</f>
        <v>1</v>
      </c>
      <c r="Q399" s="6">
        <f>IFERROR(__xludf.DUMMYFUNCTION("""COMPUTED_VALUE"""),1.0)</f>
        <v>1</v>
      </c>
      <c r="R399" s="6">
        <f>IFERROR(__xludf.DUMMYFUNCTION("""COMPUTED_VALUE"""),1.0)</f>
        <v>1</v>
      </c>
      <c r="S399" s="6">
        <f>IFERROR(__xludf.DUMMYFUNCTION("""COMPUTED_VALUE"""),0.0)</f>
        <v>0</v>
      </c>
      <c r="T399" s="6">
        <f>IFERROR(__xludf.DUMMYFUNCTION("""COMPUTED_VALUE"""),0.0)</f>
        <v>0</v>
      </c>
      <c r="U399" s="6">
        <f>IFERROR(__xludf.DUMMYFUNCTION("""COMPUTED_VALUE"""),0.0)</f>
        <v>0</v>
      </c>
      <c r="V399" s="4">
        <f t="shared" ref="V399:X399" si="398">SUM(D399, G399, J399, M399, P399, S399)</f>
        <v>1</v>
      </c>
      <c r="W399" s="4">
        <f t="shared" si="398"/>
        <v>1</v>
      </c>
      <c r="X399" s="4">
        <f t="shared" si="398"/>
        <v>1</v>
      </c>
    </row>
    <row r="400">
      <c r="A400" s="4"/>
      <c r="B400" s="4" t="str">
        <f t="array" ref="B400">IFERROR(INDEX('Адреса школ'!F:F, MATCH(A400, 'Адреса школ'!E:E, 0)), "")</f>
        <v/>
      </c>
      <c r="C400" s="5" t="str">
        <f t="array" ref="C400">IFERROR(INDEX('Топ-400'!A:A, MATCH(A400, 'Топ-400'!E:E, 0)), "")</f>
        <v/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4"/>
      <c r="W400" s="4"/>
      <c r="X400" s="4"/>
    </row>
    <row r="401">
      <c r="A401" s="4"/>
      <c r="B401" s="4"/>
      <c r="C401" s="5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4"/>
      <c r="W401" s="4"/>
      <c r="X401" s="4"/>
    </row>
    <row r="402">
      <c r="A402" s="4"/>
      <c r="B402" s="4"/>
      <c r="C402" s="5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4"/>
      <c r="W402" s="4"/>
      <c r="X402" s="4"/>
    </row>
    <row r="403">
      <c r="A403" s="4"/>
      <c r="B403" s="4"/>
      <c r="C403" s="5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4"/>
      <c r="W403" s="4"/>
      <c r="X403" s="4"/>
    </row>
    <row r="404">
      <c r="A404" s="4"/>
      <c r="B404" s="4"/>
      <c r="C404" s="5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4"/>
      <c r="W404" s="4"/>
      <c r="X404" s="4"/>
    </row>
    <row r="405">
      <c r="A405" s="4"/>
      <c r="B405" s="4"/>
      <c r="C405" s="5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4"/>
      <c r="W405" s="4"/>
      <c r="X405" s="4"/>
    </row>
    <row r="406">
      <c r="A406" s="4"/>
      <c r="B406" s="4"/>
      <c r="C406" s="5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4"/>
      <c r="W406" s="4"/>
      <c r="X406" s="4"/>
    </row>
    <row r="407">
      <c r="A407" s="4"/>
      <c r="B407" s="4"/>
      <c r="C407" s="5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4"/>
      <c r="W407" s="4"/>
      <c r="X407" s="4"/>
    </row>
    <row r="408">
      <c r="A408" s="4"/>
      <c r="B408" s="4"/>
      <c r="C408" s="5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4"/>
      <c r="W408" s="4"/>
      <c r="X408" s="4"/>
    </row>
    <row r="409">
      <c r="A409" s="4"/>
      <c r="B409" s="4"/>
      <c r="C409" s="5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4"/>
      <c r="W409" s="4"/>
      <c r="X409" s="4"/>
    </row>
    <row r="410">
      <c r="A410" s="4"/>
      <c r="B410" s="4"/>
      <c r="C410" s="5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4"/>
      <c r="W410" s="4"/>
      <c r="X410" s="4"/>
    </row>
    <row r="411">
      <c r="A411" s="4"/>
      <c r="B411" s="4"/>
      <c r="C411" s="5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4"/>
      <c r="W411" s="4"/>
      <c r="X411" s="4"/>
    </row>
    <row r="412">
      <c r="A412" s="4"/>
      <c r="B412" s="4"/>
      <c r="C412" s="5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4"/>
      <c r="W412" s="4"/>
      <c r="X412" s="4"/>
    </row>
    <row r="413">
      <c r="A413" s="4"/>
      <c r="B413" s="4"/>
      <c r="C413" s="5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4"/>
      <c r="W413" s="4"/>
      <c r="X413" s="4"/>
    </row>
    <row r="414">
      <c r="A414" s="4"/>
      <c r="B414" s="4"/>
      <c r="C414" s="5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4"/>
      <c r="W414" s="4"/>
      <c r="X414" s="4"/>
    </row>
    <row r="415">
      <c r="A415" s="4"/>
      <c r="B415" s="4"/>
      <c r="C415" s="5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4"/>
      <c r="W415" s="4"/>
      <c r="X415" s="4"/>
    </row>
    <row r="416">
      <c r="A416" s="4"/>
      <c r="B416" s="4"/>
      <c r="C416" s="5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4"/>
      <c r="W416" s="4"/>
      <c r="X416" s="4"/>
    </row>
    <row r="417">
      <c r="A417" s="4"/>
      <c r="B417" s="4"/>
      <c r="C417" s="5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4"/>
      <c r="W417" s="4"/>
      <c r="X417" s="4"/>
    </row>
    <row r="418">
      <c r="A418" s="4"/>
      <c r="B418" s="4"/>
      <c r="C418" s="5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4"/>
      <c r="W418" s="4"/>
      <c r="X418" s="4"/>
    </row>
    <row r="419">
      <c r="A419" s="4"/>
      <c r="B419" s="4"/>
      <c r="C419" s="5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4"/>
      <c r="W419" s="4"/>
      <c r="X419" s="4"/>
    </row>
    <row r="420">
      <c r="A420" s="4"/>
      <c r="B420" s="4"/>
      <c r="C420" s="5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4"/>
      <c r="W420" s="4"/>
      <c r="X420" s="4"/>
    </row>
    <row r="421">
      <c r="A421" s="4"/>
      <c r="B421" s="4"/>
      <c r="C421" s="5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4"/>
      <c r="W421" s="4"/>
      <c r="X421" s="4"/>
    </row>
    <row r="422">
      <c r="A422" s="4"/>
      <c r="B422" s="4"/>
      <c r="C422" s="5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4"/>
      <c r="W422" s="4"/>
      <c r="X422" s="4"/>
    </row>
    <row r="423">
      <c r="A423" s="4"/>
      <c r="B423" s="4"/>
      <c r="C423" s="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4"/>
      <c r="W423" s="4"/>
      <c r="X423" s="4"/>
    </row>
    <row r="424">
      <c r="A424" s="4"/>
      <c r="B424" s="4"/>
      <c r="C424" s="5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4"/>
      <c r="W424" s="4"/>
      <c r="X424" s="4"/>
    </row>
    <row r="425">
      <c r="A425" s="4"/>
      <c r="B425" s="4"/>
      <c r="C425" s="5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4"/>
      <c r="W425" s="4"/>
      <c r="X425" s="4"/>
    </row>
    <row r="426">
      <c r="A426" s="4"/>
      <c r="B426" s="4"/>
      <c r="C426" s="5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4"/>
      <c r="W426" s="4"/>
      <c r="X426" s="4"/>
    </row>
    <row r="427">
      <c r="A427" s="4"/>
      <c r="B427" s="4"/>
      <c r="C427" s="5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4"/>
      <c r="W427" s="4"/>
      <c r="X427" s="4"/>
    </row>
    <row r="428">
      <c r="A428" s="4"/>
      <c r="B428" s="4"/>
      <c r="C428" s="5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4"/>
      <c r="W428" s="4"/>
      <c r="X428" s="4"/>
    </row>
    <row r="429">
      <c r="A429" s="4"/>
      <c r="B429" s="4"/>
      <c r="C429" s="5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4"/>
      <c r="W429" s="4"/>
      <c r="X429" s="4"/>
    </row>
    <row r="430">
      <c r="A430" s="4"/>
      <c r="B430" s="4"/>
      <c r="C430" s="5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4"/>
      <c r="W430" s="4"/>
      <c r="X430" s="4"/>
    </row>
    <row r="431">
      <c r="A431" s="4"/>
      <c r="B431" s="4"/>
      <c r="C431" s="5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4"/>
      <c r="W431" s="4"/>
      <c r="X431" s="4"/>
    </row>
    <row r="432">
      <c r="A432" s="4"/>
      <c r="B432" s="4"/>
      <c r="C432" s="5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4"/>
      <c r="W432" s="4"/>
      <c r="X432" s="4"/>
    </row>
    <row r="433">
      <c r="A433" s="4"/>
      <c r="B433" s="4"/>
      <c r="C433" s="5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4"/>
      <c r="W433" s="4"/>
      <c r="X433" s="4"/>
    </row>
    <row r="434">
      <c r="A434" s="4"/>
      <c r="B434" s="4"/>
      <c r="C434" s="5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4"/>
      <c r="W434" s="4"/>
      <c r="X434" s="4"/>
    </row>
    <row r="435">
      <c r="A435" s="4"/>
      <c r="B435" s="4"/>
      <c r="C435" s="5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4"/>
      <c r="W435" s="4"/>
      <c r="X435" s="4"/>
    </row>
    <row r="436">
      <c r="A436" s="4"/>
      <c r="B436" s="4"/>
      <c r="C436" s="5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4"/>
      <c r="W436" s="4"/>
      <c r="X436" s="4"/>
    </row>
    <row r="437">
      <c r="A437" s="4"/>
      <c r="B437" s="4"/>
      <c r="C437" s="5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4"/>
      <c r="W437" s="4"/>
      <c r="X437" s="4"/>
    </row>
    <row r="438">
      <c r="A438" s="4"/>
      <c r="B438" s="4"/>
      <c r="C438" s="5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4"/>
      <c r="W438" s="4"/>
      <c r="X438" s="4"/>
    </row>
    <row r="439">
      <c r="A439" s="4"/>
      <c r="B439" s="4"/>
      <c r="C439" s="5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4"/>
      <c r="W439" s="4"/>
      <c r="X439" s="4"/>
    </row>
    <row r="440">
      <c r="A440" s="4"/>
      <c r="B440" s="4"/>
      <c r="C440" s="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4"/>
      <c r="W440" s="4"/>
      <c r="X440" s="4"/>
    </row>
    <row r="441">
      <c r="A441" s="4"/>
      <c r="B441" s="4"/>
      <c r="C441" s="5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4"/>
      <c r="W441" s="4"/>
      <c r="X441" s="4"/>
    </row>
    <row r="442">
      <c r="A442" s="4"/>
      <c r="B442" s="4"/>
      <c r="C442" s="5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4"/>
      <c r="W442" s="4"/>
      <c r="X442" s="4"/>
    </row>
    <row r="443">
      <c r="A443" s="4"/>
      <c r="B443" s="4"/>
      <c r="C443" s="5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4"/>
      <c r="W443" s="4"/>
      <c r="X443" s="4"/>
    </row>
    <row r="444">
      <c r="A444" s="4"/>
      <c r="B444" s="4"/>
      <c r="C444" s="5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4"/>
      <c r="W444" s="4"/>
      <c r="X444" s="4"/>
    </row>
    <row r="445">
      <c r="A445" s="4"/>
      <c r="B445" s="4"/>
      <c r="C445" s="5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4"/>
      <c r="W445" s="4"/>
      <c r="X445" s="4"/>
    </row>
    <row r="446">
      <c r="A446" s="4"/>
      <c r="B446" s="4"/>
      <c r="C446" s="5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4"/>
      <c r="W446" s="4"/>
      <c r="X446" s="4"/>
    </row>
    <row r="447">
      <c r="A447" s="4"/>
      <c r="B447" s="4"/>
      <c r="C447" s="5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4"/>
      <c r="W447" s="4"/>
      <c r="X447" s="4"/>
    </row>
    <row r="448">
      <c r="A448" s="4"/>
      <c r="B448" s="4"/>
      <c r="C448" s="5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4"/>
      <c r="W448" s="4"/>
      <c r="X448" s="4"/>
    </row>
    <row r="449">
      <c r="A449" s="4"/>
      <c r="B449" s="4"/>
      <c r="C449" s="5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4"/>
      <c r="W449" s="4"/>
      <c r="X449" s="4"/>
    </row>
    <row r="450">
      <c r="A450" s="4"/>
      <c r="B450" s="4"/>
      <c r="C450" s="5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4"/>
      <c r="W450" s="4"/>
      <c r="X450" s="4"/>
    </row>
    <row r="451">
      <c r="A451" s="4"/>
      <c r="B451" s="4"/>
      <c r="C451" s="5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4"/>
      <c r="W451" s="4"/>
      <c r="X451" s="4"/>
    </row>
    <row r="452">
      <c r="A452" s="4"/>
      <c r="B452" s="4"/>
      <c r="C452" s="5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4"/>
      <c r="W452" s="4"/>
      <c r="X452" s="4"/>
    </row>
    <row r="453">
      <c r="A453" s="4"/>
      <c r="B453" s="4"/>
      <c r="C453" s="5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4"/>
      <c r="W453" s="4"/>
      <c r="X453" s="4"/>
    </row>
    <row r="454">
      <c r="A454" s="4"/>
      <c r="B454" s="4"/>
      <c r="C454" s="5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4"/>
      <c r="W454" s="4"/>
      <c r="X454" s="4"/>
    </row>
    <row r="455">
      <c r="A455" s="4"/>
      <c r="B455" s="4"/>
      <c r="C455" s="5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4"/>
      <c r="W455" s="4"/>
      <c r="X455" s="4"/>
    </row>
    <row r="456">
      <c r="A456" s="4"/>
      <c r="B456" s="4"/>
      <c r="C456" s="5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4"/>
      <c r="W456" s="4"/>
      <c r="X456" s="4"/>
    </row>
    <row r="457">
      <c r="A457" s="4"/>
      <c r="B457" s="4"/>
      <c r="C457" s="5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4"/>
      <c r="W457" s="4"/>
      <c r="X457" s="4"/>
    </row>
    <row r="458">
      <c r="A458" s="4"/>
      <c r="B458" s="4"/>
      <c r="C458" s="5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4"/>
      <c r="W458" s="4"/>
      <c r="X458" s="4"/>
    </row>
    <row r="459">
      <c r="A459" s="4"/>
      <c r="B459" s="4"/>
      <c r="C459" s="5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4"/>
      <c r="W459" s="4"/>
      <c r="X459" s="4"/>
    </row>
    <row r="460">
      <c r="A460" s="4"/>
      <c r="B460" s="4"/>
      <c r="C460" s="5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4"/>
      <c r="W460" s="4"/>
      <c r="X460" s="4"/>
    </row>
    <row r="461">
      <c r="A461" s="4"/>
      <c r="B461" s="4"/>
      <c r="C461" s="5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4"/>
      <c r="W461" s="4"/>
      <c r="X461" s="4"/>
    </row>
    <row r="462">
      <c r="A462" s="4"/>
      <c r="B462" s="4"/>
      <c r="C462" s="5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4"/>
      <c r="W462" s="4"/>
      <c r="X462" s="4"/>
    </row>
    <row r="463">
      <c r="A463" s="4"/>
      <c r="B463" s="4"/>
      <c r="C463" s="5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4"/>
      <c r="W463" s="4"/>
      <c r="X463" s="4"/>
    </row>
    <row r="464">
      <c r="A464" s="4"/>
      <c r="B464" s="4"/>
      <c r="C464" s="5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4"/>
      <c r="W464" s="4"/>
      <c r="X464" s="4"/>
    </row>
    <row r="465">
      <c r="A465" s="4"/>
      <c r="B465" s="4"/>
      <c r="C465" s="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4"/>
      <c r="W465" s="4"/>
      <c r="X465" s="4"/>
    </row>
    <row r="466">
      <c r="A466" s="4"/>
      <c r="B466" s="4"/>
      <c r="C466" s="5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4"/>
      <c r="W466" s="4"/>
      <c r="X466" s="4"/>
    </row>
    <row r="467">
      <c r="A467" s="4"/>
      <c r="B467" s="4"/>
      <c r="C467" s="5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4"/>
      <c r="W467" s="4"/>
      <c r="X467" s="4"/>
    </row>
    <row r="468">
      <c r="A468" s="4"/>
      <c r="B468" s="4"/>
      <c r="C468" s="5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4"/>
      <c r="W468" s="4"/>
      <c r="X468" s="4"/>
    </row>
    <row r="469">
      <c r="A469" s="4"/>
      <c r="B469" s="4"/>
      <c r="C469" s="5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4"/>
      <c r="W469" s="4"/>
      <c r="X469" s="4"/>
    </row>
    <row r="470">
      <c r="A470" s="4"/>
      <c r="B470" s="4"/>
      <c r="C470" s="5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4"/>
      <c r="W470" s="4"/>
      <c r="X470" s="4"/>
    </row>
    <row r="471">
      <c r="A471" s="4"/>
      <c r="B471" s="4"/>
      <c r="C471" s="5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4"/>
      <c r="W471" s="4"/>
      <c r="X471" s="4"/>
    </row>
    <row r="472">
      <c r="A472" s="4"/>
      <c r="B472" s="4"/>
      <c r="C472" s="5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4"/>
      <c r="W472" s="4"/>
      <c r="X472" s="4"/>
    </row>
    <row r="473">
      <c r="A473" s="4"/>
      <c r="B473" s="4"/>
      <c r="C473" s="5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4"/>
      <c r="W473" s="4"/>
      <c r="X473" s="4"/>
    </row>
    <row r="474">
      <c r="A474" s="4"/>
      <c r="B474" s="4"/>
      <c r="C474" s="5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4"/>
      <c r="W474" s="4"/>
      <c r="X474" s="4"/>
    </row>
    <row r="475">
      <c r="A475" s="4"/>
      <c r="B475" s="4"/>
      <c r="C475" s="5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4"/>
      <c r="W475" s="4"/>
      <c r="X475" s="4"/>
    </row>
    <row r="476">
      <c r="A476" s="4"/>
      <c r="B476" s="4"/>
      <c r="C476" s="5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4"/>
      <c r="W476" s="4"/>
      <c r="X476" s="4"/>
    </row>
    <row r="477">
      <c r="A477" s="4"/>
      <c r="B477" s="4"/>
      <c r="C477" s="5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4"/>
      <c r="W477" s="4"/>
      <c r="X477" s="4"/>
    </row>
    <row r="478">
      <c r="A478" s="4"/>
      <c r="B478" s="4"/>
      <c r="C478" s="5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4"/>
      <c r="W478" s="4"/>
      <c r="X478" s="4"/>
    </row>
    <row r="479">
      <c r="A479" s="4"/>
      <c r="B479" s="4"/>
      <c r="C479" s="5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4"/>
      <c r="W479" s="4"/>
      <c r="X479" s="4"/>
    </row>
    <row r="480">
      <c r="A480" s="4"/>
      <c r="B480" s="4"/>
      <c r="C480" s="5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4"/>
      <c r="W480" s="4"/>
      <c r="X480" s="4"/>
    </row>
    <row r="481">
      <c r="A481" s="4"/>
      <c r="B481" s="4"/>
      <c r="C481" s="5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4"/>
      <c r="W481" s="4"/>
      <c r="X481" s="4"/>
    </row>
    <row r="482">
      <c r="A482" s="4"/>
      <c r="B482" s="4"/>
      <c r="C482" s="5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4"/>
      <c r="W482" s="4"/>
      <c r="X482" s="4"/>
    </row>
    <row r="483">
      <c r="A483" s="4"/>
      <c r="B483" s="4"/>
      <c r="C483" s="5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4"/>
      <c r="W483" s="4"/>
      <c r="X483" s="4"/>
    </row>
    <row r="484">
      <c r="A484" s="4"/>
      <c r="B484" s="4"/>
      <c r="C484" s="5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4"/>
      <c r="W484" s="4"/>
      <c r="X484" s="4"/>
    </row>
    <row r="485">
      <c r="A485" s="4"/>
      <c r="B485" s="4"/>
      <c r="C485" s="5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4"/>
      <c r="W485" s="4"/>
      <c r="X485" s="4"/>
    </row>
    <row r="486">
      <c r="A486" s="4"/>
      <c r="B486" s="4"/>
      <c r="C486" s="5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4"/>
      <c r="W486" s="4"/>
      <c r="X486" s="4"/>
    </row>
    <row r="487">
      <c r="A487" s="4"/>
      <c r="B487" s="4"/>
      <c r="C487" s="5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4"/>
      <c r="W487" s="4"/>
      <c r="X487" s="4"/>
    </row>
    <row r="488">
      <c r="A488" s="4"/>
      <c r="B488" s="4"/>
      <c r="C488" s="5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4"/>
      <c r="W488" s="4"/>
      <c r="X488" s="4"/>
    </row>
    <row r="489">
      <c r="A489" s="4"/>
      <c r="B489" s="4"/>
      <c r="C489" s="5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4"/>
      <c r="W489" s="4"/>
      <c r="X489" s="4"/>
    </row>
    <row r="490">
      <c r="A490" s="4"/>
      <c r="B490" s="4"/>
      <c r="C490" s="5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4"/>
      <c r="W490" s="4"/>
      <c r="X490" s="4"/>
    </row>
    <row r="491">
      <c r="A491" s="4"/>
      <c r="B491" s="4"/>
      <c r="C491" s="5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4"/>
      <c r="W491" s="4"/>
      <c r="X491" s="4"/>
    </row>
    <row r="492">
      <c r="A492" s="4"/>
      <c r="B492" s="4"/>
      <c r="C492" s="5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4"/>
      <c r="W492" s="4"/>
      <c r="X492" s="4"/>
    </row>
    <row r="493">
      <c r="A493" s="4"/>
      <c r="B493" s="4"/>
      <c r="C493" s="5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4"/>
      <c r="W493" s="4"/>
      <c r="X493" s="4"/>
    </row>
    <row r="494">
      <c r="A494" s="4"/>
      <c r="B494" s="4"/>
      <c r="C494" s="5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4"/>
      <c r="W494" s="4"/>
      <c r="X494" s="4"/>
    </row>
    <row r="495">
      <c r="A495" s="4"/>
      <c r="B495" s="4"/>
      <c r="C495" s="5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4"/>
      <c r="W495" s="4"/>
      <c r="X495" s="4"/>
    </row>
    <row r="496">
      <c r="A496" s="4"/>
      <c r="B496" s="4"/>
      <c r="C496" s="5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4"/>
      <c r="W496" s="4"/>
      <c r="X496" s="4"/>
    </row>
    <row r="497">
      <c r="A497" s="4"/>
      <c r="B497" s="4"/>
      <c r="C497" s="5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4"/>
      <c r="W497" s="4"/>
      <c r="X497" s="4"/>
    </row>
    <row r="498">
      <c r="A498" s="4"/>
      <c r="B498" s="4"/>
      <c r="C498" s="5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4"/>
      <c r="W498" s="4"/>
      <c r="X498" s="4"/>
    </row>
    <row r="499">
      <c r="A499" s="4"/>
      <c r="B499" s="4"/>
      <c r="C499" s="5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4"/>
      <c r="W499" s="4"/>
      <c r="X499" s="4"/>
    </row>
    <row r="500">
      <c r="A500" s="4"/>
      <c r="B500" s="4"/>
      <c r="C500" s="5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4"/>
      <c r="W500" s="4"/>
      <c r="X500" s="4"/>
    </row>
    <row r="501">
      <c r="A501" s="4"/>
      <c r="B501" s="4"/>
      <c r="C501" s="5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4"/>
      <c r="W501" s="4"/>
      <c r="X501" s="4"/>
    </row>
    <row r="502">
      <c r="A502" s="4"/>
      <c r="B502" s="4"/>
      <c r="C502" s="5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4"/>
      <c r="W502" s="4"/>
      <c r="X502" s="4"/>
    </row>
    <row r="503">
      <c r="A503" s="4"/>
      <c r="B503" s="4"/>
      <c r="C503" s="5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4"/>
      <c r="W503" s="4"/>
      <c r="X503" s="4"/>
    </row>
    <row r="504">
      <c r="A504" s="4"/>
      <c r="B504" s="4"/>
      <c r="C504" s="5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4"/>
      <c r="W504" s="4"/>
      <c r="X504" s="4"/>
    </row>
    <row r="505">
      <c r="A505" s="4"/>
      <c r="B505" s="4"/>
      <c r="C505" s="5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4"/>
      <c r="W505" s="4"/>
      <c r="X505" s="4"/>
    </row>
    <row r="506">
      <c r="A506" s="4"/>
      <c r="B506" s="4"/>
      <c r="C506" s="5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4"/>
      <c r="W506" s="4"/>
      <c r="X506" s="4"/>
    </row>
    <row r="507">
      <c r="A507" s="4"/>
      <c r="B507" s="4"/>
      <c r="C507" s="5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4"/>
      <c r="W507" s="4"/>
      <c r="X507" s="4"/>
    </row>
    <row r="508">
      <c r="A508" s="4"/>
      <c r="B508" s="4"/>
      <c r="C508" s="5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4"/>
      <c r="W508" s="4"/>
      <c r="X508" s="4"/>
    </row>
    <row r="509">
      <c r="A509" s="4"/>
      <c r="B509" s="4"/>
      <c r="C509" s="5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4"/>
      <c r="W509" s="4"/>
      <c r="X509" s="4"/>
    </row>
    <row r="510">
      <c r="A510" s="4"/>
      <c r="B510" s="4"/>
      <c r="C510" s="5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4"/>
      <c r="W510" s="4"/>
      <c r="X510" s="4"/>
    </row>
    <row r="511">
      <c r="A511" s="4"/>
      <c r="B511" s="4"/>
      <c r="C511" s="5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4"/>
      <c r="W511" s="4"/>
      <c r="X511" s="4"/>
    </row>
    <row r="512">
      <c r="A512" s="4"/>
      <c r="B512" s="4"/>
      <c r="C512" s="5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4"/>
      <c r="W512" s="4"/>
      <c r="X512" s="4"/>
    </row>
    <row r="513">
      <c r="A513" s="4"/>
      <c r="B513" s="4"/>
      <c r="C513" s="5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4"/>
      <c r="W513" s="4"/>
      <c r="X513" s="4"/>
    </row>
    <row r="514">
      <c r="A514" s="4"/>
      <c r="B514" s="4"/>
      <c r="C514" s="5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4"/>
      <c r="W514" s="4"/>
      <c r="X514" s="4"/>
    </row>
    <row r="515">
      <c r="A515" s="4"/>
      <c r="B515" s="4"/>
      <c r="C515" s="5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4"/>
      <c r="W515" s="4"/>
      <c r="X515" s="4"/>
    </row>
    <row r="516">
      <c r="A516" s="4"/>
      <c r="B516" s="4"/>
      <c r="C516" s="5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4"/>
      <c r="W516" s="4"/>
      <c r="X516" s="4"/>
    </row>
    <row r="517">
      <c r="A517" s="4"/>
      <c r="B517" s="4"/>
      <c r="C517" s="5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4"/>
      <c r="W517" s="4"/>
      <c r="X517" s="4"/>
    </row>
    <row r="518">
      <c r="A518" s="4"/>
      <c r="B518" s="4"/>
      <c r="C518" s="5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4"/>
      <c r="W518" s="4"/>
      <c r="X518" s="4"/>
    </row>
    <row r="519">
      <c r="A519" s="4"/>
      <c r="B519" s="4"/>
      <c r="C519" s="5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4"/>
      <c r="W519" s="4"/>
      <c r="X519" s="4"/>
    </row>
    <row r="520">
      <c r="A520" s="4"/>
      <c r="B520" s="4"/>
      <c r="C520" s="5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4"/>
      <c r="W520" s="4"/>
      <c r="X520" s="4"/>
    </row>
    <row r="521">
      <c r="A521" s="4"/>
      <c r="B521" s="4"/>
      <c r="C521" s="5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4"/>
      <c r="W521" s="4"/>
      <c r="X521" s="4"/>
    </row>
    <row r="522">
      <c r="A522" s="4"/>
      <c r="B522" s="4"/>
      <c r="C522" s="5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4"/>
      <c r="W522" s="4"/>
      <c r="X522" s="4"/>
    </row>
    <row r="523">
      <c r="A523" s="4"/>
      <c r="B523" s="4"/>
      <c r="C523" s="5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4"/>
      <c r="W523" s="4"/>
      <c r="X523" s="4"/>
    </row>
    <row r="524">
      <c r="A524" s="4"/>
      <c r="B524" s="4"/>
      <c r="C524" s="5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4"/>
      <c r="W524" s="4"/>
      <c r="X524" s="4"/>
    </row>
    <row r="525">
      <c r="A525" s="4"/>
      <c r="B525" s="4"/>
      <c r="C525" s="5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4"/>
      <c r="W525" s="4"/>
      <c r="X525" s="4"/>
    </row>
    <row r="526">
      <c r="A526" s="4"/>
      <c r="B526" s="4"/>
      <c r="C526" s="5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4"/>
      <c r="W526" s="4"/>
      <c r="X526" s="4"/>
    </row>
    <row r="527">
      <c r="A527" s="4"/>
      <c r="B527" s="4"/>
      <c r="C527" s="5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4"/>
      <c r="W527" s="4"/>
      <c r="X527" s="4"/>
    </row>
    <row r="528">
      <c r="A528" s="4"/>
      <c r="B528" s="4"/>
      <c r="C528" s="5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4"/>
      <c r="W528" s="4"/>
      <c r="X528" s="4"/>
    </row>
    <row r="529">
      <c r="A529" s="4"/>
      <c r="B529" s="4"/>
      <c r="C529" s="5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4"/>
      <c r="W529" s="4"/>
      <c r="X529" s="4"/>
    </row>
    <row r="530">
      <c r="A530" s="4"/>
      <c r="B530" s="4"/>
      <c r="C530" s="5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4"/>
      <c r="W530" s="4"/>
      <c r="X530" s="4"/>
    </row>
    <row r="531">
      <c r="A531" s="4"/>
      <c r="B531" s="4"/>
      <c r="C531" s="5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4"/>
      <c r="W531" s="4"/>
      <c r="X531" s="4"/>
    </row>
    <row r="532">
      <c r="A532" s="4"/>
      <c r="B532" s="4"/>
      <c r="C532" s="5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4"/>
      <c r="W532" s="4"/>
      <c r="X532" s="4"/>
    </row>
    <row r="533">
      <c r="A533" s="4"/>
      <c r="B533" s="4"/>
      <c r="C533" s="5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4"/>
      <c r="W533" s="4"/>
      <c r="X533" s="4"/>
    </row>
    <row r="534">
      <c r="A534" s="4"/>
      <c r="B534" s="4"/>
      <c r="C534" s="5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4"/>
      <c r="W534" s="4"/>
      <c r="X534" s="4"/>
    </row>
    <row r="535">
      <c r="A535" s="4"/>
      <c r="B535" s="4"/>
      <c r="C535" s="5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4"/>
      <c r="W535" s="4"/>
      <c r="X535" s="4"/>
    </row>
    <row r="536">
      <c r="A536" s="4"/>
      <c r="B536" s="4"/>
      <c r="C536" s="5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4"/>
      <c r="W536" s="4"/>
      <c r="X536" s="4"/>
    </row>
    <row r="537">
      <c r="A537" s="4"/>
      <c r="B537" s="4"/>
      <c r="C537" s="5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4"/>
      <c r="W537" s="4"/>
      <c r="X537" s="4"/>
    </row>
    <row r="538">
      <c r="A538" s="4"/>
      <c r="B538" s="4"/>
      <c r="C538" s="5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4"/>
      <c r="W538" s="4"/>
      <c r="X538" s="4"/>
    </row>
    <row r="539">
      <c r="A539" s="4"/>
      <c r="B539" s="4"/>
      <c r="C539" s="5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4"/>
      <c r="W539" s="4"/>
      <c r="X539" s="4"/>
    </row>
    <row r="540">
      <c r="A540" s="4"/>
      <c r="B540" s="4"/>
      <c r="C540" s="5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4"/>
      <c r="W540" s="4"/>
      <c r="X540" s="4"/>
    </row>
    <row r="541">
      <c r="A541" s="4"/>
      <c r="B541" s="4"/>
      <c r="C541" s="5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4"/>
      <c r="W541" s="4"/>
      <c r="X541" s="4"/>
    </row>
    <row r="542">
      <c r="A542" s="4"/>
      <c r="B542" s="4"/>
      <c r="C542" s="5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4"/>
      <c r="W542" s="4"/>
      <c r="X542" s="4"/>
    </row>
    <row r="543">
      <c r="A543" s="4"/>
      <c r="B543" s="4"/>
      <c r="C543" s="5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4"/>
      <c r="W543" s="4"/>
      <c r="X543" s="4"/>
    </row>
    <row r="544">
      <c r="A544" s="4"/>
      <c r="B544" s="4"/>
      <c r="C544" s="5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4"/>
      <c r="W544" s="4"/>
      <c r="X544" s="4"/>
    </row>
    <row r="545">
      <c r="A545" s="4"/>
      <c r="B545" s="4"/>
      <c r="C545" s="5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4"/>
      <c r="W545" s="4"/>
      <c r="X545" s="4"/>
    </row>
    <row r="546">
      <c r="A546" s="4"/>
      <c r="B546" s="4"/>
      <c r="C546" s="5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4"/>
      <c r="W546" s="4"/>
      <c r="X546" s="4"/>
    </row>
    <row r="547">
      <c r="A547" s="4"/>
      <c r="B547" s="4"/>
      <c r="C547" s="5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4"/>
      <c r="W547" s="4"/>
      <c r="X547" s="4"/>
    </row>
    <row r="548">
      <c r="A548" s="4"/>
      <c r="B548" s="4"/>
      <c r="C548" s="5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4"/>
      <c r="W548" s="4"/>
      <c r="X548" s="4"/>
    </row>
    <row r="549">
      <c r="A549" s="4"/>
      <c r="B549" s="4"/>
      <c r="C549" s="5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4"/>
      <c r="W549" s="4"/>
      <c r="X549" s="4"/>
    </row>
    <row r="550">
      <c r="A550" s="4"/>
      <c r="B550" s="4"/>
      <c r="C550" s="5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4"/>
      <c r="W550" s="4"/>
      <c r="X550" s="4"/>
    </row>
    <row r="551">
      <c r="A551" s="4"/>
      <c r="B551" s="4"/>
      <c r="C551" s="5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4"/>
      <c r="W551" s="4"/>
      <c r="X551" s="4"/>
    </row>
    <row r="552">
      <c r="A552" s="4"/>
      <c r="B552" s="4"/>
      <c r="C552" s="5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4"/>
      <c r="W552" s="4"/>
      <c r="X552" s="4"/>
    </row>
    <row r="553">
      <c r="A553" s="4"/>
      <c r="B553" s="4"/>
      <c r="C553" s="5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4"/>
      <c r="W553" s="4"/>
      <c r="X553" s="4"/>
    </row>
    <row r="554">
      <c r="A554" s="4"/>
      <c r="B554" s="4"/>
      <c r="C554" s="5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4"/>
      <c r="W554" s="4"/>
      <c r="X554" s="4"/>
    </row>
    <row r="555">
      <c r="A555" s="4"/>
      <c r="B555" s="4"/>
      <c r="C555" s="5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4"/>
      <c r="W555" s="4"/>
      <c r="X555" s="4"/>
    </row>
    <row r="556">
      <c r="A556" s="4"/>
      <c r="B556" s="4"/>
      <c r="C556" s="5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4"/>
      <c r="W556" s="4"/>
      <c r="X556" s="4"/>
    </row>
    <row r="557">
      <c r="A557" s="4"/>
      <c r="B557" s="4"/>
      <c r="C557" s="5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4"/>
      <c r="W557" s="4"/>
      <c r="X557" s="4"/>
    </row>
    <row r="558">
      <c r="A558" s="4"/>
      <c r="B558" s="4"/>
      <c r="C558" s="5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4"/>
      <c r="W558" s="4"/>
      <c r="X558" s="4"/>
    </row>
    <row r="559">
      <c r="A559" s="4"/>
      <c r="B559" s="4"/>
      <c r="C559" s="5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4"/>
      <c r="W559" s="4"/>
      <c r="X559" s="4"/>
    </row>
    <row r="560">
      <c r="A560" s="4"/>
      <c r="B560" s="4"/>
      <c r="C560" s="5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4"/>
      <c r="W560" s="4"/>
      <c r="X560" s="4"/>
    </row>
    <row r="561">
      <c r="A561" s="4"/>
      <c r="B561" s="4"/>
      <c r="C561" s="5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4"/>
      <c r="W561" s="4"/>
      <c r="X561" s="4"/>
    </row>
    <row r="562">
      <c r="A562" s="4"/>
      <c r="B562" s="4"/>
      <c r="C562" s="5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4"/>
      <c r="W562" s="4"/>
      <c r="X562" s="4"/>
    </row>
    <row r="563">
      <c r="A563" s="4"/>
      <c r="B563" s="4"/>
      <c r="C563" s="5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4"/>
      <c r="W563" s="4"/>
      <c r="X563" s="4"/>
    </row>
    <row r="564">
      <c r="A564" s="4"/>
      <c r="B564" s="4"/>
      <c r="C564" s="5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4"/>
      <c r="W564" s="4"/>
      <c r="X564" s="4"/>
    </row>
    <row r="565">
      <c r="A565" s="4"/>
      <c r="B565" s="4"/>
      <c r="C565" s="5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4"/>
      <c r="W565" s="4"/>
      <c r="X565" s="4"/>
    </row>
    <row r="566">
      <c r="A566" s="4"/>
      <c r="B566" s="4"/>
      <c r="C566" s="5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4"/>
      <c r="W566" s="4"/>
      <c r="X566" s="4"/>
    </row>
    <row r="567">
      <c r="A567" s="4"/>
      <c r="B567" s="4"/>
      <c r="C567" s="5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4"/>
      <c r="W567" s="4"/>
      <c r="X567" s="4"/>
    </row>
    <row r="568">
      <c r="A568" s="4"/>
      <c r="B568" s="4"/>
      <c r="C568" s="5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4"/>
      <c r="W568" s="4"/>
      <c r="X568" s="4"/>
    </row>
    <row r="569">
      <c r="A569" s="4"/>
      <c r="B569" s="4"/>
      <c r="C569" s="5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4"/>
      <c r="W569" s="4"/>
      <c r="X569" s="4"/>
    </row>
    <row r="570">
      <c r="A570" s="4"/>
      <c r="B570" s="4"/>
      <c r="C570" s="5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4"/>
      <c r="W570" s="4"/>
      <c r="X570" s="4"/>
    </row>
    <row r="571">
      <c r="A571" s="4"/>
      <c r="B571" s="4"/>
      <c r="C571" s="5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4"/>
      <c r="W571" s="4"/>
      <c r="X571" s="4"/>
    </row>
    <row r="572">
      <c r="A572" s="4"/>
      <c r="B572" s="4"/>
      <c r="C572" s="5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4"/>
      <c r="W572" s="4"/>
      <c r="X572" s="4"/>
    </row>
    <row r="573">
      <c r="A573" s="4"/>
      <c r="B573" s="4"/>
      <c r="C573" s="5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4"/>
      <c r="W573" s="4"/>
      <c r="X573" s="4"/>
    </row>
    <row r="574">
      <c r="A574" s="4"/>
      <c r="B574" s="4"/>
      <c r="C574" s="5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4"/>
      <c r="W574" s="4"/>
      <c r="X574" s="4"/>
    </row>
    <row r="575">
      <c r="A575" s="4"/>
      <c r="B575" s="4"/>
      <c r="C575" s="5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4"/>
      <c r="W575" s="4"/>
      <c r="X575" s="4"/>
    </row>
    <row r="576">
      <c r="A576" s="4"/>
      <c r="B576" s="4"/>
      <c r="C576" s="5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4"/>
      <c r="W576" s="4"/>
      <c r="X576" s="4"/>
    </row>
    <row r="577">
      <c r="A577" s="4"/>
      <c r="B577" s="4"/>
      <c r="C577" s="5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4"/>
      <c r="W577" s="4"/>
      <c r="X577" s="4"/>
    </row>
    <row r="578">
      <c r="A578" s="4"/>
      <c r="B578" s="4"/>
      <c r="C578" s="5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4"/>
      <c r="W578" s="4"/>
      <c r="X578" s="4"/>
    </row>
    <row r="579">
      <c r="A579" s="4"/>
      <c r="B579" s="4"/>
      <c r="C579" s="5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4"/>
      <c r="W579" s="4"/>
      <c r="X579" s="4"/>
    </row>
    <row r="580">
      <c r="A580" s="4"/>
      <c r="B580" s="4"/>
      <c r="C580" s="5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4"/>
      <c r="W580" s="4"/>
      <c r="X580" s="4"/>
    </row>
    <row r="581">
      <c r="A581" s="4"/>
      <c r="B581" s="4"/>
      <c r="C581" s="5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4"/>
      <c r="W581" s="4"/>
      <c r="X581" s="4"/>
    </row>
    <row r="582">
      <c r="A582" s="4"/>
      <c r="B582" s="4"/>
      <c r="C582" s="5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4"/>
      <c r="W582" s="4"/>
      <c r="X582" s="4"/>
    </row>
    <row r="583">
      <c r="A583" s="4"/>
      <c r="B583" s="4"/>
      <c r="C583" s="5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4"/>
      <c r="W583" s="4"/>
      <c r="X583" s="4"/>
    </row>
    <row r="584">
      <c r="A584" s="4"/>
      <c r="B584" s="4"/>
      <c r="C584" s="5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4"/>
      <c r="W584" s="4"/>
      <c r="X584" s="4"/>
    </row>
    <row r="585">
      <c r="A585" s="4"/>
      <c r="B585" s="4"/>
      <c r="C585" s="5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4"/>
      <c r="W585" s="4"/>
      <c r="X585" s="4"/>
    </row>
    <row r="586">
      <c r="A586" s="4"/>
      <c r="B586" s="4"/>
      <c r="C586" s="5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4"/>
      <c r="W586" s="4"/>
      <c r="X586" s="4"/>
    </row>
    <row r="587">
      <c r="A587" s="4"/>
      <c r="B587" s="4"/>
      <c r="C587" s="5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4"/>
      <c r="W587" s="4"/>
      <c r="X587" s="4"/>
    </row>
    <row r="588">
      <c r="A588" s="4"/>
      <c r="B588" s="4"/>
      <c r="C588" s="5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4"/>
      <c r="W588" s="4"/>
      <c r="X588" s="4"/>
    </row>
    <row r="589">
      <c r="A589" s="4"/>
      <c r="B589" s="4"/>
      <c r="C589" s="5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4"/>
      <c r="W589" s="4"/>
      <c r="X589" s="4"/>
    </row>
    <row r="590">
      <c r="A590" s="4"/>
      <c r="B590" s="4"/>
      <c r="C590" s="5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4"/>
      <c r="W590" s="4"/>
      <c r="X590" s="4"/>
    </row>
    <row r="591">
      <c r="A591" s="4"/>
      <c r="B591" s="4"/>
      <c r="C591" s="5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4"/>
      <c r="W591" s="4"/>
      <c r="X591" s="4"/>
    </row>
    <row r="592">
      <c r="A592" s="4"/>
      <c r="B592" s="4"/>
      <c r="C592" s="5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4"/>
      <c r="W592" s="4"/>
      <c r="X592" s="4"/>
    </row>
    <row r="593">
      <c r="A593" s="4"/>
      <c r="B593" s="4"/>
      <c r="C593" s="5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4"/>
      <c r="W593" s="4"/>
      <c r="X593" s="4"/>
    </row>
    <row r="594">
      <c r="A594" s="4"/>
      <c r="B594" s="4"/>
      <c r="C594" s="5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4"/>
      <c r="W594" s="4"/>
      <c r="X594" s="4"/>
    </row>
    <row r="595">
      <c r="A595" s="4"/>
      <c r="B595" s="4"/>
      <c r="C595" s="5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4"/>
      <c r="W595" s="4"/>
      <c r="X595" s="4"/>
    </row>
    <row r="596">
      <c r="A596" s="4"/>
      <c r="B596" s="4"/>
      <c r="C596" s="5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4"/>
      <c r="W596" s="4"/>
      <c r="X596" s="4"/>
    </row>
    <row r="597">
      <c r="A597" s="4"/>
      <c r="B597" s="4"/>
      <c r="C597" s="5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4"/>
      <c r="W597" s="4"/>
      <c r="X597" s="4"/>
    </row>
    <row r="598">
      <c r="A598" s="4"/>
      <c r="B598" s="4"/>
      <c r="C598" s="5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4"/>
      <c r="W598" s="4"/>
      <c r="X598" s="4"/>
    </row>
    <row r="599">
      <c r="A599" s="4"/>
      <c r="B599" s="4"/>
      <c r="C599" s="5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4"/>
      <c r="W599" s="4"/>
      <c r="X599" s="4"/>
    </row>
    <row r="600">
      <c r="A600" s="4"/>
      <c r="B600" s="4"/>
      <c r="C600" s="5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4"/>
      <c r="W600" s="4"/>
      <c r="X600" s="4"/>
    </row>
    <row r="601">
      <c r="A601" s="4"/>
      <c r="B601" s="4"/>
      <c r="C601" s="5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4"/>
      <c r="W601" s="4"/>
      <c r="X601" s="4"/>
    </row>
    <row r="602">
      <c r="A602" s="4"/>
      <c r="B602" s="4"/>
      <c r="C602" s="5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4"/>
      <c r="W602" s="4"/>
      <c r="X602" s="4"/>
    </row>
    <row r="603">
      <c r="A603" s="4"/>
      <c r="B603" s="4"/>
      <c r="C603" s="5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4"/>
      <c r="W603" s="4"/>
      <c r="X603" s="4"/>
    </row>
    <row r="604">
      <c r="A604" s="4"/>
      <c r="B604" s="4"/>
      <c r="C604" s="5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4"/>
      <c r="W604" s="4"/>
      <c r="X604" s="4"/>
    </row>
    <row r="605">
      <c r="A605" s="4"/>
      <c r="B605" s="4"/>
      <c r="C605" s="5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4"/>
      <c r="W605" s="4"/>
      <c r="X605" s="4"/>
    </row>
    <row r="606">
      <c r="A606" s="4"/>
      <c r="B606" s="4"/>
      <c r="C606" s="5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4"/>
      <c r="W606" s="4"/>
      <c r="X606" s="4"/>
    </row>
    <row r="607">
      <c r="A607" s="4"/>
      <c r="B607" s="4"/>
      <c r="C607" s="5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4"/>
      <c r="W607" s="4"/>
      <c r="X607" s="4"/>
    </row>
    <row r="608">
      <c r="A608" s="4"/>
      <c r="B608" s="4"/>
      <c r="C608" s="5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4"/>
      <c r="W608" s="4"/>
      <c r="X608" s="4"/>
    </row>
    <row r="609">
      <c r="A609" s="4"/>
      <c r="B609" s="4"/>
      <c r="C609" s="5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4"/>
      <c r="W609" s="4"/>
      <c r="X609" s="4"/>
    </row>
    <row r="610">
      <c r="A610" s="4"/>
      <c r="B610" s="4"/>
      <c r="C610" s="5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4"/>
      <c r="W610" s="4"/>
      <c r="X610" s="4"/>
    </row>
    <row r="611">
      <c r="A611" s="4"/>
      <c r="B611" s="4"/>
      <c r="C611" s="5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4"/>
      <c r="W611" s="4"/>
      <c r="X611" s="4"/>
    </row>
    <row r="612">
      <c r="A612" s="4"/>
      <c r="B612" s="4"/>
      <c r="C612" s="5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4"/>
      <c r="W612" s="4"/>
      <c r="X612" s="4"/>
    </row>
    <row r="613">
      <c r="A613" s="4"/>
      <c r="B613" s="4"/>
      <c r="C613" s="5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4"/>
      <c r="W613" s="4"/>
      <c r="X613" s="4"/>
    </row>
    <row r="614">
      <c r="A614" s="4"/>
      <c r="B614" s="4"/>
      <c r="C614" s="5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4"/>
      <c r="W614" s="4"/>
      <c r="X614" s="4"/>
    </row>
    <row r="615">
      <c r="A615" s="4"/>
      <c r="B615" s="4"/>
      <c r="C615" s="5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4"/>
      <c r="W615" s="4"/>
      <c r="X615" s="4"/>
    </row>
    <row r="616">
      <c r="A616" s="4"/>
      <c r="B616" s="4"/>
      <c r="C616" s="5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4"/>
      <c r="W616" s="4"/>
      <c r="X616" s="4"/>
    </row>
    <row r="617">
      <c r="A617" s="4"/>
      <c r="B617" s="4"/>
      <c r="C617" s="5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4"/>
      <c r="W617" s="4"/>
      <c r="X617" s="4"/>
    </row>
    <row r="618">
      <c r="A618" s="4"/>
      <c r="B618" s="4"/>
      <c r="C618" s="5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4"/>
      <c r="W618" s="4"/>
      <c r="X618" s="4"/>
    </row>
    <row r="619">
      <c r="A619" s="4"/>
      <c r="B619" s="4"/>
      <c r="C619" s="5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4"/>
      <c r="W619" s="4"/>
      <c r="X619" s="4"/>
    </row>
    <row r="620">
      <c r="A620" s="4"/>
      <c r="B620" s="4"/>
      <c r="C620" s="5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4"/>
      <c r="W620" s="4"/>
      <c r="X620" s="4"/>
    </row>
    <row r="621">
      <c r="A621" s="4"/>
      <c r="B621" s="4"/>
      <c r="C621" s="5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4"/>
      <c r="W621" s="4"/>
      <c r="X621" s="4"/>
    </row>
    <row r="622">
      <c r="A622" s="4"/>
      <c r="B622" s="4"/>
      <c r="C622" s="5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4"/>
      <c r="W622" s="4"/>
      <c r="X622" s="4"/>
    </row>
    <row r="623">
      <c r="A623" s="4"/>
      <c r="B623" s="4"/>
      <c r="C623" s="5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4"/>
      <c r="W623" s="4"/>
      <c r="X623" s="4"/>
    </row>
    <row r="624">
      <c r="A624" s="4"/>
      <c r="B624" s="4"/>
      <c r="C624" s="5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4"/>
      <c r="W624" s="4"/>
      <c r="X624" s="4"/>
    </row>
    <row r="625">
      <c r="A625" s="4"/>
      <c r="B625" s="4"/>
      <c r="C625" s="5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4"/>
      <c r="W625" s="4"/>
      <c r="X625" s="4"/>
    </row>
    <row r="626">
      <c r="A626" s="4"/>
      <c r="B626" s="4"/>
      <c r="C626" s="5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4"/>
      <c r="W626" s="4"/>
      <c r="X626" s="4"/>
    </row>
    <row r="627">
      <c r="A627" s="4"/>
      <c r="B627" s="4"/>
      <c r="C627" s="5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4"/>
      <c r="W627" s="4"/>
      <c r="X627" s="4"/>
    </row>
    <row r="628">
      <c r="A628" s="4"/>
      <c r="B628" s="4"/>
      <c r="C628" s="5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4"/>
      <c r="W628" s="4"/>
      <c r="X628" s="4"/>
    </row>
    <row r="629">
      <c r="A629" s="4"/>
      <c r="B629" s="4"/>
      <c r="C629" s="5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4"/>
      <c r="W629" s="4"/>
      <c r="X629" s="4"/>
    </row>
    <row r="630">
      <c r="A630" s="4"/>
      <c r="B630" s="4"/>
      <c r="C630" s="5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4"/>
      <c r="W630" s="4"/>
      <c r="X630" s="4"/>
    </row>
    <row r="631">
      <c r="A631" s="4"/>
      <c r="B631" s="4"/>
      <c r="C631" s="5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4"/>
      <c r="W631" s="4"/>
      <c r="X631" s="4"/>
    </row>
    <row r="632">
      <c r="A632" s="4"/>
      <c r="B632" s="4"/>
      <c r="C632" s="5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4"/>
      <c r="W632" s="4"/>
      <c r="X632" s="4"/>
    </row>
    <row r="633">
      <c r="A633" s="4"/>
      <c r="B633" s="4"/>
      <c r="C633" s="5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4"/>
      <c r="W633" s="4"/>
      <c r="X633" s="4"/>
    </row>
    <row r="634">
      <c r="A634" s="4"/>
      <c r="B634" s="4"/>
      <c r="C634" s="5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4"/>
      <c r="W634" s="4"/>
      <c r="X634" s="4"/>
    </row>
    <row r="635">
      <c r="A635" s="4"/>
      <c r="B635" s="4"/>
      <c r="C635" s="5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4"/>
      <c r="W635" s="4"/>
      <c r="X635" s="4"/>
    </row>
    <row r="636">
      <c r="A636" s="4"/>
      <c r="B636" s="4"/>
      <c r="C636" s="5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4"/>
      <c r="W636" s="4"/>
      <c r="X636" s="4"/>
    </row>
    <row r="637">
      <c r="A637" s="4"/>
      <c r="B637" s="4"/>
      <c r="C637" s="5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4"/>
      <c r="W637" s="4"/>
      <c r="X637" s="4"/>
    </row>
    <row r="638">
      <c r="A638" s="4"/>
      <c r="B638" s="4"/>
      <c r="C638" s="5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4"/>
      <c r="W638" s="4"/>
      <c r="X638" s="4"/>
    </row>
    <row r="639">
      <c r="A639" s="4"/>
      <c r="B639" s="4"/>
      <c r="C639" s="5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4"/>
      <c r="W639" s="4"/>
      <c r="X639" s="4"/>
    </row>
    <row r="640">
      <c r="A640" s="4"/>
      <c r="B640" s="4"/>
      <c r="C640" s="5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4"/>
      <c r="W640" s="4"/>
      <c r="X640" s="4"/>
    </row>
    <row r="641">
      <c r="A641" s="4"/>
      <c r="B641" s="4"/>
      <c r="C641" s="5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4"/>
      <c r="W641" s="4"/>
      <c r="X641" s="4"/>
    </row>
    <row r="642">
      <c r="A642" s="4"/>
      <c r="B642" s="4"/>
      <c r="C642" s="5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4"/>
      <c r="W642" s="4"/>
      <c r="X642" s="4"/>
    </row>
    <row r="643">
      <c r="A643" s="4"/>
      <c r="B643" s="4"/>
      <c r="C643" s="5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4"/>
      <c r="W643" s="4"/>
      <c r="X643" s="4"/>
    </row>
    <row r="644">
      <c r="A644" s="4"/>
      <c r="B644" s="4"/>
      <c r="C644" s="5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4"/>
      <c r="W644" s="4"/>
      <c r="X644" s="4"/>
    </row>
    <row r="645">
      <c r="A645" s="4"/>
      <c r="B645" s="4"/>
      <c r="C645" s="5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4"/>
      <c r="W645" s="4"/>
      <c r="X645" s="4"/>
    </row>
    <row r="646">
      <c r="A646" s="4"/>
      <c r="B646" s="4"/>
      <c r="C646" s="5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4"/>
      <c r="W646" s="4"/>
      <c r="X646" s="4"/>
    </row>
    <row r="647">
      <c r="A647" s="4"/>
      <c r="B647" s="4"/>
      <c r="C647" s="5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4"/>
      <c r="W647" s="4"/>
      <c r="X647" s="4"/>
    </row>
    <row r="648">
      <c r="A648" s="4"/>
      <c r="B648" s="4"/>
      <c r="C648" s="5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4"/>
      <c r="W648" s="4"/>
      <c r="X648" s="4"/>
    </row>
    <row r="649">
      <c r="A649" s="4"/>
      <c r="B649" s="4"/>
      <c r="C649" s="5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4"/>
      <c r="W649" s="4"/>
      <c r="X649" s="4"/>
    </row>
    <row r="650">
      <c r="A650" s="4"/>
      <c r="B650" s="4"/>
      <c r="C650" s="5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4"/>
      <c r="W650" s="4"/>
      <c r="X650" s="4"/>
    </row>
    <row r="651">
      <c r="A651" s="4"/>
      <c r="B651" s="4"/>
      <c r="C651" s="5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4"/>
      <c r="W651" s="4"/>
      <c r="X651" s="4"/>
    </row>
    <row r="652">
      <c r="A652" s="4"/>
      <c r="B652" s="4"/>
      <c r="C652" s="5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4"/>
      <c r="W652" s="4"/>
      <c r="X652" s="4"/>
    </row>
    <row r="653">
      <c r="A653" s="4"/>
      <c r="B653" s="4"/>
      <c r="C653" s="5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4"/>
      <c r="W653" s="4"/>
      <c r="X653" s="4"/>
    </row>
    <row r="654">
      <c r="A654" s="4"/>
      <c r="B654" s="4"/>
      <c r="C654" s="5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4"/>
      <c r="W654" s="4"/>
      <c r="X654" s="4"/>
    </row>
    <row r="655">
      <c r="A655" s="4"/>
      <c r="B655" s="4"/>
      <c r="C655" s="5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4"/>
      <c r="W655" s="4"/>
      <c r="X655" s="4"/>
    </row>
    <row r="656">
      <c r="A656" s="4"/>
      <c r="B656" s="4"/>
      <c r="C656" s="5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4"/>
      <c r="W656" s="4"/>
      <c r="X656" s="4"/>
    </row>
    <row r="657">
      <c r="A657" s="4"/>
      <c r="B657" s="4"/>
      <c r="C657" s="5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4"/>
      <c r="W657" s="4"/>
      <c r="X657" s="4"/>
    </row>
    <row r="658">
      <c r="A658" s="4"/>
      <c r="B658" s="4"/>
      <c r="C658" s="5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4"/>
      <c r="W658" s="4"/>
      <c r="X658" s="4"/>
    </row>
    <row r="659">
      <c r="A659" s="4"/>
      <c r="B659" s="4"/>
      <c r="C659" s="5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4"/>
      <c r="W659" s="4"/>
      <c r="X659" s="4"/>
    </row>
    <row r="660">
      <c r="A660" s="4"/>
      <c r="B660" s="4"/>
      <c r="C660" s="5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4"/>
      <c r="W660" s="4"/>
      <c r="X660" s="4"/>
    </row>
    <row r="661">
      <c r="A661" s="4"/>
      <c r="B661" s="4"/>
      <c r="C661" s="5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4"/>
      <c r="W661" s="4"/>
      <c r="X661" s="4"/>
    </row>
    <row r="662">
      <c r="A662" s="4"/>
      <c r="B662" s="4"/>
      <c r="C662" s="5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4"/>
      <c r="W662" s="4"/>
      <c r="X662" s="4"/>
    </row>
    <row r="663">
      <c r="A663" s="4"/>
      <c r="B663" s="4"/>
      <c r="C663" s="5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4"/>
      <c r="W663" s="4"/>
      <c r="X663" s="4"/>
    </row>
    <row r="664">
      <c r="A664" s="4"/>
      <c r="B664" s="4"/>
      <c r="C664" s="5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4"/>
      <c r="W664" s="4"/>
      <c r="X664" s="4"/>
    </row>
    <row r="665">
      <c r="A665" s="4"/>
      <c r="B665" s="4"/>
      <c r="C665" s="5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4"/>
      <c r="W665" s="4"/>
      <c r="X665" s="4"/>
    </row>
    <row r="666">
      <c r="A666" s="4"/>
      <c r="B666" s="4"/>
      <c r="C666" s="5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4"/>
      <c r="W666" s="4"/>
      <c r="X666" s="4"/>
    </row>
    <row r="667">
      <c r="A667" s="4"/>
      <c r="B667" s="4"/>
      <c r="C667" s="5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4"/>
      <c r="W667" s="4"/>
      <c r="X667" s="4"/>
    </row>
    <row r="668">
      <c r="A668" s="4"/>
      <c r="B668" s="4"/>
      <c r="C668" s="5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4"/>
      <c r="W668" s="4"/>
      <c r="X668" s="4"/>
    </row>
    <row r="669">
      <c r="A669" s="4"/>
      <c r="B669" s="4"/>
      <c r="C669" s="5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4"/>
      <c r="W669" s="4"/>
      <c r="X669" s="4"/>
    </row>
    <row r="670">
      <c r="A670" s="4"/>
      <c r="B670" s="4"/>
      <c r="C670" s="5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4"/>
      <c r="W670" s="4"/>
      <c r="X670" s="4"/>
    </row>
    <row r="671">
      <c r="A671" s="4"/>
      <c r="B671" s="4"/>
      <c r="C671" s="5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4"/>
      <c r="W671" s="4"/>
      <c r="X671" s="4"/>
    </row>
    <row r="672">
      <c r="A672" s="4"/>
      <c r="B672" s="4"/>
      <c r="C672" s="5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4"/>
      <c r="W672" s="4"/>
      <c r="X672" s="4"/>
    </row>
    <row r="673">
      <c r="A673" s="4"/>
      <c r="B673" s="4"/>
      <c r="C673" s="5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4"/>
      <c r="W673" s="4"/>
      <c r="X673" s="4"/>
    </row>
    <row r="674">
      <c r="A674" s="4"/>
      <c r="B674" s="4"/>
      <c r="C674" s="5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4"/>
      <c r="W674" s="4"/>
      <c r="X674" s="4"/>
    </row>
    <row r="675">
      <c r="A675" s="4"/>
      <c r="B675" s="4"/>
      <c r="C675" s="5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4"/>
      <c r="W675" s="4"/>
      <c r="X675" s="4"/>
    </row>
    <row r="676">
      <c r="A676" s="4"/>
      <c r="B676" s="4"/>
      <c r="C676" s="5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4"/>
      <c r="W676" s="4"/>
      <c r="X676" s="4"/>
    </row>
    <row r="677">
      <c r="A677" s="4"/>
      <c r="B677" s="4"/>
      <c r="C677" s="5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4"/>
      <c r="W677" s="4"/>
      <c r="X677" s="4"/>
    </row>
    <row r="678">
      <c r="A678" s="4"/>
      <c r="B678" s="4"/>
      <c r="C678" s="5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4"/>
      <c r="W678" s="4"/>
      <c r="X678" s="4"/>
    </row>
    <row r="679">
      <c r="A679" s="4"/>
      <c r="B679" s="4"/>
      <c r="C679" s="5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4"/>
      <c r="W679" s="4"/>
      <c r="X679" s="4"/>
    </row>
    <row r="680">
      <c r="A680" s="4"/>
      <c r="B680" s="4"/>
      <c r="C680" s="5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4"/>
      <c r="W680" s="4"/>
      <c r="X680" s="4"/>
    </row>
    <row r="681">
      <c r="A681" s="4"/>
      <c r="B681" s="4"/>
      <c r="C681" s="5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4"/>
      <c r="W681" s="4"/>
      <c r="X681" s="4"/>
    </row>
    <row r="682">
      <c r="A682" s="4"/>
      <c r="B682" s="4"/>
      <c r="C682" s="5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4"/>
      <c r="W682" s="4"/>
      <c r="X682" s="4"/>
    </row>
    <row r="683">
      <c r="A683" s="4"/>
      <c r="B683" s="4"/>
      <c r="C683" s="5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4"/>
      <c r="W683" s="4"/>
      <c r="X683" s="4"/>
    </row>
    <row r="684">
      <c r="A684" s="4"/>
      <c r="B684" s="4"/>
      <c r="C684" s="5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4"/>
      <c r="W684" s="4"/>
      <c r="X684" s="4"/>
    </row>
    <row r="685">
      <c r="A685" s="4"/>
      <c r="B685" s="4"/>
      <c r="C685" s="5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4"/>
      <c r="W685" s="4"/>
      <c r="X685" s="4"/>
    </row>
    <row r="686">
      <c r="A686" s="4"/>
      <c r="B686" s="4"/>
      <c r="C686" s="5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4"/>
      <c r="W686" s="4"/>
      <c r="X686" s="4"/>
    </row>
    <row r="687">
      <c r="A687" s="4"/>
      <c r="B687" s="4"/>
      <c r="C687" s="5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4"/>
      <c r="W687" s="4"/>
      <c r="X687" s="4"/>
    </row>
    <row r="688">
      <c r="A688" s="4"/>
      <c r="B688" s="4"/>
      <c r="C688" s="5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4"/>
      <c r="W688" s="4"/>
      <c r="X688" s="4"/>
    </row>
    <row r="689">
      <c r="A689" s="4"/>
      <c r="B689" s="4"/>
      <c r="C689" s="5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4"/>
      <c r="W689" s="4"/>
      <c r="X689" s="4"/>
    </row>
    <row r="690">
      <c r="A690" s="4"/>
      <c r="B690" s="4"/>
      <c r="C690" s="5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4"/>
      <c r="W690" s="4"/>
      <c r="X690" s="4"/>
    </row>
    <row r="691">
      <c r="A691" s="4"/>
      <c r="B691" s="4"/>
      <c r="C691" s="5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4"/>
      <c r="W691" s="4"/>
      <c r="X691" s="4"/>
    </row>
    <row r="692">
      <c r="A692" s="4"/>
      <c r="B692" s="4"/>
      <c r="C692" s="5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4"/>
      <c r="W692" s="4"/>
      <c r="X692" s="4"/>
    </row>
    <row r="693">
      <c r="A693" s="4"/>
      <c r="B693" s="4"/>
      <c r="C693" s="5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4"/>
      <c r="W693" s="4"/>
      <c r="X693" s="4"/>
    </row>
    <row r="694">
      <c r="A694" s="4"/>
      <c r="B694" s="4"/>
      <c r="C694" s="5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4"/>
      <c r="W694" s="4"/>
      <c r="X694" s="4"/>
    </row>
    <row r="695">
      <c r="A695" s="4"/>
      <c r="B695" s="4"/>
      <c r="C695" s="5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4"/>
      <c r="W695" s="4"/>
      <c r="X695" s="4"/>
    </row>
    <row r="696">
      <c r="A696" s="4"/>
      <c r="B696" s="4"/>
      <c r="C696" s="5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4"/>
      <c r="W696" s="4"/>
      <c r="X696" s="4"/>
    </row>
    <row r="697">
      <c r="A697" s="4"/>
      <c r="B697" s="4"/>
      <c r="C697" s="5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4"/>
      <c r="W697" s="4"/>
      <c r="X697" s="4"/>
    </row>
    <row r="698">
      <c r="A698" s="4"/>
      <c r="B698" s="4"/>
      <c r="C698" s="5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4"/>
      <c r="W698" s="4"/>
      <c r="X698" s="4"/>
    </row>
    <row r="699">
      <c r="A699" s="4"/>
      <c r="B699" s="4"/>
      <c r="C699" s="5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4"/>
      <c r="W699" s="4"/>
      <c r="X699" s="4"/>
    </row>
    <row r="700">
      <c r="A700" s="4"/>
      <c r="B700" s="4"/>
      <c r="C700" s="5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4"/>
      <c r="W700" s="4"/>
      <c r="X700" s="4"/>
    </row>
    <row r="701">
      <c r="A701" s="4"/>
      <c r="B701" s="4"/>
      <c r="C701" s="5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4"/>
      <c r="W701" s="4"/>
      <c r="X701" s="4"/>
    </row>
    <row r="702">
      <c r="A702" s="4"/>
      <c r="B702" s="4"/>
      <c r="C702" s="5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4"/>
      <c r="W702" s="4"/>
      <c r="X702" s="4"/>
    </row>
    <row r="703">
      <c r="A703" s="4"/>
      <c r="B703" s="4"/>
      <c r="C703" s="5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4"/>
      <c r="W703" s="4"/>
      <c r="X703" s="4"/>
    </row>
    <row r="704">
      <c r="A704" s="4"/>
      <c r="B704" s="4"/>
      <c r="C704" s="5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4"/>
      <c r="W704" s="4"/>
      <c r="X704" s="4"/>
    </row>
    <row r="705">
      <c r="A705" s="4"/>
      <c r="B705" s="4"/>
      <c r="C705" s="5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4"/>
      <c r="W705" s="4"/>
      <c r="X705" s="4"/>
    </row>
    <row r="706">
      <c r="A706" s="4"/>
      <c r="B706" s="4"/>
      <c r="C706" s="5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4"/>
      <c r="W706" s="4"/>
      <c r="X706" s="4"/>
    </row>
    <row r="707">
      <c r="A707" s="4"/>
      <c r="B707" s="4"/>
      <c r="C707" s="5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4"/>
      <c r="W707" s="4"/>
      <c r="X707" s="4"/>
    </row>
    <row r="708">
      <c r="A708" s="4"/>
      <c r="B708" s="4"/>
      <c r="C708" s="5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4"/>
      <c r="W708" s="4"/>
      <c r="X708" s="4"/>
    </row>
    <row r="709">
      <c r="A709" s="4"/>
      <c r="B709" s="4"/>
      <c r="C709" s="5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4"/>
      <c r="W709" s="4"/>
      <c r="X709" s="4"/>
    </row>
    <row r="710">
      <c r="A710" s="4"/>
      <c r="B710" s="4"/>
      <c r="C710" s="5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4"/>
      <c r="W710" s="4"/>
      <c r="X710" s="4"/>
    </row>
    <row r="711">
      <c r="A711" s="4"/>
      <c r="B711" s="4"/>
      <c r="C711" s="5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4"/>
      <c r="W711" s="4"/>
      <c r="X711" s="4"/>
    </row>
    <row r="712">
      <c r="A712" s="4"/>
      <c r="B712" s="4"/>
      <c r="C712" s="5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4"/>
      <c r="W712" s="4"/>
      <c r="X712" s="4"/>
    </row>
    <row r="713">
      <c r="A713" s="4"/>
      <c r="B713" s="4"/>
      <c r="C713" s="5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4"/>
      <c r="W713" s="4"/>
      <c r="X713" s="4"/>
    </row>
    <row r="714">
      <c r="A714" s="4"/>
      <c r="B714" s="4"/>
      <c r="C714" s="5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4"/>
      <c r="W714" s="4"/>
      <c r="X714" s="4"/>
    </row>
    <row r="715">
      <c r="A715" s="4"/>
      <c r="B715" s="4"/>
      <c r="C715" s="5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4"/>
      <c r="W715" s="4"/>
      <c r="X715" s="4"/>
    </row>
    <row r="716">
      <c r="A716" s="4"/>
      <c r="B716" s="4"/>
      <c r="C716" s="5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4"/>
      <c r="W716" s="4"/>
      <c r="X716" s="4"/>
    </row>
    <row r="717">
      <c r="A717" s="4"/>
      <c r="B717" s="4"/>
      <c r="C717" s="5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4"/>
      <c r="W717" s="4"/>
      <c r="X717" s="4"/>
    </row>
    <row r="718">
      <c r="A718" s="4"/>
      <c r="B718" s="4"/>
      <c r="C718" s="5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4"/>
      <c r="W718" s="4"/>
      <c r="X718" s="4"/>
    </row>
    <row r="719">
      <c r="A719" s="4"/>
      <c r="B719" s="4"/>
      <c r="C719" s="5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4"/>
      <c r="W719" s="4"/>
      <c r="X719" s="4"/>
    </row>
    <row r="720">
      <c r="A720" s="4"/>
      <c r="B720" s="4"/>
      <c r="C720" s="5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4"/>
      <c r="W720" s="4"/>
      <c r="X720" s="4"/>
    </row>
    <row r="721">
      <c r="A721" s="4"/>
      <c r="B721" s="4"/>
      <c r="C721" s="5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4"/>
      <c r="W721" s="4"/>
      <c r="X721" s="4"/>
    </row>
    <row r="722">
      <c r="A722" s="4"/>
      <c r="B722" s="4"/>
      <c r="C722" s="5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4"/>
      <c r="W722" s="4"/>
      <c r="X722" s="4"/>
    </row>
    <row r="723">
      <c r="A723" s="4"/>
      <c r="B723" s="4"/>
      <c r="C723" s="5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4"/>
      <c r="W723" s="4"/>
      <c r="X723" s="4"/>
    </row>
    <row r="724">
      <c r="A724" s="4"/>
      <c r="B724" s="4"/>
      <c r="C724" s="5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4"/>
      <c r="W724" s="4"/>
      <c r="X724" s="4"/>
    </row>
    <row r="725">
      <c r="A725" s="4"/>
      <c r="B725" s="4"/>
      <c r="C725" s="5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4"/>
      <c r="W725" s="4"/>
      <c r="X725" s="4"/>
    </row>
    <row r="726">
      <c r="A726" s="4"/>
      <c r="B726" s="4"/>
      <c r="C726" s="5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4"/>
      <c r="W726" s="4"/>
      <c r="X726" s="4"/>
    </row>
    <row r="727">
      <c r="A727" s="4"/>
      <c r="B727" s="4"/>
      <c r="C727" s="5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4"/>
      <c r="W727" s="4"/>
      <c r="X727" s="4"/>
    </row>
    <row r="728">
      <c r="A728" s="4"/>
      <c r="B728" s="4"/>
      <c r="C728" s="5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4"/>
      <c r="W728" s="4"/>
      <c r="X728" s="4"/>
    </row>
    <row r="729">
      <c r="A729" s="4"/>
      <c r="B729" s="4"/>
      <c r="C729" s="5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4"/>
      <c r="W729" s="4"/>
      <c r="X729" s="4"/>
    </row>
    <row r="730">
      <c r="A730" s="4"/>
      <c r="B730" s="4"/>
      <c r="C730" s="5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4"/>
      <c r="W730" s="4"/>
      <c r="X730" s="4"/>
    </row>
    <row r="731">
      <c r="A731" s="4"/>
      <c r="B731" s="4"/>
      <c r="C731" s="5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4"/>
      <c r="W731" s="4"/>
      <c r="X731" s="4"/>
    </row>
    <row r="732">
      <c r="A732" s="4"/>
      <c r="B732" s="4"/>
      <c r="C732" s="5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4"/>
      <c r="W732" s="4"/>
      <c r="X732" s="4"/>
    </row>
    <row r="733">
      <c r="A733" s="4"/>
      <c r="B733" s="4"/>
      <c r="C733" s="5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4"/>
      <c r="W733" s="4"/>
      <c r="X733" s="4"/>
    </row>
    <row r="734">
      <c r="A734" s="4"/>
      <c r="B734" s="4"/>
      <c r="C734" s="5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4"/>
      <c r="W734" s="4"/>
      <c r="X734" s="4"/>
    </row>
    <row r="735">
      <c r="A735" s="4"/>
      <c r="B735" s="4"/>
      <c r="C735" s="5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4"/>
      <c r="W735" s="4"/>
      <c r="X735" s="4"/>
    </row>
    <row r="736">
      <c r="A736" s="4"/>
      <c r="B736" s="4"/>
      <c r="C736" s="5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4"/>
      <c r="W736" s="4"/>
      <c r="X736" s="4"/>
    </row>
    <row r="737">
      <c r="A737" s="4"/>
      <c r="B737" s="4"/>
      <c r="C737" s="5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4"/>
      <c r="W737" s="4"/>
      <c r="X737" s="4"/>
    </row>
    <row r="738">
      <c r="A738" s="4"/>
      <c r="B738" s="4"/>
      <c r="C738" s="5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4"/>
      <c r="W738" s="4"/>
      <c r="X738" s="4"/>
    </row>
    <row r="739">
      <c r="A739" s="4"/>
      <c r="B739" s="4"/>
      <c r="C739" s="5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4"/>
      <c r="W739" s="4"/>
      <c r="X739" s="4"/>
    </row>
    <row r="740">
      <c r="A740" s="4"/>
      <c r="B740" s="4"/>
      <c r="C740" s="5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4"/>
      <c r="W740" s="4"/>
      <c r="X740" s="4"/>
    </row>
    <row r="741">
      <c r="A741" s="4"/>
      <c r="B741" s="4"/>
      <c r="C741" s="5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4"/>
      <c r="W741" s="4"/>
      <c r="X741" s="4"/>
    </row>
    <row r="742">
      <c r="A742" s="4"/>
      <c r="B742" s="4"/>
      <c r="C742" s="5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4"/>
      <c r="W742" s="4"/>
      <c r="X742" s="4"/>
    </row>
    <row r="743">
      <c r="A743" s="4"/>
      <c r="B743" s="4"/>
      <c r="C743" s="5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4"/>
      <c r="W743" s="4"/>
      <c r="X743" s="4"/>
    </row>
    <row r="744">
      <c r="A744" s="4"/>
      <c r="B744" s="4"/>
      <c r="C744" s="5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4"/>
      <c r="W744" s="4"/>
      <c r="X744" s="4"/>
    </row>
    <row r="745">
      <c r="A745" s="4"/>
      <c r="B745" s="4"/>
      <c r="C745" s="5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4"/>
      <c r="W745" s="4"/>
      <c r="X745" s="4"/>
    </row>
    <row r="746">
      <c r="A746" s="4"/>
      <c r="B746" s="4"/>
      <c r="C746" s="5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4"/>
      <c r="W746" s="4"/>
      <c r="X746" s="4"/>
    </row>
    <row r="747">
      <c r="A747" s="4"/>
      <c r="B747" s="4"/>
      <c r="C747" s="5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4"/>
      <c r="W747" s="4"/>
      <c r="X747" s="4"/>
    </row>
    <row r="748">
      <c r="A748" s="4"/>
      <c r="B748" s="4"/>
      <c r="C748" s="5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4"/>
      <c r="W748" s="4"/>
      <c r="X748" s="4"/>
    </row>
    <row r="749">
      <c r="A749" s="4"/>
      <c r="B749" s="4"/>
      <c r="C749" s="5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4"/>
      <c r="W749" s="4"/>
      <c r="X749" s="4"/>
    </row>
    <row r="750">
      <c r="A750" s="4"/>
      <c r="B750" s="4"/>
      <c r="C750" s="5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4"/>
      <c r="W750" s="4"/>
      <c r="X750" s="4"/>
    </row>
    <row r="751">
      <c r="A751" s="4"/>
      <c r="B751" s="4"/>
      <c r="C751" s="5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4"/>
      <c r="W751" s="4"/>
      <c r="X751" s="4"/>
    </row>
    <row r="752">
      <c r="A752" s="4"/>
      <c r="B752" s="4"/>
      <c r="C752" s="5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4"/>
      <c r="W752" s="4"/>
      <c r="X752" s="4"/>
    </row>
    <row r="753">
      <c r="A753" s="4"/>
      <c r="B753" s="4"/>
      <c r="C753" s="5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4"/>
      <c r="W753" s="4"/>
      <c r="X753" s="4"/>
    </row>
    <row r="754">
      <c r="A754" s="4"/>
      <c r="B754" s="4"/>
      <c r="C754" s="5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4"/>
      <c r="W754" s="4"/>
      <c r="X754" s="4"/>
    </row>
    <row r="755">
      <c r="A755" s="4"/>
      <c r="B755" s="4"/>
      <c r="C755" s="5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4"/>
      <c r="W755" s="4"/>
      <c r="X755" s="4"/>
    </row>
    <row r="756">
      <c r="A756" s="4"/>
      <c r="B756" s="4"/>
      <c r="C756" s="5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4"/>
      <c r="W756" s="4"/>
      <c r="X756" s="4"/>
    </row>
    <row r="757">
      <c r="A757" s="4"/>
      <c r="B757" s="4"/>
      <c r="C757" s="5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4"/>
      <c r="W757" s="4"/>
      <c r="X757" s="4"/>
    </row>
    <row r="758">
      <c r="A758" s="4"/>
      <c r="B758" s="4"/>
      <c r="C758" s="5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4"/>
      <c r="W758" s="4"/>
      <c r="X758" s="4"/>
    </row>
    <row r="759">
      <c r="A759" s="4"/>
      <c r="B759" s="4"/>
      <c r="C759" s="5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4"/>
      <c r="W759" s="4"/>
      <c r="X759" s="4"/>
    </row>
    <row r="760">
      <c r="A760" s="4"/>
      <c r="B760" s="4"/>
      <c r="C760" s="5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4"/>
      <c r="W760" s="4"/>
      <c r="X760" s="4"/>
    </row>
    <row r="761">
      <c r="A761" s="4"/>
      <c r="B761" s="4"/>
      <c r="C761" s="5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4"/>
      <c r="W761" s="4"/>
      <c r="X761" s="4"/>
    </row>
    <row r="762">
      <c r="A762" s="4"/>
      <c r="B762" s="4"/>
      <c r="C762" s="5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4"/>
      <c r="W762" s="4"/>
      <c r="X762" s="4"/>
    </row>
    <row r="763">
      <c r="A763" s="4"/>
      <c r="B763" s="4"/>
      <c r="C763" s="5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4"/>
      <c r="W763" s="4"/>
      <c r="X763" s="4"/>
    </row>
    <row r="764">
      <c r="A764" s="4"/>
      <c r="B764" s="4"/>
      <c r="C764" s="5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4"/>
      <c r="W764" s="4"/>
      <c r="X764" s="4"/>
    </row>
    <row r="765">
      <c r="A765" s="4"/>
      <c r="B765" s="4"/>
      <c r="C765" s="5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4"/>
      <c r="W765" s="4"/>
      <c r="X765" s="4"/>
    </row>
    <row r="766">
      <c r="A766" s="4"/>
      <c r="B766" s="4"/>
      <c r="C766" s="5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4"/>
      <c r="W766" s="4"/>
      <c r="X766" s="4"/>
    </row>
    <row r="767">
      <c r="A767" s="4"/>
      <c r="B767" s="4"/>
      <c r="C767" s="5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4"/>
      <c r="W767" s="4"/>
      <c r="X767" s="4"/>
    </row>
    <row r="768">
      <c r="A768" s="4"/>
      <c r="B768" s="4"/>
      <c r="C768" s="5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4"/>
      <c r="W768" s="4"/>
      <c r="X768" s="4"/>
    </row>
    <row r="769">
      <c r="A769" s="4"/>
      <c r="B769" s="4"/>
      <c r="C769" s="5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4"/>
      <c r="W769" s="4"/>
      <c r="X769" s="4"/>
    </row>
    <row r="770">
      <c r="A770" s="4"/>
      <c r="B770" s="4"/>
      <c r="C770" s="5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4"/>
      <c r="W770" s="4"/>
      <c r="X770" s="4"/>
    </row>
    <row r="771">
      <c r="A771" s="4"/>
      <c r="B771" s="4"/>
      <c r="C771" s="5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4"/>
      <c r="W771" s="4"/>
      <c r="X771" s="4"/>
    </row>
    <row r="772">
      <c r="A772" s="4"/>
      <c r="B772" s="4"/>
      <c r="C772" s="5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4"/>
      <c r="W772" s="4"/>
      <c r="X772" s="4"/>
    </row>
    <row r="773">
      <c r="A773" s="4"/>
      <c r="B773" s="4"/>
      <c r="C773" s="5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4"/>
      <c r="W773" s="4"/>
      <c r="X773" s="4"/>
    </row>
    <row r="774">
      <c r="A774" s="4"/>
      <c r="B774" s="4"/>
      <c r="C774" s="5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4"/>
      <c r="W774" s="4"/>
      <c r="X774" s="4"/>
    </row>
    <row r="775">
      <c r="A775" s="4"/>
      <c r="B775" s="4"/>
      <c r="C775" s="5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4"/>
      <c r="W775" s="4"/>
      <c r="X775" s="4"/>
    </row>
    <row r="776">
      <c r="A776" s="4"/>
      <c r="B776" s="4"/>
      <c r="C776" s="5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4"/>
      <c r="W776" s="4"/>
      <c r="X776" s="4"/>
    </row>
    <row r="777">
      <c r="A777" s="4"/>
      <c r="B777" s="4"/>
      <c r="C777" s="5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4"/>
      <c r="W777" s="4"/>
      <c r="X777" s="4"/>
    </row>
    <row r="778">
      <c r="A778" s="4"/>
      <c r="B778" s="4"/>
      <c r="C778" s="5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4"/>
      <c r="W778" s="4"/>
      <c r="X778" s="4"/>
    </row>
    <row r="779">
      <c r="A779" s="4"/>
      <c r="B779" s="4"/>
      <c r="C779" s="5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4"/>
      <c r="W779" s="4"/>
      <c r="X779" s="4"/>
    </row>
    <row r="780">
      <c r="A780" s="4"/>
      <c r="B780" s="4"/>
      <c r="C780" s="5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4"/>
      <c r="W780" s="4"/>
      <c r="X780" s="4"/>
    </row>
    <row r="781">
      <c r="A781" s="4"/>
      <c r="B781" s="4"/>
      <c r="C781" s="5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4"/>
      <c r="W781" s="4"/>
      <c r="X781" s="4"/>
    </row>
    <row r="782">
      <c r="A782" s="4"/>
      <c r="B782" s="4"/>
      <c r="C782" s="5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4"/>
      <c r="W782" s="4"/>
      <c r="X782" s="4"/>
    </row>
    <row r="783">
      <c r="A783" s="4"/>
      <c r="B783" s="4"/>
      <c r="C783" s="5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4"/>
      <c r="W783" s="4"/>
      <c r="X783" s="4"/>
    </row>
    <row r="784">
      <c r="A784" s="4"/>
      <c r="B784" s="4"/>
      <c r="C784" s="5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4"/>
      <c r="W784" s="4"/>
      <c r="X784" s="4"/>
    </row>
    <row r="785">
      <c r="A785" s="4"/>
      <c r="B785" s="4"/>
      <c r="C785" s="5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4"/>
      <c r="W785" s="4"/>
      <c r="X785" s="4"/>
    </row>
    <row r="786">
      <c r="A786" s="4"/>
      <c r="B786" s="4"/>
      <c r="C786" s="5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4"/>
      <c r="W786" s="4"/>
      <c r="X786" s="4"/>
    </row>
    <row r="787">
      <c r="A787" s="4"/>
      <c r="B787" s="4"/>
      <c r="C787" s="5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4"/>
      <c r="W787" s="4"/>
      <c r="X787" s="4"/>
    </row>
    <row r="788">
      <c r="A788" s="4"/>
      <c r="B788" s="4"/>
      <c r="C788" s="5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4"/>
      <c r="W788" s="4"/>
      <c r="X788" s="4"/>
    </row>
    <row r="789">
      <c r="A789" s="4"/>
      <c r="B789" s="4"/>
      <c r="C789" s="5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4"/>
      <c r="W789" s="4"/>
      <c r="X789" s="4"/>
    </row>
    <row r="790">
      <c r="A790" s="4"/>
      <c r="B790" s="4"/>
      <c r="C790" s="5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4"/>
      <c r="W790" s="4"/>
      <c r="X790" s="4"/>
    </row>
    <row r="791">
      <c r="A791" s="4"/>
      <c r="B791" s="4"/>
      <c r="C791" s="5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4"/>
      <c r="W791" s="4"/>
      <c r="X791" s="4"/>
    </row>
    <row r="792">
      <c r="A792" s="4"/>
      <c r="B792" s="4"/>
      <c r="C792" s="5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4"/>
      <c r="W792" s="4"/>
      <c r="X792" s="4"/>
    </row>
    <row r="793">
      <c r="A793" s="4"/>
      <c r="B793" s="4"/>
      <c r="C793" s="5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4"/>
      <c r="W793" s="4"/>
      <c r="X793" s="4"/>
    </row>
    <row r="794">
      <c r="A794" s="4"/>
      <c r="B794" s="4"/>
      <c r="C794" s="5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4"/>
      <c r="W794" s="4"/>
      <c r="X794" s="4"/>
    </row>
    <row r="795">
      <c r="A795" s="4"/>
      <c r="B795" s="4"/>
      <c r="C795" s="5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4"/>
      <c r="W795" s="4"/>
      <c r="X795" s="4"/>
    </row>
    <row r="796">
      <c r="A796" s="4"/>
      <c r="B796" s="4"/>
      <c r="C796" s="5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4"/>
      <c r="W796" s="4"/>
      <c r="X796" s="4"/>
    </row>
    <row r="797">
      <c r="A797" s="4"/>
      <c r="B797" s="4"/>
      <c r="C797" s="5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4"/>
      <c r="W797" s="4"/>
      <c r="X797" s="4"/>
    </row>
    <row r="798">
      <c r="A798" s="4"/>
      <c r="B798" s="4"/>
      <c r="C798" s="5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4"/>
      <c r="W798" s="4"/>
      <c r="X798" s="4"/>
    </row>
    <row r="799">
      <c r="A799" s="4"/>
      <c r="B799" s="4"/>
      <c r="C799" s="5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4"/>
      <c r="W799" s="4"/>
      <c r="X799" s="4"/>
    </row>
    <row r="800">
      <c r="A800" s="4"/>
      <c r="B800" s="4"/>
      <c r="C800" s="5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4"/>
      <c r="W800" s="4"/>
      <c r="X800" s="4"/>
    </row>
    <row r="801">
      <c r="A801" s="4"/>
      <c r="B801" s="4"/>
      <c r="C801" s="5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4"/>
      <c r="W801" s="4"/>
      <c r="X801" s="4"/>
    </row>
    <row r="802">
      <c r="A802" s="4"/>
      <c r="B802" s="4"/>
      <c r="C802" s="5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4"/>
      <c r="W802" s="4"/>
      <c r="X802" s="4"/>
    </row>
    <row r="803">
      <c r="A803" s="4"/>
      <c r="B803" s="4"/>
      <c r="C803" s="5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4"/>
      <c r="W803" s="4"/>
      <c r="X803" s="4"/>
    </row>
    <row r="804">
      <c r="A804" s="4"/>
      <c r="B804" s="4"/>
      <c r="C804" s="5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4"/>
      <c r="W804" s="4"/>
      <c r="X804" s="4"/>
    </row>
    <row r="805">
      <c r="A805" s="4"/>
      <c r="B805" s="4"/>
      <c r="C805" s="5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4"/>
      <c r="W805" s="4"/>
      <c r="X805" s="4"/>
    </row>
    <row r="806">
      <c r="A806" s="4"/>
      <c r="B806" s="4"/>
      <c r="C806" s="5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4"/>
      <c r="W806" s="4"/>
      <c r="X806" s="4"/>
    </row>
    <row r="807">
      <c r="A807" s="4"/>
      <c r="B807" s="4"/>
      <c r="C807" s="5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4"/>
      <c r="W807" s="4"/>
      <c r="X807" s="4"/>
    </row>
    <row r="808">
      <c r="A808" s="4"/>
      <c r="B808" s="4"/>
      <c r="C808" s="5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4"/>
      <c r="W808" s="4"/>
      <c r="X808" s="4"/>
    </row>
    <row r="809">
      <c r="A809" s="4"/>
      <c r="B809" s="4"/>
      <c r="C809" s="5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4"/>
      <c r="W809" s="4"/>
      <c r="X809" s="4"/>
    </row>
    <row r="810">
      <c r="A810" s="4"/>
      <c r="B810" s="4"/>
      <c r="C810" s="5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4"/>
      <c r="W810" s="4"/>
      <c r="X810" s="4"/>
    </row>
    <row r="811">
      <c r="A811" s="4"/>
      <c r="B811" s="4"/>
      <c r="C811" s="5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4"/>
      <c r="W811" s="4"/>
      <c r="X811" s="4"/>
    </row>
    <row r="812">
      <c r="A812" s="4"/>
      <c r="B812" s="4"/>
      <c r="C812" s="5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4"/>
      <c r="W812" s="4"/>
      <c r="X812" s="4"/>
    </row>
    <row r="813">
      <c r="A813" s="4"/>
      <c r="B813" s="4"/>
      <c r="C813" s="5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4"/>
      <c r="W813" s="4"/>
      <c r="X813" s="4"/>
    </row>
    <row r="814">
      <c r="A814" s="4"/>
      <c r="B814" s="4"/>
      <c r="C814" s="5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4"/>
      <c r="W814" s="4"/>
      <c r="X814" s="4"/>
    </row>
    <row r="815">
      <c r="A815" s="4"/>
      <c r="B815" s="4"/>
      <c r="C815" s="5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4"/>
      <c r="W815" s="4"/>
      <c r="X815" s="4"/>
    </row>
    <row r="816">
      <c r="A816" s="4"/>
      <c r="B816" s="4"/>
      <c r="C816" s="5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4"/>
      <c r="W816" s="4"/>
      <c r="X816" s="4"/>
    </row>
    <row r="817">
      <c r="A817" s="4"/>
      <c r="B817" s="4"/>
      <c r="C817" s="5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4"/>
      <c r="W817" s="4"/>
      <c r="X817" s="4"/>
    </row>
    <row r="818">
      <c r="A818" s="4"/>
      <c r="B818" s="4"/>
      <c r="C818" s="5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4"/>
      <c r="W818" s="4"/>
      <c r="X818" s="4"/>
    </row>
    <row r="819">
      <c r="A819" s="4"/>
      <c r="B819" s="4"/>
      <c r="C819" s="5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4"/>
      <c r="W819" s="4"/>
      <c r="X819" s="4"/>
    </row>
    <row r="820">
      <c r="A820" s="4"/>
      <c r="B820" s="4"/>
      <c r="C820" s="5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4"/>
      <c r="W820" s="4"/>
      <c r="X820" s="4"/>
    </row>
    <row r="821">
      <c r="A821" s="4"/>
      <c r="B821" s="4"/>
      <c r="C821" s="5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4"/>
      <c r="W821" s="4"/>
      <c r="X821" s="4"/>
    </row>
    <row r="822">
      <c r="A822" s="4"/>
      <c r="B822" s="4"/>
      <c r="C822" s="5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4"/>
      <c r="W822" s="4"/>
      <c r="X822" s="4"/>
    </row>
    <row r="823">
      <c r="A823" s="4"/>
      <c r="B823" s="4"/>
      <c r="C823" s="5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4"/>
      <c r="W823" s="4"/>
      <c r="X823" s="4"/>
    </row>
    <row r="824">
      <c r="A824" s="4"/>
      <c r="B824" s="4"/>
      <c r="C824" s="5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4"/>
      <c r="W824" s="4"/>
      <c r="X824" s="4"/>
    </row>
    <row r="825">
      <c r="A825" s="4"/>
      <c r="B825" s="4"/>
      <c r="C825" s="5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4"/>
      <c r="W825" s="4"/>
      <c r="X825" s="4"/>
    </row>
    <row r="826">
      <c r="A826" s="4"/>
      <c r="B826" s="4"/>
      <c r="C826" s="5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4"/>
      <c r="W826" s="4"/>
      <c r="X826" s="4"/>
    </row>
    <row r="827">
      <c r="A827" s="4"/>
      <c r="B827" s="4"/>
      <c r="C827" s="5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4"/>
      <c r="W827" s="4"/>
      <c r="X827" s="4"/>
    </row>
    <row r="828">
      <c r="A828" s="4"/>
      <c r="B828" s="4"/>
      <c r="C828" s="5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4"/>
      <c r="W828" s="4"/>
      <c r="X828" s="4"/>
    </row>
    <row r="829">
      <c r="A829" s="4"/>
      <c r="B829" s="4"/>
      <c r="C829" s="5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4"/>
      <c r="W829" s="4"/>
      <c r="X829" s="4"/>
    </row>
    <row r="830">
      <c r="A830" s="4"/>
      <c r="B830" s="4"/>
      <c r="C830" s="5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4"/>
      <c r="W830" s="4"/>
      <c r="X830" s="4"/>
    </row>
    <row r="831">
      <c r="A831" s="4"/>
      <c r="B831" s="4"/>
      <c r="C831" s="5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4"/>
      <c r="W831" s="4"/>
      <c r="X831" s="4"/>
    </row>
    <row r="832">
      <c r="A832" s="4"/>
      <c r="B832" s="4"/>
      <c r="C832" s="5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4"/>
      <c r="W832" s="4"/>
      <c r="X832" s="4"/>
    </row>
    <row r="833">
      <c r="A833" s="4"/>
      <c r="B833" s="4"/>
      <c r="C833" s="5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4"/>
      <c r="W833" s="4"/>
      <c r="X833" s="4"/>
    </row>
    <row r="834">
      <c r="A834" s="4"/>
      <c r="B834" s="4"/>
      <c r="C834" s="5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4"/>
      <c r="W834" s="4"/>
      <c r="X834" s="4"/>
    </row>
    <row r="835">
      <c r="A835" s="4"/>
      <c r="B835" s="4"/>
      <c r="C835" s="5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4"/>
      <c r="W835" s="4"/>
      <c r="X835" s="4"/>
    </row>
    <row r="836">
      <c r="A836" s="4"/>
      <c r="B836" s="4"/>
      <c r="C836" s="5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4"/>
      <c r="W836" s="4"/>
      <c r="X836" s="4"/>
    </row>
    <row r="837">
      <c r="A837" s="4"/>
      <c r="B837" s="4"/>
      <c r="C837" s="5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4"/>
      <c r="W837" s="4"/>
      <c r="X837" s="4"/>
    </row>
    <row r="838">
      <c r="A838" s="4"/>
      <c r="B838" s="4"/>
      <c r="C838" s="5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4"/>
      <c r="W838" s="4"/>
      <c r="X838" s="4"/>
    </row>
    <row r="839">
      <c r="A839" s="4"/>
      <c r="B839" s="4"/>
      <c r="C839" s="5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4"/>
      <c r="W839" s="4"/>
      <c r="X839" s="4"/>
    </row>
    <row r="840">
      <c r="A840" s="4"/>
      <c r="B840" s="4"/>
      <c r="C840" s="5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4"/>
      <c r="W840" s="4"/>
      <c r="X840" s="4"/>
    </row>
    <row r="841">
      <c r="A841" s="4"/>
      <c r="B841" s="4"/>
      <c r="C841" s="5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4"/>
      <c r="W841" s="4"/>
      <c r="X841" s="4"/>
    </row>
    <row r="842">
      <c r="A842" s="4"/>
      <c r="B842" s="4"/>
      <c r="C842" s="5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4"/>
      <c r="W842" s="4"/>
      <c r="X842" s="4"/>
    </row>
    <row r="843">
      <c r="A843" s="4"/>
      <c r="B843" s="4"/>
      <c r="C843" s="5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4"/>
      <c r="W843" s="4"/>
      <c r="X843" s="4"/>
    </row>
    <row r="844">
      <c r="A844" s="4"/>
      <c r="B844" s="4"/>
      <c r="C844" s="5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4"/>
      <c r="W844" s="4"/>
      <c r="X844" s="4"/>
    </row>
    <row r="845">
      <c r="A845" s="4"/>
      <c r="B845" s="4"/>
      <c r="C845" s="5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4"/>
      <c r="W845" s="4"/>
      <c r="X845" s="4"/>
    </row>
    <row r="846">
      <c r="A846" s="4"/>
      <c r="B846" s="4"/>
      <c r="C846" s="5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4"/>
      <c r="W846" s="4"/>
      <c r="X846" s="4"/>
    </row>
    <row r="847">
      <c r="A847" s="4"/>
      <c r="B847" s="4"/>
      <c r="C847" s="5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4"/>
      <c r="W847" s="4"/>
      <c r="X847" s="4"/>
    </row>
    <row r="848">
      <c r="A848" s="4"/>
      <c r="B848" s="4"/>
      <c r="C848" s="5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4"/>
      <c r="W848" s="4"/>
      <c r="X848" s="4"/>
    </row>
    <row r="849">
      <c r="A849" s="4"/>
      <c r="B849" s="4"/>
      <c r="C849" s="5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4"/>
      <c r="W849" s="4"/>
      <c r="X849" s="4"/>
    </row>
    <row r="850">
      <c r="A850" s="4"/>
      <c r="B850" s="4"/>
      <c r="C850" s="5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4"/>
      <c r="W850" s="4"/>
      <c r="X850" s="4"/>
    </row>
    <row r="851">
      <c r="A851" s="4"/>
      <c r="B851" s="4"/>
      <c r="C851" s="5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4"/>
      <c r="W851" s="4"/>
      <c r="X851" s="4"/>
    </row>
    <row r="852">
      <c r="A852" s="4"/>
      <c r="B852" s="4"/>
      <c r="C852" s="5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4"/>
      <c r="W852" s="4"/>
      <c r="X852" s="4"/>
    </row>
    <row r="853">
      <c r="A853" s="4"/>
      <c r="B853" s="4"/>
      <c r="C853" s="5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4"/>
      <c r="W853" s="4"/>
      <c r="X853" s="4"/>
    </row>
    <row r="854">
      <c r="A854" s="4"/>
      <c r="B854" s="4"/>
      <c r="C854" s="5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4"/>
      <c r="W854" s="4"/>
      <c r="X854" s="4"/>
    </row>
    <row r="855">
      <c r="A855" s="4"/>
      <c r="B855" s="4"/>
      <c r="C855" s="5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4"/>
      <c r="W855" s="4"/>
      <c r="X855" s="4"/>
    </row>
    <row r="856">
      <c r="A856" s="4"/>
      <c r="B856" s="4"/>
      <c r="C856" s="5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4"/>
      <c r="W856" s="4"/>
      <c r="X856" s="4"/>
    </row>
    <row r="857">
      <c r="A857" s="4"/>
      <c r="B857" s="4"/>
      <c r="C857" s="5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4"/>
      <c r="W857" s="4"/>
      <c r="X857" s="4"/>
    </row>
    <row r="858">
      <c r="A858" s="4"/>
      <c r="B858" s="4"/>
      <c r="C858" s="5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4"/>
      <c r="W858" s="4"/>
      <c r="X858" s="4"/>
    </row>
    <row r="859">
      <c r="A859" s="4"/>
      <c r="B859" s="4"/>
      <c r="C859" s="5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4"/>
      <c r="W859" s="4"/>
      <c r="X859" s="4"/>
    </row>
    <row r="860">
      <c r="A860" s="4"/>
      <c r="B860" s="4"/>
      <c r="C860" s="5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4"/>
      <c r="W860" s="4"/>
      <c r="X860" s="4"/>
    </row>
    <row r="861">
      <c r="A861" s="4"/>
      <c r="B861" s="4"/>
      <c r="C861" s="5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4"/>
      <c r="W861" s="4"/>
      <c r="X861" s="4"/>
    </row>
    <row r="862">
      <c r="A862" s="4"/>
      <c r="B862" s="4"/>
      <c r="C862" s="5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4"/>
      <c r="W862" s="4"/>
      <c r="X862" s="4"/>
    </row>
    <row r="863">
      <c r="A863" s="4"/>
      <c r="B863" s="4"/>
      <c r="C863" s="5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4"/>
      <c r="W863" s="4"/>
      <c r="X863" s="4"/>
    </row>
    <row r="864">
      <c r="A864" s="4"/>
      <c r="B864" s="4"/>
      <c r="C864" s="5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4"/>
      <c r="W864" s="4"/>
      <c r="X864" s="4"/>
    </row>
    <row r="865">
      <c r="A865" s="4"/>
      <c r="B865" s="4"/>
      <c r="C865" s="5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4"/>
      <c r="W865" s="4"/>
      <c r="X865" s="4"/>
    </row>
    <row r="866">
      <c r="A866" s="4"/>
      <c r="B866" s="4"/>
      <c r="C866" s="5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4"/>
      <c r="W866" s="4"/>
      <c r="X866" s="4"/>
    </row>
    <row r="867">
      <c r="A867" s="4"/>
      <c r="B867" s="4"/>
      <c r="C867" s="5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4"/>
      <c r="W867" s="4"/>
      <c r="X867" s="4"/>
    </row>
    <row r="868">
      <c r="A868" s="4"/>
      <c r="B868" s="4"/>
      <c r="C868" s="5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4"/>
      <c r="W868" s="4"/>
      <c r="X868" s="4"/>
    </row>
    <row r="869">
      <c r="A869" s="4"/>
      <c r="B869" s="4"/>
      <c r="C869" s="5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4"/>
      <c r="W869" s="4"/>
      <c r="X869" s="4"/>
    </row>
    <row r="870">
      <c r="A870" s="4"/>
      <c r="B870" s="4"/>
      <c r="C870" s="5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4"/>
      <c r="W870" s="4"/>
      <c r="X870" s="4"/>
    </row>
    <row r="871">
      <c r="A871" s="4"/>
      <c r="B871" s="4"/>
      <c r="C871" s="5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4"/>
      <c r="W871" s="4"/>
      <c r="X871" s="4"/>
    </row>
    <row r="872">
      <c r="A872" s="4"/>
      <c r="B872" s="4"/>
      <c r="C872" s="5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4"/>
      <c r="W872" s="4"/>
      <c r="X872" s="4"/>
    </row>
    <row r="873">
      <c r="A873" s="4"/>
      <c r="B873" s="4"/>
      <c r="C873" s="5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4"/>
      <c r="W873" s="4"/>
      <c r="X873" s="4"/>
    </row>
    <row r="874">
      <c r="A874" s="4"/>
      <c r="B874" s="4"/>
      <c r="C874" s="5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4"/>
      <c r="W874" s="4"/>
      <c r="X874" s="4"/>
    </row>
    <row r="875">
      <c r="A875" s="4"/>
      <c r="B875" s="4"/>
      <c r="C875" s="5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4"/>
      <c r="W875" s="4"/>
      <c r="X875" s="4"/>
    </row>
    <row r="876">
      <c r="A876" s="4"/>
      <c r="B876" s="4"/>
      <c r="C876" s="5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4"/>
      <c r="W876" s="4"/>
      <c r="X876" s="4"/>
    </row>
    <row r="877">
      <c r="A877" s="4"/>
      <c r="B877" s="4"/>
      <c r="C877" s="5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4"/>
      <c r="W877" s="4"/>
      <c r="X877" s="4"/>
    </row>
    <row r="878">
      <c r="A878" s="4"/>
      <c r="B878" s="4"/>
      <c r="C878" s="5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4"/>
      <c r="W878" s="4"/>
      <c r="X878" s="4"/>
    </row>
    <row r="879">
      <c r="A879" s="4"/>
      <c r="B879" s="4"/>
      <c r="C879" s="5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4"/>
      <c r="W879" s="4"/>
      <c r="X879" s="4"/>
    </row>
    <row r="880">
      <c r="A880" s="4"/>
      <c r="B880" s="4"/>
      <c r="C880" s="5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4"/>
      <c r="W880" s="4"/>
      <c r="X880" s="4"/>
    </row>
    <row r="881">
      <c r="A881" s="4"/>
      <c r="B881" s="4"/>
      <c r="C881" s="5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4"/>
      <c r="W881" s="4"/>
      <c r="X881" s="4"/>
    </row>
    <row r="882">
      <c r="A882" s="4"/>
      <c r="B882" s="4"/>
      <c r="C882" s="5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4"/>
      <c r="W882" s="4"/>
      <c r="X882" s="4"/>
    </row>
    <row r="883">
      <c r="A883" s="4"/>
      <c r="B883" s="4"/>
      <c r="C883" s="5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4"/>
      <c r="W883" s="4"/>
      <c r="X883" s="4"/>
    </row>
    <row r="884">
      <c r="A884" s="4"/>
      <c r="B884" s="4"/>
      <c r="C884" s="5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4"/>
      <c r="W884" s="4"/>
      <c r="X884" s="4"/>
    </row>
    <row r="885">
      <c r="A885" s="4"/>
      <c r="B885" s="4"/>
      <c r="C885" s="5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4"/>
      <c r="W885" s="4"/>
      <c r="X885" s="4"/>
    </row>
    <row r="886">
      <c r="A886" s="4"/>
      <c r="B886" s="4"/>
      <c r="C886" s="5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4"/>
      <c r="W886" s="4"/>
      <c r="X886" s="4"/>
    </row>
    <row r="887">
      <c r="A887" s="4"/>
      <c r="B887" s="4"/>
      <c r="C887" s="5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4"/>
      <c r="W887" s="4"/>
      <c r="X887" s="4"/>
    </row>
    <row r="888">
      <c r="A888" s="4"/>
      <c r="B888" s="4"/>
      <c r="C888" s="5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4"/>
      <c r="W888" s="4"/>
      <c r="X888" s="4"/>
    </row>
    <row r="889">
      <c r="A889" s="4"/>
      <c r="B889" s="4"/>
      <c r="C889" s="5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4"/>
      <c r="W889" s="4"/>
      <c r="X889" s="4"/>
    </row>
    <row r="890">
      <c r="A890" s="4"/>
      <c r="B890" s="4"/>
      <c r="C890" s="5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4"/>
      <c r="W890" s="4"/>
      <c r="X890" s="4"/>
    </row>
    <row r="891">
      <c r="A891" s="4"/>
      <c r="B891" s="4"/>
      <c r="C891" s="5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4"/>
      <c r="W891" s="4"/>
      <c r="X891" s="4"/>
    </row>
    <row r="892">
      <c r="A892" s="4"/>
      <c r="B892" s="4"/>
      <c r="C892" s="5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4"/>
      <c r="W892" s="4"/>
      <c r="X892" s="4"/>
    </row>
    <row r="893">
      <c r="A893" s="4"/>
      <c r="B893" s="4"/>
      <c r="C893" s="5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4"/>
      <c r="W893" s="4"/>
      <c r="X893" s="4"/>
    </row>
    <row r="894">
      <c r="A894" s="4"/>
      <c r="B894" s="4"/>
      <c r="C894" s="5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4"/>
      <c r="W894" s="4"/>
      <c r="X894" s="4"/>
    </row>
    <row r="895">
      <c r="A895" s="4"/>
      <c r="B895" s="4"/>
      <c r="C895" s="5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4"/>
      <c r="W895" s="4"/>
      <c r="X895" s="4"/>
    </row>
    <row r="896">
      <c r="A896" s="4"/>
      <c r="B896" s="4"/>
      <c r="C896" s="5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4"/>
      <c r="W896" s="4"/>
      <c r="X896" s="4"/>
    </row>
    <row r="897">
      <c r="A897" s="4"/>
      <c r="B897" s="4"/>
      <c r="C897" s="5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4"/>
      <c r="W897" s="4"/>
      <c r="X897" s="4"/>
    </row>
    <row r="898">
      <c r="A898" s="4"/>
      <c r="B898" s="4"/>
      <c r="C898" s="5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4"/>
      <c r="W898" s="4"/>
      <c r="X898" s="4"/>
    </row>
    <row r="899">
      <c r="A899" s="4"/>
      <c r="B899" s="4"/>
      <c r="C899" s="5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4"/>
      <c r="W899" s="4"/>
      <c r="X899" s="4"/>
    </row>
    <row r="900">
      <c r="A900" s="4"/>
      <c r="B900" s="4"/>
      <c r="C900" s="5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4"/>
      <c r="W900" s="4"/>
      <c r="X900" s="4"/>
    </row>
    <row r="901">
      <c r="A901" s="4"/>
      <c r="B901" s="4"/>
      <c r="C901" s="5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4"/>
      <c r="W901" s="4"/>
      <c r="X901" s="4"/>
    </row>
    <row r="902">
      <c r="A902" s="4"/>
      <c r="B902" s="4"/>
      <c r="C902" s="5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4"/>
      <c r="W902" s="4"/>
      <c r="X902" s="4"/>
    </row>
    <row r="903">
      <c r="A903" s="4"/>
      <c r="B903" s="4"/>
      <c r="C903" s="5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4"/>
      <c r="W903" s="4"/>
      <c r="X903" s="4"/>
    </row>
    <row r="904">
      <c r="A904" s="4"/>
      <c r="B904" s="4"/>
      <c r="C904" s="5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4"/>
      <c r="W904" s="4"/>
      <c r="X904" s="4"/>
    </row>
    <row r="905">
      <c r="A905" s="4"/>
      <c r="B905" s="4"/>
      <c r="C905" s="5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4"/>
      <c r="W905" s="4"/>
      <c r="X905" s="4"/>
    </row>
    <row r="906">
      <c r="A906" s="4"/>
      <c r="B906" s="4"/>
      <c r="C906" s="5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4"/>
      <c r="W906" s="4"/>
      <c r="X906" s="4"/>
    </row>
    <row r="907">
      <c r="A907" s="4"/>
      <c r="B907" s="4"/>
      <c r="C907" s="5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4"/>
      <c r="W907" s="4"/>
      <c r="X907" s="4"/>
    </row>
    <row r="908">
      <c r="A908" s="4"/>
      <c r="B908" s="4"/>
      <c r="C908" s="5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4"/>
      <c r="W908" s="4"/>
      <c r="X908" s="4"/>
    </row>
    <row r="909">
      <c r="A909" s="4"/>
      <c r="B909" s="4"/>
      <c r="C909" s="5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4"/>
      <c r="W909" s="4"/>
      <c r="X909" s="4"/>
    </row>
    <row r="910">
      <c r="A910" s="4"/>
      <c r="B910" s="4"/>
      <c r="C910" s="5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4"/>
      <c r="W910" s="4"/>
      <c r="X910" s="4"/>
    </row>
    <row r="911">
      <c r="A911" s="4"/>
      <c r="B911" s="4"/>
      <c r="C911" s="5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4"/>
      <c r="W911" s="4"/>
      <c r="X911" s="4"/>
    </row>
    <row r="912">
      <c r="A912" s="4"/>
      <c r="B912" s="4"/>
      <c r="C912" s="5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4"/>
      <c r="W912" s="4"/>
      <c r="X912" s="4"/>
    </row>
    <row r="913">
      <c r="A913" s="4"/>
      <c r="B913" s="4"/>
      <c r="C913" s="5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4"/>
      <c r="W913" s="4"/>
      <c r="X913" s="4"/>
    </row>
    <row r="914">
      <c r="A914" s="4"/>
      <c r="B914" s="4"/>
      <c r="C914" s="5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4"/>
      <c r="W914" s="4"/>
      <c r="X914" s="4"/>
    </row>
    <row r="915">
      <c r="A915" s="4"/>
      <c r="B915" s="4"/>
      <c r="C915" s="5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4"/>
      <c r="W915" s="4"/>
      <c r="X915" s="4"/>
    </row>
    <row r="916">
      <c r="A916" s="4"/>
      <c r="B916" s="4"/>
      <c r="C916" s="5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4"/>
      <c r="W916" s="4"/>
      <c r="X916" s="4"/>
    </row>
    <row r="917">
      <c r="A917" s="4"/>
      <c r="B917" s="4"/>
      <c r="C917" s="5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4"/>
      <c r="W917" s="4"/>
      <c r="X917" s="4"/>
    </row>
    <row r="918">
      <c r="A918" s="4"/>
      <c r="B918" s="4"/>
      <c r="C918" s="5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4"/>
      <c r="W918" s="4"/>
      <c r="X918" s="4"/>
    </row>
    <row r="919">
      <c r="A919" s="4"/>
      <c r="B919" s="4"/>
      <c r="C919" s="5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4"/>
      <c r="W919" s="4"/>
      <c r="X919" s="4"/>
    </row>
    <row r="920">
      <c r="A920" s="4"/>
      <c r="B920" s="4"/>
      <c r="C920" s="5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4"/>
      <c r="W920" s="4"/>
      <c r="X920" s="4"/>
    </row>
    <row r="921">
      <c r="A921" s="4"/>
      <c r="B921" s="4"/>
      <c r="C921" s="5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4"/>
      <c r="W921" s="4"/>
      <c r="X921" s="4"/>
    </row>
    <row r="922">
      <c r="A922" s="4"/>
      <c r="B922" s="4"/>
      <c r="C922" s="5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4"/>
      <c r="W922" s="4"/>
      <c r="X922" s="4"/>
    </row>
    <row r="923">
      <c r="A923" s="4"/>
      <c r="B923" s="4"/>
      <c r="C923" s="5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4"/>
      <c r="W923" s="4"/>
      <c r="X923" s="4"/>
    </row>
    <row r="924">
      <c r="A924" s="4"/>
      <c r="B924" s="4"/>
      <c r="C924" s="5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4"/>
      <c r="W924" s="4"/>
      <c r="X924" s="4"/>
    </row>
    <row r="925">
      <c r="A925" s="4"/>
      <c r="B925" s="4"/>
      <c r="C925" s="5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4"/>
      <c r="W925" s="4"/>
      <c r="X925" s="4"/>
    </row>
    <row r="926">
      <c r="A926" s="4"/>
      <c r="B926" s="4"/>
      <c r="C926" s="5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4"/>
      <c r="W926" s="4"/>
      <c r="X926" s="4"/>
    </row>
    <row r="927">
      <c r="A927" s="4"/>
      <c r="B927" s="4"/>
      <c r="C927" s="5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4"/>
      <c r="W927" s="4"/>
      <c r="X927" s="4"/>
    </row>
    <row r="928">
      <c r="A928" s="4"/>
      <c r="B928" s="4"/>
      <c r="C928" s="5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4"/>
      <c r="W928" s="4"/>
      <c r="X928" s="4"/>
    </row>
    <row r="929">
      <c r="A929" s="4"/>
      <c r="B929" s="4"/>
      <c r="C929" s="5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4"/>
      <c r="W929" s="4"/>
      <c r="X929" s="4"/>
    </row>
    <row r="930">
      <c r="A930" s="4"/>
      <c r="B930" s="4"/>
      <c r="C930" s="5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4"/>
      <c r="W930" s="4"/>
      <c r="X930" s="4"/>
    </row>
    <row r="931">
      <c r="A931" s="4"/>
      <c r="B931" s="4"/>
      <c r="C931" s="5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4"/>
      <c r="W931" s="4"/>
      <c r="X931" s="4"/>
    </row>
    <row r="932">
      <c r="A932" s="4"/>
      <c r="B932" s="4"/>
      <c r="C932" s="5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4"/>
      <c r="W932" s="4"/>
      <c r="X932" s="4"/>
    </row>
    <row r="933">
      <c r="A933" s="4"/>
      <c r="B933" s="4"/>
      <c r="C933" s="5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4"/>
      <c r="W933" s="4"/>
      <c r="X933" s="4"/>
    </row>
    <row r="934">
      <c r="A934" s="4"/>
      <c r="B934" s="4"/>
      <c r="C934" s="5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4"/>
      <c r="W934" s="4"/>
      <c r="X934" s="4"/>
    </row>
    <row r="935">
      <c r="A935" s="4"/>
      <c r="B935" s="4"/>
      <c r="C935" s="5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4"/>
      <c r="W935" s="4"/>
      <c r="X935" s="4"/>
    </row>
    <row r="936">
      <c r="A936" s="4"/>
      <c r="B936" s="4"/>
      <c r="C936" s="5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4"/>
      <c r="W936" s="4"/>
      <c r="X936" s="4"/>
    </row>
    <row r="937">
      <c r="A937" s="4"/>
      <c r="B937" s="4"/>
      <c r="C937" s="5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4"/>
      <c r="W937" s="4"/>
      <c r="X937" s="4"/>
    </row>
    <row r="938">
      <c r="A938" s="4"/>
      <c r="B938" s="4"/>
      <c r="C938" s="5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4"/>
      <c r="W938" s="4"/>
      <c r="X938" s="4"/>
    </row>
    <row r="939">
      <c r="A939" s="4"/>
      <c r="B939" s="4"/>
      <c r="C939" s="5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4"/>
      <c r="W939" s="4"/>
      <c r="X939" s="4"/>
    </row>
    <row r="940">
      <c r="A940" s="4"/>
      <c r="B940" s="4"/>
      <c r="C940" s="5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4"/>
      <c r="W940" s="4"/>
      <c r="X940" s="4"/>
    </row>
    <row r="941">
      <c r="A941" s="4"/>
      <c r="B941" s="4"/>
      <c r="C941" s="5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4"/>
      <c r="W941" s="4"/>
      <c r="X941" s="4"/>
    </row>
    <row r="942">
      <c r="A942" s="4"/>
      <c r="B942" s="4"/>
      <c r="C942" s="5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4"/>
      <c r="W942" s="4"/>
      <c r="X942" s="4"/>
    </row>
    <row r="943">
      <c r="A943" s="4"/>
      <c r="B943" s="4"/>
      <c r="C943" s="5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4"/>
      <c r="W943" s="4"/>
      <c r="X943" s="4"/>
    </row>
    <row r="944">
      <c r="A944" s="4"/>
      <c r="B944" s="4"/>
      <c r="C944" s="5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4"/>
      <c r="W944" s="4"/>
      <c r="X944" s="4"/>
    </row>
    <row r="945">
      <c r="A945" s="4"/>
      <c r="B945" s="4"/>
      <c r="C945" s="5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4"/>
      <c r="W945" s="4"/>
      <c r="X945" s="4"/>
    </row>
    <row r="946">
      <c r="A946" s="4"/>
      <c r="B946" s="4"/>
      <c r="C946" s="5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4"/>
      <c r="W946" s="4"/>
      <c r="X946" s="4"/>
    </row>
    <row r="947">
      <c r="A947" s="4"/>
      <c r="B947" s="4"/>
      <c r="C947" s="5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4"/>
      <c r="W947" s="4"/>
      <c r="X947" s="4"/>
    </row>
    <row r="948">
      <c r="A948" s="4"/>
      <c r="B948" s="4"/>
      <c r="C948" s="5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4"/>
      <c r="W948" s="4"/>
      <c r="X948" s="4"/>
    </row>
    <row r="949">
      <c r="A949" s="4"/>
      <c r="B949" s="4"/>
      <c r="C949" s="5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4"/>
      <c r="W949" s="4"/>
      <c r="X949" s="4"/>
    </row>
    <row r="950">
      <c r="A950" s="4"/>
      <c r="B950" s="4"/>
      <c r="C950" s="5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4"/>
      <c r="W950" s="4"/>
      <c r="X950" s="4"/>
    </row>
    <row r="951">
      <c r="A951" s="4"/>
      <c r="B951" s="4"/>
      <c r="C951" s="5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4"/>
      <c r="W951" s="4"/>
      <c r="X951" s="4"/>
    </row>
    <row r="952">
      <c r="A952" s="4"/>
      <c r="B952" s="4"/>
      <c r="C952" s="5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4"/>
      <c r="W952" s="4"/>
      <c r="X952" s="4"/>
    </row>
    <row r="953">
      <c r="A953" s="4"/>
      <c r="B953" s="4"/>
      <c r="C953" s="5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4"/>
      <c r="W953" s="4"/>
      <c r="X953" s="4"/>
    </row>
    <row r="954">
      <c r="A954" s="4"/>
      <c r="B954" s="4"/>
      <c r="C954" s="5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4"/>
      <c r="W954" s="4"/>
      <c r="X954" s="4"/>
    </row>
    <row r="955">
      <c r="A955" s="4"/>
      <c r="B955" s="4"/>
      <c r="C955" s="5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4"/>
      <c r="W955" s="4"/>
      <c r="X955" s="4"/>
    </row>
    <row r="956">
      <c r="A956" s="4"/>
      <c r="B956" s="4"/>
      <c r="C956" s="5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4"/>
      <c r="W956" s="4"/>
      <c r="X956" s="4"/>
    </row>
    <row r="957">
      <c r="A957" s="4"/>
      <c r="B957" s="4"/>
      <c r="C957" s="5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4"/>
      <c r="W957" s="4"/>
      <c r="X957" s="4"/>
    </row>
    <row r="958">
      <c r="A958" s="4"/>
      <c r="B958" s="4"/>
      <c r="C958" s="5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4"/>
      <c r="W958" s="4"/>
      <c r="X958" s="4"/>
    </row>
    <row r="959">
      <c r="A959" s="4"/>
      <c r="B959" s="4"/>
      <c r="C959" s="5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4"/>
      <c r="W959" s="4"/>
      <c r="X959" s="4"/>
    </row>
    <row r="960">
      <c r="A960" s="4"/>
      <c r="B960" s="4"/>
      <c r="C960" s="5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4"/>
      <c r="W960" s="4"/>
      <c r="X960" s="4"/>
    </row>
    <row r="961">
      <c r="A961" s="4"/>
      <c r="B961" s="4"/>
      <c r="C961" s="5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4"/>
      <c r="W961" s="4"/>
      <c r="X961" s="4"/>
    </row>
    <row r="962">
      <c r="A962" s="4"/>
      <c r="B962" s="4"/>
      <c r="C962" s="5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4"/>
      <c r="W962" s="4"/>
      <c r="X962" s="4"/>
    </row>
    <row r="963">
      <c r="A963" s="4"/>
      <c r="B963" s="4"/>
      <c r="C963" s="5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4"/>
      <c r="W963" s="4"/>
      <c r="X963" s="4"/>
    </row>
    <row r="964">
      <c r="A964" s="4"/>
      <c r="B964" s="4"/>
      <c r="C964" s="5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4"/>
      <c r="W964" s="4"/>
      <c r="X964" s="4"/>
    </row>
    <row r="965">
      <c r="A965" s="4"/>
      <c r="B965" s="4"/>
      <c r="C965" s="5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4"/>
      <c r="W965" s="4"/>
      <c r="X965" s="4"/>
    </row>
    <row r="966">
      <c r="A966" s="4"/>
      <c r="B966" s="4"/>
      <c r="C966" s="5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4"/>
      <c r="W966" s="4"/>
      <c r="X966" s="4"/>
    </row>
    <row r="967">
      <c r="A967" s="4"/>
      <c r="B967" s="4"/>
      <c r="C967" s="5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4"/>
      <c r="W967" s="4"/>
      <c r="X967" s="4"/>
    </row>
    <row r="968">
      <c r="A968" s="4"/>
      <c r="B968" s="4"/>
      <c r="C968" s="5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4"/>
      <c r="W968" s="4"/>
      <c r="X968" s="4"/>
    </row>
    <row r="969">
      <c r="A969" s="4"/>
      <c r="B969" s="4"/>
      <c r="C969" s="5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4"/>
      <c r="W969" s="4"/>
      <c r="X969" s="4"/>
    </row>
    <row r="970">
      <c r="A970" s="4"/>
      <c r="B970" s="4"/>
      <c r="C970" s="5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4"/>
      <c r="W970" s="4"/>
      <c r="X970" s="4"/>
    </row>
    <row r="971">
      <c r="A971" s="4"/>
      <c r="B971" s="4"/>
      <c r="C971" s="5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4"/>
      <c r="W971" s="4"/>
      <c r="X971" s="4"/>
    </row>
    <row r="972">
      <c r="A972" s="4"/>
      <c r="B972" s="4"/>
      <c r="C972" s="5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4"/>
      <c r="W972" s="4"/>
      <c r="X972" s="4"/>
    </row>
    <row r="973">
      <c r="A973" s="4"/>
      <c r="B973" s="4"/>
      <c r="C973" s="5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4"/>
      <c r="W973" s="4"/>
      <c r="X973" s="4"/>
    </row>
    <row r="974">
      <c r="A974" s="4"/>
      <c r="B974" s="4"/>
      <c r="C974" s="5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4"/>
      <c r="W974" s="4"/>
      <c r="X974" s="4"/>
    </row>
    <row r="975">
      <c r="A975" s="4"/>
      <c r="B975" s="4"/>
      <c r="C975" s="5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4"/>
      <c r="W975" s="4"/>
      <c r="X975" s="4"/>
    </row>
    <row r="976">
      <c r="A976" s="4"/>
      <c r="B976" s="4"/>
      <c r="C976" s="5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4"/>
      <c r="W976" s="4"/>
      <c r="X976" s="4"/>
    </row>
    <row r="977">
      <c r="A977" s="4"/>
      <c r="B977" s="4"/>
      <c r="C977" s="5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4"/>
      <c r="W977" s="4"/>
      <c r="X977" s="4"/>
    </row>
    <row r="978">
      <c r="A978" s="4"/>
      <c r="B978" s="4"/>
      <c r="C978" s="5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4"/>
      <c r="W978" s="4"/>
      <c r="X978" s="4"/>
    </row>
    <row r="979">
      <c r="A979" s="4"/>
      <c r="B979" s="4"/>
      <c r="C979" s="5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4"/>
      <c r="W979" s="4"/>
      <c r="X979" s="4"/>
    </row>
    <row r="980">
      <c r="A980" s="4"/>
      <c r="B980" s="4"/>
      <c r="C980" s="5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4"/>
      <c r="W980" s="4"/>
      <c r="X980" s="4"/>
    </row>
    <row r="981">
      <c r="A981" s="4"/>
      <c r="B981" s="4"/>
      <c r="C981" s="5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4"/>
      <c r="W981" s="4"/>
      <c r="X981" s="4"/>
    </row>
    <row r="982">
      <c r="A982" s="4"/>
      <c r="B982" s="4"/>
      <c r="C982" s="5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4"/>
      <c r="W982" s="4"/>
      <c r="X982" s="4"/>
    </row>
    <row r="983">
      <c r="A983" s="4"/>
      <c r="B983" s="4"/>
      <c r="C983" s="5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4"/>
      <c r="W983" s="4"/>
      <c r="X983" s="4"/>
    </row>
    <row r="984">
      <c r="A984" s="4"/>
      <c r="B984" s="4"/>
      <c r="C984" s="5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4"/>
      <c r="W984" s="4"/>
      <c r="X984" s="4"/>
    </row>
    <row r="985">
      <c r="A985" s="4"/>
      <c r="B985" s="4"/>
      <c r="C985" s="5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4"/>
      <c r="W985" s="4"/>
      <c r="X985" s="4"/>
    </row>
    <row r="986">
      <c r="A986" s="4"/>
      <c r="B986" s="4"/>
      <c r="C986" s="5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4"/>
      <c r="W986" s="4"/>
      <c r="X986" s="4"/>
    </row>
    <row r="987">
      <c r="A987" s="4"/>
      <c r="B987" s="4"/>
      <c r="C987" s="5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4"/>
      <c r="W987" s="4"/>
      <c r="X987" s="4"/>
    </row>
    <row r="988">
      <c r="A988" s="4"/>
      <c r="B988" s="4"/>
      <c r="C988" s="5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4"/>
      <c r="W988" s="4"/>
      <c r="X988" s="4"/>
    </row>
    <row r="989">
      <c r="A989" s="4"/>
      <c r="B989" s="4"/>
      <c r="C989" s="5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4"/>
      <c r="W989" s="4"/>
      <c r="X989" s="4"/>
    </row>
    <row r="990">
      <c r="A990" s="4"/>
      <c r="B990" s="4"/>
      <c r="C990" s="5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4"/>
      <c r="W990" s="4"/>
      <c r="X990" s="4"/>
    </row>
    <row r="991">
      <c r="A991" s="4"/>
      <c r="B991" s="4"/>
      <c r="C991" s="5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4"/>
      <c r="W991" s="4"/>
      <c r="X991" s="4"/>
    </row>
    <row r="992">
      <c r="A992" s="4"/>
      <c r="B992" s="4"/>
      <c r="C992" s="5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4"/>
      <c r="W992" s="4"/>
      <c r="X992" s="4"/>
    </row>
    <row r="993">
      <c r="A993" s="4"/>
      <c r="B993" s="4"/>
      <c r="C993" s="5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4"/>
      <c r="W993" s="4"/>
      <c r="X993" s="4"/>
    </row>
    <row r="994">
      <c r="A994" s="4"/>
      <c r="B994" s="4"/>
      <c r="C994" s="5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4"/>
      <c r="W994" s="4"/>
      <c r="X994" s="4"/>
    </row>
    <row r="995">
      <c r="A995" s="4"/>
      <c r="B995" s="4"/>
      <c r="C995" s="5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4"/>
      <c r="W995" s="4"/>
      <c r="X995" s="4"/>
    </row>
    <row r="996">
      <c r="A996" s="4"/>
      <c r="B996" s="4"/>
      <c r="C996" s="5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4"/>
      <c r="W996" s="4"/>
      <c r="X996" s="4"/>
    </row>
    <row r="997">
      <c r="A997" s="4"/>
      <c r="B997" s="4"/>
      <c r="C997" s="5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4"/>
      <c r="W997" s="4"/>
      <c r="X997" s="4"/>
    </row>
    <row r="998">
      <c r="A998" s="4"/>
      <c r="B998" s="4"/>
      <c r="C998" s="5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4"/>
      <c r="W998" s="4"/>
      <c r="X998" s="4"/>
    </row>
    <row r="999">
      <c r="A999" s="4"/>
      <c r="B999" s="4"/>
      <c r="C999" s="5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4"/>
      <c r="W999" s="4"/>
      <c r="X999" s="4"/>
    </row>
    <row r="1000">
      <c r="A1000" s="4"/>
      <c r="B1000" s="4"/>
      <c r="C1000" s="5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4"/>
      <c r="W1000" s="4"/>
      <c r="X1000" s="4"/>
    </row>
  </sheetData>
  <conditionalFormatting sqref="A1:X1">
    <cfRule type="containsText" dxfId="0" priority="1" operator="containsText" text="Инженерный">
      <formula>NOT(ISERROR(SEARCH(("Инженерный"),(A1))))</formula>
    </cfRule>
  </conditionalFormatting>
  <conditionalFormatting sqref="A1:X1">
    <cfRule type="containsText" dxfId="1" priority="2" operator="containsText" text="Медицинский">
      <formula>NOT(ISERROR(SEARCH(("Медицинский"),(A1))))</formula>
    </cfRule>
  </conditionalFormatting>
  <conditionalFormatting sqref="A1:X1">
    <cfRule type="containsText" dxfId="2" priority="3" operator="containsText" text="ИТ">
      <formula>NOT(ISERROR(SEARCH(("ИТ"),(A1))))</formula>
    </cfRule>
  </conditionalFormatting>
  <conditionalFormatting sqref="A1:X1">
    <cfRule type="containsText" dxfId="3" priority="4" operator="containsText" text="Медиа">
      <formula>NOT(ISERROR(SEARCH(("Медиа"),(A1))))</formula>
    </cfRule>
  </conditionalFormatting>
  <conditionalFormatting sqref="A1:X1">
    <cfRule type="containsText" dxfId="4" priority="5" operator="containsText" text="Предпринимательский">
      <formula>NOT(ISERROR(SEARCH(("Предпринимательский"),(A1))))</formula>
    </cfRule>
  </conditionalFormatting>
  <conditionalFormatting sqref="A1:X1">
    <cfRule type="containsText" dxfId="5" priority="6" operator="containsText" text="Педагогический">
      <formula>NOT(ISERROR(SEARCH(("Педагогический"),(A1))))</formula>
    </cfRule>
  </conditionalFormatting>
  <conditionalFormatting sqref="C2:C399">
    <cfRule type="containsText" dxfId="6" priority="7" operator="containsText" text="Вне">
      <formula>NOT(ISERROR(SEARCH(("Вне"),(C2))))</formula>
    </cfRule>
  </conditionalFormatting>
  <conditionalFormatting sqref="D1:U1000">
    <cfRule type="cellIs" dxfId="7" priority="8" operator="equal">
      <formula>1</formula>
    </cfRule>
  </conditionalFormatting>
  <conditionalFormatting sqref="D1:U1000">
    <cfRule type="cellIs" dxfId="8" priority="9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9.13"/>
    <col customWidth="1" min="5" max="5" width="14.38"/>
    <col customWidth="1" min="6" max="6" width="17.0"/>
    <col customWidth="1" min="8" max="8" width="26.25"/>
    <col customWidth="1" min="10" max="10" width="20.5"/>
    <col customWidth="1" min="12" max="12" width="28.25"/>
    <col customWidth="1" min="13" max="13" width="25.0"/>
    <col customWidth="1" min="19" max="19" width="46.13"/>
    <col customWidth="1" min="22" max="22" width="28.0"/>
    <col customWidth="1" min="23" max="23" width="25.75"/>
  </cols>
  <sheetData>
    <row r="1">
      <c r="A1" s="8"/>
      <c r="B1" s="9"/>
      <c r="C1" s="10"/>
      <c r="D1" s="11" t="s">
        <v>24</v>
      </c>
      <c r="K1" s="10"/>
      <c r="L1" s="12" t="s">
        <v>25</v>
      </c>
      <c r="N1" s="10"/>
      <c r="O1" s="10"/>
      <c r="P1" s="10"/>
      <c r="Q1" s="10"/>
      <c r="R1" s="10"/>
      <c r="S1" s="12" t="s">
        <v>26</v>
      </c>
      <c r="T1" s="10"/>
      <c r="U1" s="10"/>
      <c r="V1" s="10"/>
      <c r="W1" s="8"/>
      <c r="X1" s="10"/>
      <c r="Y1" s="10"/>
      <c r="Z1" s="10"/>
    </row>
    <row r="2">
      <c r="C2" s="10"/>
      <c r="D2" s="15" t="s">
        <v>28</v>
      </c>
      <c r="E2" s="16" t="s">
        <v>29</v>
      </c>
      <c r="F2" s="16" t="s">
        <v>30</v>
      </c>
      <c r="G2" s="16" t="s">
        <v>31</v>
      </c>
      <c r="H2" s="16" t="s">
        <v>32</v>
      </c>
      <c r="I2" s="16" t="s">
        <v>33</v>
      </c>
      <c r="J2" s="17" t="s">
        <v>34</v>
      </c>
      <c r="K2" s="10"/>
      <c r="L2" s="18" t="s">
        <v>27</v>
      </c>
      <c r="M2" s="19" t="s">
        <v>35</v>
      </c>
      <c r="N2" s="20"/>
      <c r="O2" s="20"/>
      <c r="P2" s="20"/>
      <c r="Q2" s="20"/>
      <c r="R2" s="10"/>
      <c r="S2" s="21"/>
      <c r="W2" s="8"/>
      <c r="X2" s="8"/>
      <c r="Y2" s="8"/>
      <c r="Z2" s="8"/>
    </row>
    <row r="3">
      <c r="C3" s="10"/>
      <c r="D3" s="24">
        <v>2023.0</v>
      </c>
      <c r="E3" s="7">
        <f t="shared" ref="E3:E5" si="1">B3</f>
        <v>225</v>
      </c>
      <c r="F3" s="7">
        <f t="shared" ref="F3:F5" si="2">B6</f>
        <v>135</v>
      </c>
      <c r="G3" s="7">
        <f t="shared" ref="G3:G5" si="3">B9</f>
        <v>151</v>
      </c>
      <c r="H3" s="7">
        <f t="shared" ref="H3:H5" si="4">B12</f>
        <v>210</v>
      </c>
      <c r="I3" s="7">
        <f t="shared" ref="I3:I5" si="5">B15</f>
        <v>183</v>
      </c>
      <c r="J3" s="25">
        <f t="shared" ref="J3:J5" si="6">B18</f>
        <v>5</v>
      </c>
      <c r="K3" s="10"/>
      <c r="L3" s="26" t="s">
        <v>31</v>
      </c>
      <c r="M3" s="26">
        <f>((G5/G3)-1)*100</f>
        <v>16.55629139</v>
      </c>
      <c r="N3" s="20"/>
      <c r="O3" s="20"/>
      <c r="P3" s="20"/>
      <c r="Q3" s="20"/>
      <c r="R3" s="10"/>
      <c r="S3" s="27" t="str">
        <f>IFERROR(__xludf.DUMMYFUNCTION("VSTACK(
  {""Топ-10 лучших школ по соотношению места в рейтинге и количества профилей на 2024-2025 учебный год"" , """" , """" , """"},
  {""Школа"" , ""Рейтинг"" , ""Профили"" , ""Индекс""},
  QUERY(ARRAYFORMULA({'Главная таблица'!A2:A1001 , 'Главная таб"&amp;"лица'!C2:C1001 , 'Главная таблица'!W2:W1001 , IFERROR('Главная таблица'!W2:W1001 / IFERROR(VALUE('Главная таблица'!C2:C1001), 500), 0)}), ""SELECT Col1, Col2, Col3, Col4 WHERE Col1 IS NOT NULL ORDER BY Col4 DESC LIMIT 10"", 0),
  {"" "" , "" "" , "" "" , "&amp;""" ""},
  {""Анти-топ 10"" , """" , """" , """"},
  QUERY(ARRAYFORMULA({'Главная таблица'!A2:A1001 , 'Главная таблица'!C2:C1001 , 'Главная таблица'!W2:W1001 , IFERROR('Главная таблица'!W2:W1001 / IFERROR(VALUE('Главная таблица'!C2:C1001), 500), 0)}), ""SE"&amp;"LECT Col1, Col2, Col3, Col4 WHERE Col1 IS NOT NULL AND Col3 &gt; 0 ORDER BY Col4 ASC LIMIT 10"", 0),
  {"" "" , "" "" , "" "" , "" ""},
  {""ОБЩАЯ КОРРЕЛЯЦИЯ (связь рейтинга и профилей)"" , ROUND(CORREL(ARRAYFORMULA(IFERROR(VALUE('Главная таблица'!C2:C1001),"&amp;" 500)), 'Главная таблица'!W2:W1001), 3) , """" , """"}
)
"),"Топ-10 лучших школ по соотношению места в рейтинге и количества профилей на 2024-2025 учебный год")</f>
        <v>Топ-10 лучших школ по соотношению места в рейтинге и количества профилей на 2024-2025 учебный год</v>
      </c>
      <c r="W3" s="21"/>
      <c r="X3" s="10"/>
      <c r="Y3" s="10"/>
      <c r="Z3" s="10"/>
    </row>
    <row r="4">
      <c r="C4" s="10"/>
      <c r="D4" s="24">
        <v>2024.0</v>
      </c>
      <c r="E4" s="7">
        <f t="shared" si="1"/>
        <v>147</v>
      </c>
      <c r="F4" s="7">
        <f t="shared" si="2"/>
        <v>68</v>
      </c>
      <c r="G4" s="7">
        <f t="shared" si="3"/>
        <v>119</v>
      </c>
      <c r="H4" s="7">
        <f t="shared" si="4"/>
        <v>137</v>
      </c>
      <c r="I4" s="7">
        <f t="shared" si="5"/>
        <v>156</v>
      </c>
      <c r="J4" s="25">
        <f t="shared" si="6"/>
        <v>7</v>
      </c>
      <c r="K4" s="10"/>
      <c r="L4" s="26" t="s">
        <v>32</v>
      </c>
      <c r="M4" s="26">
        <f>((H5/H3)-1)*100</f>
        <v>5.714285714</v>
      </c>
      <c r="N4" s="20"/>
      <c r="O4" s="20"/>
      <c r="P4" s="20"/>
      <c r="Q4" s="20"/>
      <c r="R4" s="10"/>
      <c r="S4" s="28" t="str">
        <f>IFERROR(__xludf.DUMMYFUNCTION("""COMPUTED_VALUE"""),"Школа")</f>
        <v>Школа</v>
      </c>
      <c r="T4" s="27" t="str">
        <f>IFERROR(__xludf.DUMMYFUNCTION("""COMPUTED_VALUE"""),"Рейтинг")</f>
        <v>Рейтинг</v>
      </c>
      <c r="U4" s="27" t="str">
        <f>IFERROR(__xludf.DUMMYFUNCTION("""COMPUTED_VALUE"""),"Профили")</f>
        <v>Профили</v>
      </c>
      <c r="V4" s="27" t="str">
        <f>IFERROR(__xludf.DUMMYFUNCTION("""COMPUTED_VALUE"""),"Индекс")</f>
        <v>Индекс</v>
      </c>
      <c r="W4" s="10"/>
      <c r="X4" s="10"/>
      <c r="Y4" s="10"/>
      <c r="Z4" s="10"/>
    </row>
    <row r="5">
      <c r="C5" s="10"/>
      <c r="D5" s="29">
        <v>2025.0</v>
      </c>
      <c r="E5" s="30">
        <f t="shared" si="1"/>
        <v>207</v>
      </c>
      <c r="F5" s="30">
        <f t="shared" si="2"/>
        <v>124</v>
      </c>
      <c r="G5" s="30">
        <f t="shared" si="3"/>
        <v>176</v>
      </c>
      <c r="H5" s="30">
        <f t="shared" si="4"/>
        <v>222</v>
      </c>
      <c r="I5" s="30">
        <f t="shared" si="5"/>
        <v>145</v>
      </c>
      <c r="J5" s="31">
        <f t="shared" si="6"/>
        <v>5</v>
      </c>
      <c r="K5" s="10"/>
      <c r="L5" s="26" t="s">
        <v>34</v>
      </c>
      <c r="M5" s="26">
        <f>((J5/J3)-1)*100</f>
        <v>0</v>
      </c>
      <c r="N5" s="20"/>
      <c r="O5" s="20"/>
      <c r="P5" s="20"/>
      <c r="Q5" s="20"/>
      <c r="R5" s="10"/>
      <c r="S5" s="10" t="str">
        <f>IFERROR(__xludf.DUMMYFUNCTION("""COMPUTED_VALUE"""),"Школа 1502")</f>
        <v>Школа 1502</v>
      </c>
      <c r="T5" s="10" t="str">
        <f>IFERROR(__xludf.DUMMYFUNCTION("""COMPUTED_VALUE"""),"1")</f>
        <v>1</v>
      </c>
      <c r="U5" s="10">
        <f>IFERROR(__xludf.DUMMYFUNCTION("""COMPUTED_VALUE"""),4.0)</f>
        <v>4</v>
      </c>
      <c r="V5" s="10">
        <f>IFERROR(__xludf.DUMMYFUNCTION("""COMPUTED_VALUE"""),4.0)</f>
        <v>4</v>
      </c>
      <c r="W5" s="10"/>
      <c r="X5" s="10"/>
      <c r="Y5" s="10"/>
      <c r="Z5" s="10"/>
    </row>
    <row r="6">
      <c r="C6" s="10"/>
      <c r="D6" s="32"/>
      <c r="E6" s="10"/>
      <c r="F6" s="10"/>
      <c r="G6" s="10"/>
      <c r="H6" s="10"/>
      <c r="I6" s="10"/>
      <c r="J6" s="10"/>
      <c r="K6" s="10"/>
      <c r="L6" s="26" t="s">
        <v>29</v>
      </c>
      <c r="M6" s="26">
        <f>((E5/E3)-1)*100</f>
        <v>-8</v>
      </c>
      <c r="N6" s="20"/>
      <c r="O6" s="20"/>
      <c r="P6" s="20"/>
      <c r="Q6" s="20"/>
      <c r="R6" s="10"/>
      <c r="S6" s="10" t="str">
        <f>IFERROR(__xludf.DUMMYFUNCTION("""COMPUTED_VALUE"""),"Школа 444")</f>
        <v>Школа 444</v>
      </c>
      <c r="T6" s="10" t="str">
        <f>IFERROR(__xludf.DUMMYFUNCTION("""COMPUTED_VALUE"""),"2")</f>
        <v>2</v>
      </c>
      <c r="U6" s="10">
        <f>IFERROR(__xludf.DUMMYFUNCTION("""COMPUTED_VALUE"""),5.0)</f>
        <v>5</v>
      </c>
      <c r="V6" s="10">
        <f>IFERROR(__xludf.DUMMYFUNCTION("""COMPUTED_VALUE"""),2.5)</f>
        <v>2.5</v>
      </c>
      <c r="W6" s="10"/>
      <c r="X6" s="10"/>
      <c r="Y6" s="10"/>
      <c r="Z6" s="10"/>
    </row>
    <row r="7">
      <c r="C7" s="10"/>
      <c r="D7" s="10"/>
      <c r="E7" s="10"/>
      <c r="F7" s="10"/>
      <c r="G7" s="10"/>
      <c r="H7" s="10"/>
      <c r="I7" s="10"/>
      <c r="J7" s="10"/>
      <c r="K7" s="10"/>
      <c r="L7" s="26" t="s">
        <v>30</v>
      </c>
      <c r="M7" s="26">
        <f>((F5/F3)-1)*100</f>
        <v>-8.148148148</v>
      </c>
      <c r="N7" s="20"/>
      <c r="O7" s="20"/>
      <c r="P7" s="20"/>
      <c r="Q7" s="20"/>
      <c r="S7" s="10" t="str">
        <f>IFERROR(__xludf.DUMMYFUNCTION("""COMPUTED_VALUE"""),"Школа 2070")</f>
        <v>Школа 2070</v>
      </c>
      <c r="T7" s="10" t="str">
        <f>IFERROR(__xludf.DUMMYFUNCTION("""COMPUTED_VALUE"""),"5")</f>
        <v>5</v>
      </c>
      <c r="U7" s="10">
        <f>IFERROR(__xludf.DUMMYFUNCTION("""COMPUTED_VALUE"""),5.0)</f>
        <v>5</v>
      </c>
      <c r="V7" s="10">
        <f>IFERROR(__xludf.DUMMYFUNCTION("""COMPUTED_VALUE"""),1.0)</f>
        <v>1</v>
      </c>
      <c r="W7" s="10"/>
      <c r="X7" s="10"/>
      <c r="Y7" s="10"/>
      <c r="Z7" s="10"/>
    </row>
    <row r="8">
      <c r="C8" s="10"/>
      <c r="D8" s="10"/>
      <c r="E8" s="10"/>
      <c r="F8" s="10"/>
      <c r="G8" s="10"/>
      <c r="H8" s="10"/>
      <c r="I8" s="10"/>
      <c r="J8" s="10"/>
      <c r="K8" s="10"/>
      <c r="L8" s="26" t="s">
        <v>33</v>
      </c>
      <c r="M8" s="26">
        <f>((I5/I3)-1)*100</f>
        <v>-20.76502732</v>
      </c>
      <c r="N8" s="10"/>
      <c r="O8" s="10"/>
      <c r="P8" s="10"/>
      <c r="Q8" s="10"/>
      <c r="R8" s="10"/>
      <c r="S8" s="10" t="str">
        <f>IFERROR(__xludf.DUMMYFUNCTION("""COMPUTED_VALUE"""),"Школа 2036")</f>
        <v>Школа 2036</v>
      </c>
      <c r="T8" s="10" t="str">
        <f>IFERROR(__xludf.DUMMYFUNCTION("""COMPUTED_VALUE"""),"3")</f>
        <v>3</v>
      </c>
      <c r="U8" s="10">
        <f>IFERROR(__xludf.DUMMYFUNCTION("""COMPUTED_VALUE"""),2.0)</f>
        <v>2</v>
      </c>
      <c r="V8" s="10">
        <f>IFERROR(__xludf.DUMMYFUNCTION("""COMPUTED_VALUE"""),0.6666666666666666)</f>
        <v>0.6666666667</v>
      </c>
      <c r="W8" s="10"/>
      <c r="X8" s="10"/>
      <c r="Y8" s="10"/>
      <c r="Z8" s="10"/>
    </row>
    <row r="9">
      <c r="C9" s="10"/>
      <c r="D9" s="10"/>
      <c r="E9" s="10"/>
      <c r="F9" s="10"/>
      <c r="G9" s="10"/>
      <c r="H9" s="10"/>
      <c r="I9" s="10"/>
      <c r="J9" s="10"/>
      <c r="K9" s="10"/>
      <c r="N9" s="10"/>
      <c r="O9" s="10"/>
      <c r="P9" s="10"/>
      <c r="Q9" s="10"/>
      <c r="R9" s="10"/>
      <c r="S9" s="10" t="str">
        <f>IFERROR(__xludf.DUMMYFUNCTION("""COMPUTED_VALUE"""),"Школа 1501")</f>
        <v>Школа 1501</v>
      </c>
      <c r="T9" s="10" t="str">
        <f>IFERROR(__xludf.DUMMYFUNCTION("""COMPUTED_VALUE"""),"10")</f>
        <v>10</v>
      </c>
      <c r="U9" s="10">
        <f>IFERROR(__xludf.DUMMYFUNCTION("""COMPUTED_VALUE"""),4.0)</f>
        <v>4</v>
      </c>
      <c r="V9" s="10">
        <f>IFERROR(__xludf.DUMMYFUNCTION("""COMPUTED_VALUE"""),0.4)</f>
        <v>0.4</v>
      </c>
      <c r="W9" s="10"/>
      <c r="X9" s="10"/>
      <c r="Y9" s="10"/>
      <c r="Z9" s="10"/>
    </row>
    <row r="10">
      <c r="C10" s="10"/>
      <c r="D10" s="10"/>
      <c r="E10" s="10"/>
      <c r="F10" s="10"/>
      <c r="G10" s="10"/>
      <c r="H10" s="10"/>
      <c r="I10" s="10"/>
      <c r="J10" s="10"/>
      <c r="K10" s="10"/>
      <c r="N10" s="10"/>
      <c r="O10" s="10"/>
      <c r="P10" s="10"/>
      <c r="Q10" s="10"/>
      <c r="R10" s="10"/>
      <c r="S10" s="10" t="str">
        <f>IFERROR(__xludf.DUMMYFUNCTION("""COMPUTED_VALUE"""),"Курчатовская школа")</f>
        <v>Курчатовская школа</v>
      </c>
      <c r="T10" s="10" t="str">
        <f>IFERROR(__xludf.DUMMYFUNCTION("""COMPUTED_VALUE"""),"8")</f>
        <v>8</v>
      </c>
      <c r="U10" s="10">
        <f>IFERROR(__xludf.DUMMYFUNCTION("""COMPUTED_VALUE"""),3.0)</f>
        <v>3</v>
      </c>
      <c r="V10" s="10">
        <f>IFERROR(__xludf.DUMMYFUNCTION("""COMPUTED_VALUE"""),0.375)</f>
        <v>0.375</v>
      </c>
      <c r="W10" s="10"/>
      <c r="X10" s="10"/>
      <c r="Y10" s="10"/>
      <c r="Z10" s="10"/>
    </row>
    <row r="11">
      <c r="C11" s="10"/>
      <c r="D11" s="10"/>
      <c r="E11" s="10"/>
      <c r="F11" s="10"/>
      <c r="G11" s="10"/>
      <c r="H11" s="10"/>
      <c r="I11" s="10"/>
      <c r="J11" s="10"/>
      <c r="K11" s="10"/>
      <c r="L11" s="33"/>
      <c r="M11" s="10"/>
      <c r="N11" s="10"/>
      <c r="O11" s="10"/>
      <c r="P11" s="10"/>
      <c r="Q11" s="10"/>
      <c r="R11" s="10"/>
      <c r="S11" s="10" t="str">
        <f>IFERROR(__xludf.DUMMYFUNCTION("""COMPUTED_VALUE"""),"Школа 1363")</f>
        <v>Школа 1363</v>
      </c>
      <c r="T11" s="10" t="str">
        <f>IFERROR(__xludf.DUMMYFUNCTION("""COMPUTED_VALUE"""),"15")</f>
        <v>15</v>
      </c>
      <c r="U11" s="10">
        <f>IFERROR(__xludf.DUMMYFUNCTION("""COMPUTED_VALUE"""),5.0)</f>
        <v>5</v>
      </c>
      <c r="V11" s="10">
        <f>IFERROR(__xludf.DUMMYFUNCTION("""COMPUTED_VALUE"""),0.3333333333333333)</f>
        <v>0.3333333333</v>
      </c>
      <c r="W11" s="10"/>
      <c r="X11" s="10"/>
      <c r="Y11" s="10"/>
      <c r="Z11" s="10"/>
    </row>
    <row r="12">
      <c r="C12" s="10"/>
      <c r="D12" s="10"/>
      <c r="E12" s="10"/>
      <c r="F12" s="10"/>
      <c r="G12" s="10"/>
      <c r="H12" s="10"/>
      <c r="I12" s="10"/>
      <c r="J12" s="10"/>
      <c r="K12" s="10"/>
      <c r="L12" s="33"/>
      <c r="M12" s="10"/>
      <c r="N12" s="10"/>
      <c r="O12" s="10"/>
      <c r="P12" s="10"/>
      <c r="Q12" s="10"/>
      <c r="R12" s="10"/>
      <c r="S12" s="10" t="str">
        <f>IFERROR(__xludf.DUMMYFUNCTION("""COMPUTED_VALUE"""),"Школа 1535")</f>
        <v>Школа 1535</v>
      </c>
      <c r="T12" s="10" t="str">
        <f>IFERROR(__xludf.DUMMYFUNCTION("""COMPUTED_VALUE"""),"13")</f>
        <v>13</v>
      </c>
      <c r="U12" s="10">
        <f>IFERROR(__xludf.DUMMYFUNCTION("""COMPUTED_VALUE"""),3.0)</f>
        <v>3</v>
      </c>
      <c r="V12" s="10">
        <f>IFERROR(__xludf.DUMMYFUNCTION("""COMPUTED_VALUE"""),0.23076923076923078)</f>
        <v>0.2307692308</v>
      </c>
      <c r="W12" s="10"/>
      <c r="X12" s="10"/>
      <c r="Y12" s="10"/>
      <c r="Z12" s="10"/>
    </row>
    <row r="13">
      <c r="C13" s="10"/>
      <c r="D13" s="10"/>
      <c r="E13" s="10"/>
      <c r="F13" s="10"/>
      <c r="G13" s="10"/>
      <c r="H13" s="10"/>
      <c r="I13" s="10"/>
      <c r="J13" s="10"/>
      <c r="K13" s="10"/>
      <c r="L13" s="33"/>
      <c r="M13" s="10"/>
      <c r="N13" s="10"/>
      <c r="O13" s="10"/>
      <c r="P13" s="10"/>
      <c r="Q13" s="10"/>
      <c r="R13" s="10"/>
      <c r="S13" s="10" t="str">
        <f>IFERROR(__xludf.DUMMYFUNCTION("""COMPUTED_VALUE"""),"Школа 2127")</f>
        <v>Школа 2127</v>
      </c>
      <c r="T13" s="10" t="str">
        <f>IFERROR(__xludf.DUMMYFUNCTION("""COMPUTED_VALUE"""),"22")</f>
        <v>22</v>
      </c>
      <c r="U13" s="10">
        <f>IFERROR(__xludf.DUMMYFUNCTION("""COMPUTED_VALUE"""),5.0)</f>
        <v>5</v>
      </c>
      <c r="V13" s="10">
        <f>IFERROR(__xludf.DUMMYFUNCTION("""COMPUTED_VALUE"""),0.22727272727272727)</f>
        <v>0.2272727273</v>
      </c>
      <c r="W13" s="10"/>
      <c r="X13" s="10"/>
      <c r="Y13" s="10"/>
      <c r="Z13" s="10"/>
    </row>
    <row r="14">
      <c r="C14" s="10"/>
      <c r="D14" s="10"/>
      <c r="E14" s="10"/>
      <c r="F14" s="10"/>
      <c r="G14" s="10"/>
      <c r="H14" s="10"/>
      <c r="I14" s="10"/>
      <c r="J14" s="10"/>
      <c r="K14" s="10"/>
      <c r="L14" s="33"/>
      <c r="M14" s="10"/>
      <c r="N14" s="10"/>
      <c r="O14" s="10"/>
      <c r="P14" s="10"/>
      <c r="Q14" s="10"/>
      <c r="R14" s="10"/>
      <c r="S14" s="10" t="str">
        <f>IFERROR(__xludf.DUMMYFUNCTION("""COMPUTED_VALUE"""),"Школа 1194")</f>
        <v>Школа 1194</v>
      </c>
      <c r="T14" s="10" t="str">
        <f>IFERROR(__xludf.DUMMYFUNCTION("""COMPUTED_VALUE"""),"33")</f>
        <v>33</v>
      </c>
      <c r="U14" s="10">
        <f>IFERROR(__xludf.DUMMYFUNCTION("""COMPUTED_VALUE"""),5.0)</f>
        <v>5</v>
      </c>
      <c r="V14" s="10">
        <f>IFERROR(__xludf.DUMMYFUNCTION("""COMPUTED_VALUE"""),0.15151515151515152)</f>
        <v>0.1515151515</v>
      </c>
      <c r="W14" s="10"/>
      <c r="X14" s="10"/>
      <c r="Y14" s="10"/>
      <c r="Z14" s="10"/>
    </row>
    <row r="15">
      <c r="C15" s="10"/>
      <c r="D15" s="10"/>
      <c r="E15" s="10"/>
      <c r="F15" s="10"/>
      <c r="G15" s="10"/>
      <c r="H15" s="10"/>
      <c r="I15" s="10"/>
      <c r="J15" s="10"/>
      <c r="K15" s="10"/>
      <c r="L15" s="33"/>
      <c r="M15" s="10"/>
      <c r="N15" s="10"/>
      <c r="O15" s="10"/>
      <c r="P15" s="10"/>
      <c r="Q15" s="10"/>
      <c r="R15" s="10"/>
      <c r="S15" s="10" t="str">
        <f>IFERROR(__xludf.DUMMYFUNCTION("""COMPUTED_VALUE""")," ")</f>
        <v> </v>
      </c>
      <c r="T15" s="10" t="str">
        <f>IFERROR(__xludf.DUMMYFUNCTION("""COMPUTED_VALUE""")," ")</f>
        <v> </v>
      </c>
      <c r="U15" s="10" t="str">
        <f>IFERROR(__xludf.DUMMYFUNCTION("""COMPUTED_VALUE""")," ")</f>
        <v> </v>
      </c>
      <c r="V15" s="10" t="str">
        <f>IFERROR(__xludf.DUMMYFUNCTION("""COMPUTED_VALUE""")," ")</f>
        <v> </v>
      </c>
      <c r="W15" s="10"/>
      <c r="X15" s="10"/>
      <c r="Y15" s="10"/>
      <c r="Z15" s="10"/>
    </row>
    <row r="16">
      <c r="C16" s="10"/>
      <c r="D16" s="10"/>
      <c r="E16" s="10"/>
      <c r="F16" s="10"/>
      <c r="G16" s="10"/>
      <c r="H16" s="10"/>
      <c r="I16" s="10"/>
      <c r="J16" s="10"/>
      <c r="K16" s="10"/>
      <c r="L16" s="33"/>
      <c r="M16" s="10"/>
      <c r="N16" s="10"/>
      <c r="O16" s="10"/>
      <c r="P16" s="10"/>
      <c r="Q16" s="10"/>
      <c r="R16" s="10"/>
      <c r="S16" s="27" t="str">
        <f>IFERROR(__xludf.DUMMYFUNCTION("""COMPUTED_VALUE"""),"Анти-топ 10")</f>
        <v>Анти-топ 10</v>
      </c>
      <c r="W16" s="10"/>
      <c r="X16" s="10"/>
      <c r="Y16" s="10"/>
      <c r="Z16" s="10"/>
    </row>
    <row r="17">
      <c r="C17" s="10"/>
      <c r="D17" s="10"/>
      <c r="E17" s="10"/>
      <c r="F17" s="10"/>
      <c r="G17" s="10"/>
      <c r="H17" s="10"/>
      <c r="I17" s="10"/>
      <c r="J17" s="10"/>
      <c r="K17" s="10"/>
      <c r="L17" s="33"/>
      <c r="M17" s="10"/>
      <c r="N17" s="10"/>
      <c r="O17" s="10"/>
      <c r="P17" s="10"/>
      <c r="Q17" s="10"/>
      <c r="R17" s="10"/>
      <c r="S17" s="10" t="str">
        <f>IFERROR(__xludf.DUMMYFUNCTION("""COMPUTED_VALUE"""),"Школа 86")</f>
        <v>Школа 86</v>
      </c>
      <c r="T17" s="10" t="str">
        <f>IFERROR(__xludf.DUMMYFUNCTION("""COMPUTED_VALUE"""),"Вне рейтинга")</f>
        <v>Вне рейтинга</v>
      </c>
      <c r="U17" s="10">
        <f>IFERROR(__xludf.DUMMYFUNCTION("""COMPUTED_VALUE"""),1.0)</f>
        <v>1</v>
      </c>
      <c r="V17" s="10">
        <f>IFERROR(__xludf.DUMMYFUNCTION("""COMPUTED_VALUE"""),0.002)</f>
        <v>0.002</v>
      </c>
      <c r="W17" s="10"/>
      <c r="X17" s="10"/>
      <c r="Y17" s="10"/>
      <c r="Z17" s="10"/>
    </row>
    <row r="18">
      <c r="C18" s="10"/>
      <c r="D18" s="10"/>
      <c r="E18" s="10"/>
      <c r="F18" s="10"/>
      <c r="G18" s="10"/>
      <c r="H18" s="10"/>
      <c r="I18" s="10"/>
      <c r="J18" s="10"/>
      <c r="K18" s="10"/>
      <c r="L18" s="33"/>
      <c r="M18" s="10"/>
      <c r="N18" s="10"/>
      <c r="O18" s="10"/>
      <c r="P18" s="10"/>
      <c r="Q18" s="10"/>
      <c r="R18" s="10"/>
      <c r="S18" s="10" t="str">
        <f>IFERROR(__xludf.DUMMYFUNCTION("""COMPUTED_VALUE"""),"Школа 123")</f>
        <v>Школа 123</v>
      </c>
      <c r="T18" s="10" t="str">
        <f>IFERROR(__xludf.DUMMYFUNCTION("""COMPUTED_VALUE"""),"Вне рейтинга")</f>
        <v>Вне рейтинга</v>
      </c>
      <c r="U18" s="10">
        <f>IFERROR(__xludf.DUMMYFUNCTION("""COMPUTED_VALUE"""),1.0)</f>
        <v>1</v>
      </c>
      <c r="V18" s="10">
        <f>IFERROR(__xludf.DUMMYFUNCTION("""COMPUTED_VALUE"""),0.002)</f>
        <v>0.002</v>
      </c>
      <c r="W18" s="10"/>
      <c r="X18" s="10"/>
      <c r="Y18" s="10"/>
      <c r="Z18" s="10"/>
    </row>
    <row r="19">
      <c r="C19" s="10"/>
      <c r="D19" s="10"/>
      <c r="E19" s="10"/>
      <c r="F19" s="10"/>
      <c r="G19" s="10"/>
      <c r="H19" s="10"/>
      <c r="I19" s="10"/>
      <c r="J19" s="10"/>
      <c r="K19" s="10"/>
      <c r="L19" s="33"/>
      <c r="M19" s="10"/>
      <c r="N19" s="10"/>
      <c r="O19" s="10"/>
      <c r="P19" s="10"/>
      <c r="Q19" s="10"/>
      <c r="R19" s="10"/>
      <c r="S19" s="10" t="str">
        <f>IFERROR(__xludf.DUMMYFUNCTION("""COMPUTED_VALUE"""),"Школа 149")</f>
        <v>Школа 149</v>
      </c>
      <c r="T19" s="10" t="str">
        <f>IFERROR(__xludf.DUMMYFUNCTION("""COMPUTED_VALUE"""),"Вне рейтинга")</f>
        <v>Вне рейтинга</v>
      </c>
      <c r="U19" s="10">
        <f>IFERROR(__xludf.DUMMYFUNCTION("""COMPUTED_VALUE"""),1.0)</f>
        <v>1</v>
      </c>
      <c r="V19" s="10">
        <f>IFERROR(__xludf.DUMMYFUNCTION("""COMPUTED_VALUE"""),0.002)</f>
        <v>0.002</v>
      </c>
      <c r="W19" s="10"/>
      <c r="X19" s="10"/>
      <c r="Y19" s="10"/>
      <c r="Z19" s="10"/>
    </row>
    <row r="20">
      <c r="C20" s="10"/>
      <c r="D20" s="10"/>
      <c r="E20" s="10"/>
      <c r="F20" s="10"/>
      <c r="G20" s="10"/>
      <c r="H20" s="10"/>
      <c r="I20" s="10"/>
      <c r="J20" s="10"/>
      <c r="K20" s="10"/>
      <c r="L20" s="33"/>
      <c r="M20" s="10"/>
      <c r="N20" s="10"/>
      <c r="O20" s="10"/>
      <c r="P20" s="10"/>
      <c r="Q20" s="10"/>
      <c r="R20" s="10"/>
      <c r="S20" s="10" t="str">
        <f>IFERROR(__xludf.DUMMYFUNCTION("""COMPUTED_VALUE"""),"Школа 167")</f>
        <v>Школа 167</v>
      </c>
      <c r="T20" s="10" t="str">
        <f>IFERROR(__xludf.DUMMYFUNCTION("""COMPUTED_VALUE"""),"Вне рейтинга")</f>
        <v>Вне рейтинга</v>
      </c>
      <c r="U20" s="10">
        <f>IFERROR(__xludf.DUMMYFUNCTION("""COMPUTED_VALUE"""),1.0)</f>
        <v>1</v>
      </c>
      <c r="V20" s="10">
        <f>IFERROR(__xludf.DUMMYFUNCTION("""COMPUTED_VALUE"""),0.002)</f>
        <v>0.002</v>
      </c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3"/>
      <c r="M21" s="10"/>
      <c r="N21" s="10"/>
      <c r="O21" s="10"/>
      <c r="P21" s="10"/>
      <c r="Q21" s="10"/>
      <c r="R21" s="10"/>
      <c r="S21" s="10" t="str">
        <f>IFERROR(__xludf.DUMMYFUNCTION("""COMPUTED_VALUE"""),"Школа 324")</f>
        <v>Школа 324</v>
      </c>
      <c r="T21" s="10" t="str">
        <f>IFERROR(__xludf.DUMMYFUNCTION("""COMPUTED_VALUE"""),"Вне рейтинга")</f>
        <v>Вне рейтинга</v>
      </c>
      <c r="U21" s="10">
        <f>IFERROR(__xludf.DUMMYFUNCTION("""COMPUTED_VALUE"""),1.0)</f>
        <v>1</v>
      </c>
      <c r="V21" s="10">
        <f>IFERROR(__xludf.DUMMYFUNCTION("""COMPUTED_VALUE"""),0.002)</f>
        <v>0.002</v>
      </c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3"/>
      <c r="M22" s="10"/>
      <c r="N22" s="10"/>
      <c r="O22" s="10"/>
      <c r="P22" s="10"/>
      <c r="Q22" s="10"/>
      <c r="R22" s="10"/>
      <c r="S22" s="10" t="str">
        <f>IFERROR(__xludf.DUMMYFUNCTION("""COMPUTED_VALUE"""),"Школа 609")</f>
        <v>Школа 609</v>
      </c>
      <c r="T22" s="10" t="str">
        <f>IFERROR(__xludf.DUMMYFUNCTION("""COMPUTED_VALUE"""),"Вне рейтинга")</f>
        <v>Вне рейтинга</v>
      </c>
      <c r="U22" s="10">
        <f>IFERROR(__xludf.DUMMYFUNCTION("""COMPUTED_VALUE"""),1.0)</f>
        <v>1</v>
      </c>
      <c r="V22" s="10">
        <f>IFERROR(__xludf.DUMMYFUNCTION("""COMPUTED_VALUE"""),0.002)</f>
        <v>0.002</v>
      </c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3"/>
      <c r="M23" s="10"/>
      <c r="N23" s="10"/>
      <c r="O23" s="10"/>
      <c r="P23" s="10"/>
      <c r="Q23" s="10"/>
      <c r="R23" s="10"/>
      <c r="S23" s="10" t="str">
        <f>IFERROR(__xludf.DUMMYFUNCTION("""COMPUTED_VALUE"""),"Школа 1191")</f>
        <v>Школа 1191</v>
      </c>
      <c r="T23" s="10" t="str">
        <f>IFERROR(__xludf.DUMMYFUNCTION("""COMPUTED_VALUE"""),"Вне рейтинга")</f>
        <v>Вне рейтинга</v>
      </c>
      <c r="U23" s="10">
        <f>IFERROR(__xludf.DUMMYFUNCTION("""COMPUTED_VALUE"""),1.0)</f>
        <v>1</v>
      </c>
      <c r="V23" s="10">
        <f>IFERROR(__xludf.DUMMYFUNCTION("""COMPUTED_VALUE"""),0.002)</f>
        <v>0.002</v>
      </c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3"/>
      <c r="M24" s="10"/>
      <c r="N24" s="10"/>
      <c r="O24" s="10"/>
      <c r="P24" s="10"/>
      <c r="Q24" s="10"/>
      <c r="R24" s="10"/>
      <c r="S24" s="10" t="str">
        <f>IFERROR(__xludf.DUMMYFUNCTION("""COMPUTED_VALUE"""),"Школа 1528")</f>
        <v>Школа 1528</v>
      </c>
      <c r="T24" s="10" t="str">
        <f>IFERROR(__xludf.DUMMYFUNCTION("""COMPUTED_VALUE"""),"Вне рейтинга")</f>
        <v>Вне рейтинга</v>
      </c>
      <c r="U24" s="10">
        <f>IFERROR(__xludf.DUMMYFUNCTION("""COMPUTED_VALUE"""),1.0)</f>
        <v>1</v>
      </c>
      <c r="V24" s="10">
        <f>IFERROR(__xludf.DUMMYFUNCTION("""COMPUTED_VALUE"""),0.002)</f>
        <v>0.002</v>
      </c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8"/>
      <c r="G25" s="10"/>
      <c r="H25" s="10"/>
      <c r="I25" s="10"/>
      <c r="J25" s="10"/>
      <c r="K25" s="10"/>
      <c r="L25" s="33"/>
      <c r="M25" s="10"/>
      <c r="N25" s="10"/>
      <c r="O25" s="10"/>
      <c r="P25" s="10"/>
      <c r="Q25" s="10"/>
      <c r="R25" s="10"/>
      <c r="S25" s="10" t="str">
        <f>IFERROR(__xludf.DUMMYFUNCTION("""COMPUTED_VALUE"""),"Школа 1694")</f>
        <v>Школа 1694</v>
      </c>
      <c r="T25" s="10" t="str">
        <f>IFERROR(__xludf.DUMMYFUNCTION("""COMPUTED_VALUE"""),"Вне рейтинга")</f>
        <v>Вне рейтинга</v>
      </c>
      <c r="U25" s="10">
        <f>IFERROR(__xludf.DUMMYFUNCTION("""COMPUTED_VALUE"""),1.0)</f>
        <v>1</v>
      </c>
      <c r="V25" s="10">
        <f>IFERROR(__xludf.DUMMYFUNCTION("""COMPUTED_VALUE"""),0.002)</f>
        <v>0.002</v>
      </c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3"/>
      <c r="M26" s="10"/>
      <c r="N26" s="10"/>
      <c r="O26" s="10"/>
      <c r="P26" s="10"/>
      <c r="Q26" s="10"/>
      <c r="R26" s="10"/>
      <c r="S26" s="10" t="str">
        <f>IFERROR(__xludf.DUMMYFUNCTION("""COMPUTED_VALUE"""),"Школа 1935")</f>
        <v>Школа 1935</v>
      </c>
      <c r="T26" s="10" t="str">
        <f>IFERROR(__xludf.DUMMYFUNCTION("""COMPUTED_VALUE"""),"Вне рейтинга")</f>
        <v>Вне рейтинга</v>
      </c>
      <c r="U26" s="10">
        <f>IFERROR(__xludf.DUMMYFUNCTION("""COMPUTED_VALUE"""),1.0)</f>
        <v>1</v>
      </c>
      <c r="V26" s="10">
        <f>IFERROR(__xludf.DUMMYFUNCTION("""COMPUTED_VALUE"""),0.002)</f>
        <v>0.002</v>
      </c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3"/>
      <c r="M27" s="10"/>
      <c r="N27" s="10"/>
      <c r="O27" s="10"/>
      <c r="P27" s="10"/>
      <c r="Q27" s="10"/>
      <c r="R27" s="10"/>
      <c r="S27" s="10" t="str">
        <f>IFERROR(__xludf.DUMMYFUNCTION("""COMPUTED_VALUE""")," ")</f>
        <v> </v>
      </c>
      <c r="T27" s="10" t="str">
        <f>IFERROR(__xludf.DUMMYFUNCTION("""COMPUTED_VALUE""")," ")</f>
        <v> </v>
      </c>
      <c r="U27" s="10" t="str">
        <f>IFERROR(__xludf.DUMMYFUNCTION("""COMPUTED_VALUE""")," ")</f>
        <v> </v>
      </c>
      <c r="V27" s="10" t="str">
        <f>IFERROR(__xludf.DUMMYFUNCTION("""COMPUTED_VALUE""")," ")</f>
        <v> </v>
      </c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3"/>
      <c r="M28" s="10"/>
      <c r="N28" s="10"/>
      <c r="O28" s="10"/>
      <c r="P28" s="10"/>
      <c r="Q28" s="10"/>
      <c r="R28" s="10"/>
      <c r="S28" s="27" t="str">
        <f>IFERROR(__xludf.DUMMYFUNCTION("""COMPUTED_VALUE"""),"ОБЩАЯ КОРРЕЛЯЦИЯ (связь рейтинга и профилей)")</f>
        <v>ОБЩАЯ КОРРЕЛЯЦИЯ (связь рейтинга и профилей)</v>
      </c>
      <c r="T28" s="10">
        <f>IFERROR(__xludf.DUMMYFUNCTION("""COMPUTED_VALUE"""),-0.429)</f>
        <v>-0.429</v>
      </c>
      <c r="U28" s="10" t="str">
        <f>IFERROR(__xludf.DUMMYFUNCTION("""COMPUTED_VALUE"""),"")</f>
        <v/>
      </c>
      <c r="V28" s="10" t="str">
        <f>IFERROR(__xludf.DUMMYFUNCTION("""COMPUTED_VALUE"""),"")</f>
        <v/>
      </c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3"/>
      <c r="M29" s="10"/>
      <c r="N29" s="10"/>
      <c r="O29" s="10"/>
      <c r="P29" s="10"/>
      <c r="Q29" s="10"/>
      <c r="R29" s="10"/>
      <c r="S29" s="21" t="s">
        <v>54</v>
      </c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3"/>
      <c r="M30" s="10"/>
      <c r="N30" s="10"/>
      <c r="O30" s="10"/>
      <c r="P30" s="10"/>
      <c r="Q30" s="10"/>
      <c r="R30" s="10"/>
      <c r="S30" s="8"/>
      <c r="T30" s="8"/>
      <c r="U30" s="8"/>
      <c r="V30" s="8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3"/>
      <c r="M31" s="10"/>
      <c r="N31" s="10"/>
      <c r="O31" s="10"/>
      <c r="P31" s="10"/>
      <c r="Q31" s="10"/>
      <c r="R31" s="10"/>
      <c r="S31" s="8"/>
      <c r="T31" s="8"/>
      <c r="U31" s="8"/>
      <c r="V31" s="8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3"/>
      <c r="M32" s="10"/>
      <c r="N32" s="10"/>
      <c r="O32" s="10"/>
      <c r="P32" s="10"/>
      <c r="Q32" s="10"/>
      <c r="R32" s="10"/>
      <c r="S32" s="8"/>
      <c r="T32" s="8"/>
      <c r="U32" s="8"/>
      <c r="V32" s="8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3"/>
      <c r="M33" s="10"/>
      <c r="N33" s="10"/>
      <c r="O33" s="10"/>
      <c r="P33" s="10"/>
      <c r="Q33" s="10"/>
      <c r="R33" s="10"/>
      <c r="S33" s="8"/>
      <c r="T33" s="8"/>
      <c r="U33" s="8"/>
      <c r="V33" s="8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3"/>
      <c r="M34" s="10"/>
      <c r="N34" s="10"/>
      <c r="O34" s="10"/>
      <c r="P34" s="10"/>
      <c r="Q34" s="10"/>
      <c r="R34" s="10"/>
      <c r="S34" s="8"/>
      <c r="T34" s="8"/>
      <c r="U34" s="8"/>
      <c r="V34" s="8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3"/>
      <c r="M35" s="10"/>
      <c r="N35" s="10"/>
      <c r="O35" s="10"/>
      <c r="P35" s="10"/>
      <c r="Q35" s="10"/>
      <c r="R35" s="10"/>
      <c r="S35" s="8"/>
      <c r="T35" s="8"/>
      <c r="U35" s="8"/>
      <c r="V35" s="8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3"/>
      <c r="M36" s="10"/>
      <c r="N36" s="10"/>
      <c r="O36" s="10"/>
      <c r="P36" s="10"/>
      <c r="Q36" s="10"/>
      <c r="R36" s="10"/>
      <c r="S36" s="8"/>
      <c r="T36" s="8"/>
      <c r="U36" s="8"/>
      <c r="V36" s="8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3"/>
      <c r="M37" s="10"/>
      <c r="N37" s="10"/>
      <c r="O37" s="10"/>
      <c r="P37" s="10"/>
      <c r="Q37" s="10"/>
      <c r="R37" s="10"/>
      <c r="S37" s="8"/>
      <c r="T37" s="8"/>
      <c r="U37" s="8"/>
      <c r="V37" s="8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3"/>
      <c r="M38" s="10"/>
      <c r="N38" s="10"/>
      <c r="O38" s="10"/>
      <c r="P38" s="10"/>
      <c r="Q38" s="10"/>
      <c r="R38" s="10"/>
      <c r="S38" s="8"/>
      <c r="T38" s="8"/>
      <c r="U38" s="8"/>
      <c r="V38" s="8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3"/>
      <c r="M39" s="10"/>
      <c r="N39" s="10"/>
      <c r="O39" s="10"/>
      <c r="P39" s="10"/>
      <c r="Q39" s="10"/>
      <c r="R39" s="10"/>
      <c r="S39" s="8"/>
      <c r="T39" s="8"/>
      <c r="U39" s="8"/>
      <c r="V39" s="8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3"/>
      <c r="M40" s="10"/>
      <c r="N40" s="10"/>
      <c r="O40" s="10"/>
      <c r="P40" s="10"/>
      <c r="Q40" s="10"/>
      <c r="R40" s="10"/>
      <c r="S40" s="8"/>
      <c r="T40" s="8"/>
      <c r="U40" s="8"/>
      <c r="V40" s="8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3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3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3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3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3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3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3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3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33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33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33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33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33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33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33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33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33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3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3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3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3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3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3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3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3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3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3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3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3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3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3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3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3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3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3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3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3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3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3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3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3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3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3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3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3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3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3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3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3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3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3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3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3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3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3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33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33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33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33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33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33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33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33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33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33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33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33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33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33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33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33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33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33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33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33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33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33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33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33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33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33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33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33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33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33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33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33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33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33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33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33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33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33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33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33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33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33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33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33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33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33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33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33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33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33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33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33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33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33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33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33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33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33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33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33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33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33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33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33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33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33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33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33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33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33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33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33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33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33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33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33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33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33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33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33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33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33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33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33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33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33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33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33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33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33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33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33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33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33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33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33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33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33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33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33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33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33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33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33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33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33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33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33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33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33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33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33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33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33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33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33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33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33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33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33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33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33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33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33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33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33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33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33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33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33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33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33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33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33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33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33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33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33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33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33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33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33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33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33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33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33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33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33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33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33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33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33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33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33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33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33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33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33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33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33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33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33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33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33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33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33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33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33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33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33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33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33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33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33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33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33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33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33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33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33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33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33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33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33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33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33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33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33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33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33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33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33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33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33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33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33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33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33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33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33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33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33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33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33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33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33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33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33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33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33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33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33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33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33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33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33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33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33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33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33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33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33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33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33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33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33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33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33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33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33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33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33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33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33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33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33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33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33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33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33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33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33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33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33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33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33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33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33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33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33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33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33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33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33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33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33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33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33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33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33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33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33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33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33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33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33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33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33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33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33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33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33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33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33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33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33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33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33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33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33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33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33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33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33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33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33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33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33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33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33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33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33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33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33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33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33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33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33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33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33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33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33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33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33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33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33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33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33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33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33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33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33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33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33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33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33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33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33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33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33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33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33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33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33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33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33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33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33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33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33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33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33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33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33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33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33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33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33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33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33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33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33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33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33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33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33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33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33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33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33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33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33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33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33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33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33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33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33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33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33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33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33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33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33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33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33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33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33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33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33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33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33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33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33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33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33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33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33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33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33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33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33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33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33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33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33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33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33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33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33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33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33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33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33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33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33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33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33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33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33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33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33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33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33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33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33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33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33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33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33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33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33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33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33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33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33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33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33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33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33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33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33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33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33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33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33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33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33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33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33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33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33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33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33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33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33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33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33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33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33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33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33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33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33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33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33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33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33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33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33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33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33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33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33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33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33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33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33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33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33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33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33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33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33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33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33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33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33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33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33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33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33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33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33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33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33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33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33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33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33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33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33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33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33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33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33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33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33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33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33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33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33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33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33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33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33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33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33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33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33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33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33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33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33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33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33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33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33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33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33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33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33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33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33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33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33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33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33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33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33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33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33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33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33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33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33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33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33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33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33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33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33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33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33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33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33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33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33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33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33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33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33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33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33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33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33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33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33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33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33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33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33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33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33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33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33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33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33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33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33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33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33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33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33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33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33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33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33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33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33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33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33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33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33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33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33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33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33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33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33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33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33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33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33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33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33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33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33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33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33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33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33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33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33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33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33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33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33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33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33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33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33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33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33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33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33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33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33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33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33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33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33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33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33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33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33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33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33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33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33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33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33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33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33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33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33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33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33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33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33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33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33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33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33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33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33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33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33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33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33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33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33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33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33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33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33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33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33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33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33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33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33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33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33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33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33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33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33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33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33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33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33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33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33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33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33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33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33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33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33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33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33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33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33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33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33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33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33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33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33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33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33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33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33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33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33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33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33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33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33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33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33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33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33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33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33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33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33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33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33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33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33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33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33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33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33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33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33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33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33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33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33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33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33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33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33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33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33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33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33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33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33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33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33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33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33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33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33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33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33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33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33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33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33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33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33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33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33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33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33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33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33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33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33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33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33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33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33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33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33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33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33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33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33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33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33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33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33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33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33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33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33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33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33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33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33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33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33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33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33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33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33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33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33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33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33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33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33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33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33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33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33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33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33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33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33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33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33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33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33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33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33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33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33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33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33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33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33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33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33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33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33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33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33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33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33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33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33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33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33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33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33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33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33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33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33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33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33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33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33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33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33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33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33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33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33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33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33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33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33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33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33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33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33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33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33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33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33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33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33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33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33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33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33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33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33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33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33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33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33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33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33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33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33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33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33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33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33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33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33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33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33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33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33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33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33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33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33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33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33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33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33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33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33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33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33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33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33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33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33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33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33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33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33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33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33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33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33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33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33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33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33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33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33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33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33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33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33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33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33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33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33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33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33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33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33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5">
    <mergeCell ref="S2:V2"/>
    <mergeCell ref="S3:V3"/>
    <mergeCell ref="S16:V16"/>
    <mergeCell ref="S29:V29"/>
    <mergeCell ref="D1:J1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9.13"/>
    <col customWidth="1" min="2" max="2" width="52.63"/>
    <col customWidth="1" min="5" max="6" width="52.63"/>
    <col customWidth="1" min="7" max="7" width="30.25"/>
  </cols>
  <sheetData>
    <row r="1" ht="27.75" customHeight="1">
      <c r="A1" s="36" t="s">
        <v>55</v>
      </c>
      <c r="B1" s="37"/>
      <c r="C1" s="37"/>
      <c r="D1" s="6"/>
      <c r="E1" s="38"/>
      <c r="F1" s="38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>
      <c r="A2" s="40" t="s">
        <v>56</v>
      </c>
      <c r="B2" s="41" t="s">
        <v>57</v>
      </c>
      <c r="C2" s="42" t="s">
        <v>58</v>
      </c>
      <c r="D2" s="6"/>
      <c r="E2" s="19" t="s">
        <v>59</v>
      </c>
      <c r="F2" s="38" t="s">
        <v>60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>
      <c r="A3" s="43" t="s">
        <v>61</v>
      </c>
      <c r="B3" s="44" t="s">
        <v>62</v>
      </c>
      <c r="C3" s="45"/>
      <c r="D3" s="6"/>
      <c r="E3" s="33" t="str">
        <f>IFERROR(__xludf.DUMMYFUNCTION("ARRAYFORMULA(IF(A3:A666="""",,MAP(A3:A666,LAMBDA(текст,LET(
  ш1, REGEXREPLACE(текст, ""\n"", "" ""),
  ш2, REGEXREPLACE(ш1, ""(?i)(государственное|бюджетное|автономное|общеобразовательное|учреждение|города\s+москвы|г\.\s*москвы|гбоу|гаоу|сош|ноу|чоу)"", "&amp;"""""),
  ш3, REGEXREPLACE(ш2, ""(?i)(имени|им\.)"", ""им.""),
  ш4, REGEXREPLACE(ш3, ""[«»""""]"", """"),
  ш5, REGEXREPLACE(ш4, ""\([^)]*\)"", """"),
  ш6, REGEXREPLACE(ш5, ""(?i)^школа\s+школа\s+"", ""Школа ""),
  ш7, REGEXREPLACE(ш6, ""\s*\.\s*"", "". "&amp;"""),
  ш8, REGEXREPLACE(ш7, ""\s*,\s*"", "" ""),
  ш9, REGEXREPLACE(ш8, ""\s+"", "" ""),
  ш10, TRIM(SUBSTITUTE(SUBSTITUTE(ш9, ""ё"", ""е""), ""Ё"", ""Е"")),
  номер, IFERROR(REGEXEXTRACT(ш10, ""(?i)(?:^|[^0-9])(?:школа\s*)?(?:№|N|N°)?\s*(\d{1,4})(?:[^0-9"&amp;"]|$)""), """"),
  итог, IF(номер&lt;&gt;"""", ""Школа "" &amp; номер, ш10),
  REGEXREPLACE(итог, ""[\.,\- ]+$"", """")
)))))"),"Инженерно-техническая школа им. дважды Героя Советского Союза П. Р. Поповича")</f>
        <v>Инженерно-техническая школа им. дважды Героя Советского Союза П. Р. Поповича</v>
      </c>
      <c r="F3" s="46" t="s">
        <v>63</v>
      </c>
      <c r="G3" s="46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>
      <c r="A4" s="43" t="s">
        <v>64</v>
      </c>
      <c r="B4" s="44" t="s">
        <v>65</v>
      </c>
      <c r="C4" s="45"/>
      <c r="D4" s="6"/>
      <c r="E4" s="44" t="str">
        <f>IFERROR(__xludf.DUMMYFUNCTION("""COMPUTED_VALUE"""),"Карцевская школа")</f>
        <v>Карцевская школа</v>
      </c>
      <c r="F4" s="46" t="s">
        <v>66</v>
      </c>
      <c r="G4" s="46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>
      <c r="A5" s="43" t="s">
        <v>67</v>
      </c>
      <c r="B5" s="44" t="s">
        <v>68</v>
      </c>
      <c r="C5" s="45"/>
      <c r="D5" s="6"/>
      <c r="E5" s="44" t="str">
        <f>IFERROR(__xludf.DUMMYFUNCTION("""COMPUTED_VALUE"""),"Курчатовская школа")</f>
        <v>Курчатовская школа</v>
      </c>
      <c r="F5" s="46" t="s">
        <v>69</v>
      </c>
      <c r="G5" s="46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>
      <c r="A6" s="43" t="s">
        <v>70</v>
      </c>
      <c r="B6" s="44" t="s">
        <v>71</v>
      </c>
      <c r="C6" s="45"/>
      <c r="D6" s="6"/>
      <c r="E6" s="44" t="str">
        <f>IFERROR(__xludf.DUMMYFUNCTION("""COMPUTED_VALUE"""),"Московская международная школа")</f>
        <v>Московская международная школа</v>
      </c>
      <c r="F6" s="46" t="s">
        <v>72</v>
      </c>
      <c r="G6" s="46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>
      <c r="A7" s="43" t="s">
        <v>73</v>
      </c>
      <c r="B7" s="44" t="s">
        <v>74</v>
      </c>
      <c r="C7" s="45"/>
      <c r="D7" s="6"/>
      <c r="E7" s="44" t="str">
        <f>IFERROR(__xludf.DUMMYFUNCTION("""COMPUTED_VALUE"""),"Образовательный центр Протон")</f>
        <v>Образовательный центр Протон</v>
      </c>
      <c r="F7" s="46" t="s">
        <v>75</v>
      </c>
      <c r="G7" s="46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>
      <c r="A8" s="43" t="s">
        <v>76</v>
      </c>
      <c r="B8" s="44" t="s">
        <v>77</v>
      </c>
      <c r="C8" s="45"/>
      <c r="D8" s="6"/>
      <c r="E8" s="44" t="str">
        <f>IFERROR(__xludf.DUMMYFUNCTION("""COMPUTED_VALUE"""),"Романовская школа")</f>
        <v>Романовская школа</v>
      </c>
      <c r="F8" s="46" t="s">
        <v>78</v>
      </c>
      <c r="G8" s="46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>
      <c r="A9" s="43" t="s">
        <v>79</v>
      </c>
      <c r="B9" s="44" t="s">
        <v>80</v>
      </c>
      <c r="C9" s="45"/>
      <c r="D9" s="6"/>
      <c r="E9" s="44" t="str">
        <f>IFERROR(__xludf.DUMMYFUNCTION("""COMPUTED_VALUE"""),"Школа Бескудниково")</f>
        <v>Школа Бескудниково</v>
      </c>
      <c r="F9" s="46" t="s">
        <v>81</v>
      </c>
      <c r="G9" s="46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>
      <c r="A10" s="43" t="s">
        <v>82</v>
      </c>
      <c r="B10" s="44" t="s">
        <v>83</v>
      </c>
      <c r="C10" s="45"/>
      <c r="D10" s="6"/>
      <c r="E10" s="44" t="str">
        <f>IFERROR(__xludf.DUMMYFUNCTION("""COMPUTED_VALUE"""),"Школа в Капотне")</f>
        <v>Школа в Капотне</v>
      </c>
      <c r="F10" s="46" t="s">
        <v>84</v>
      </c>
      <c r="G10" s="46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>
      <c r="A11" s="43" t="s">
        <v>85</v>
      </c>
      <c r="B11" s="44" t="s">
        <v>86</v>
      </c>
      <c r="C11" s="45"/>
      <c r="D11" s="6"/>
      <c r="E11" s="44" t="str">
        <f>IFERROR(__xludf.DUMMYFUNCTION("""COMPUTED_VALUE"""),"Школа им. Артема Боровика")</f>
        <v>Школа им. Артема Боровика</v>
      </c>
      <c r="F11" s="46" t="s">
        <v>87</v>
      </c>
      <c r="G11" s="46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43" t="s">
        <v>88</v>
      </c>
      <c r="B12" s="44" t="s">
        <v>89</v>
      </c>
      <c r="C12" s="45"/>
      <c r="D12" s="6"/>
      <c r="E12" s="44" t="str">
        <f>IFERROR(__xludf.DUMMYFUNCTION("""COMPUTED_VALUE"""),"Школа им. В. В. Маяковского")</f>
        <v>Школа им. В. В. Маяковского</v>
      </c>
      <c r="F12" s="46" t="s">
        <v>90</v>
      </c>
      <c r="G12" s="46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>
      <c r="A13" s="43" t="s">
        <v>91</v>
      </c>
      <c r="B13" s="44" t="s">
        <v>92</v>
      </c>
      <c r="C13" s="45"/>
      <c r="D13" s="6"/>
      <c r="E13" s="44" t="str">
        <f>IFERROR(__xludf.DUMMYFUNCTION("""COMPUTED_VALUE"""),"Школа им. Ф. М. Достоевского")</f>
        <v>Школа им. Ф. М. Достоевского</v>
      </c>
      <c r="F13" s="46" t="s">
        <v>93</v>
      </c>
      <c r="G13" s="46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>
      <c r="A14" s="43" t="s">
        <v>94</v>
      </c>
      <c r="B14" s="44" t="s">
        <v>95</v>
      </c>
      <c r="C14" s="45"/>
      <c r="D14" s="6"/>
      <c r="E14" s="44" t="str">
        <f>IFERROR(__xludf.DUMMYFUNCTION("""COMPUTED_VALUE"""),"Школа им. Н. М. Карамзина")</f>
        <v>Школа им. Н. М. Карамзина</v>
      </c>
      <c r="F14" s="46" t="s">
        <v>96</v>
      </c>
      <c r="G14" s="46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>
      <c r="A15" s="43" t="s">
        <v>97</v>
      </c>
      <c r="B15" s="44" t="s">
        <v>98</v>
      </c>
      <c r="C15" s="45"/>
      <c r="D15" s="6"/>
      <c r="E15" s="44" t="str">
        <f>IFERROR(__xludf.DUMMYFUNCTION("""COMPUTED_VALUE"""),"Школа Интеграл")</f>
        <v>Школа Интеграл</v>
      </c>
      <c r="F15" s="46" t="s">
        <v>99</v>
      </c>
      <c r="G15" s="46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>
      <c r="A16" s="43" t="s">
        <v>100</v>
      </c>
      <c r="B16" s="44" t="s">
        <v>101</v>
      </c>
      <c r="C16" s="45"/>
      <c r="D16" s="6"/>
      <c r="E16" s="44" t="str">
        <f>IFERROR(__xludf.DUMMYFUNCTION("""COMPUTED_VALUE"""),"Школа Интеллектуал")</f>
        <v>Школа Интеллектуал</v>
      </c>
      <c r="F16" s="46" t="s">
        <v>102</v>
      </c>
      <c r="G16" s="46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43" t="s">
        <v>103</v>
      </c>
      <c r="B17" s="44" t="s">
        <v>104</v>
      </c>
      <c r="C17" s="45"/>
      <c r="D17" s="6"/>
      <c r="E17" s="44" t="str">
        <f>IFERROR(__xludf.DUMMYFUNCTION("""COMPUTED_VALUE"""),"Школа Кузьминки")</f>
        <v>Школа Кузьминки</v>
      </c>
      <c r="F17" s="46" t="s">
        <v>105</v>
      </c>
      <c r="G17" s="46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>
      <c r="A18" s="43" t="s">
        <v>106</v>
      </c>
      <c r="B18" s="44" t="s">
        <v>107</v>
      </c>
      <c r="C18" s="45"/>
      <c r="D18" s="6"/>
      <c r="E18" s="44" t="str">
        <f>IFERROR(__xludf.DUMMYFUNCTION("""COMPUTED_VALUE"""),"Школа Марьина Роща им. В. Ф. Орлова")</f>
        <v>Школа Марьина Роща им. В. Ф. Орлова</v>
      </c>
      <c r="F18" s="46" t="s">
        <v>108</v>
      </c>
      <c r="G18" s="46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>
      <c r="A19" s="43" t="s">
        <v>109</v>
      </c>
      <c r="B19" s="44" t="s">
        <v>110</v>
      </c>
      <c r="C19" s="45"/>
      <c r="D19" s="6"/>
      <c r="E19" s="44" t="str">
        <f>IFERROR(__xludf.DUMMYFUNCTION("""COMPUTED_VALUE"""),"Школа Марьино им. маршала авиации А. Е. Голованова")</f>
        <v>Школа Марьино им. маршала авиации А. Е. Голованова</v>
      </c>
      <c r="F19" s="46" t="s">
        <v>111</v>
      </c>
      <c r="G19" s="46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>
      <c r="A20" s="43" t="s">
        <v>112</v>
      </c>
      <c r="B20" s="44" t="s">
        <v>113</v>
      </c>
      <c r="C20" s="45"/>
      <c r="D20" s="6"/>
      <c r="E20" s="44" t="str">
        <f>IFERROR(__xludf.DUMMYFUNCTION("""COMPUTED_VALUE"""),"Школа Многопрофильный комплекс Бибирево")</f>
        <v>Школа Многопрофильный комплекс Бибирево</v>
      </c>
      <c r="F20" s="46" t="s">
        <v>114</v>
      </c>
      <c r="G20" s="46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>
      <c r="A21" s="43" t="s">
        <v>115</v>
      </c>
      <c r="B21" s="44" t="s">
        <v>116</v>
      </c>
      <c r="C21" s="45"/>
      <c r="D21" s="6"/>
      <c r="E21" s="44" t="str">
        <f>IFERROR(__xludf.DUMMYFUNCTION("""COMPUTED_VALUE"""),"Школа на проспекте Вернадского")</f>
        <v>Школа на проспекте Вернадского</v>
      </c>
      <c r="F21" s="46" t="s">
        <v>117</v>
      </c>
      <c r="G21" s="46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43" t="s">
        <v>118</v>
      </c>
      <c r="B22" s="44" t="s">
        <v>119</v>
      </c>
      <c r="C22" s="45"/>
      <c r="D22" s="6"/>
      <c r="E22" s="44" t="str">
        <f>IFERROR(__xludf.DUMMYFUNCTION("""COMPUTED_VALUE"""),"Школа на Юго-Востоке им. Маршала В. И. Чуйкова")</f>
        <v>Школа на Юго-Востоке им. Маршала В. И. Чуйкова</v>
      </c>
      <c r="F22" s="47" t="s">
        <v>120</v>
      </c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>
      <c r="A23" s="43" t="s">
        <v>121</v>
      </c>
      <c r="B23" s="44" t="s">
        <v>122</v>
      </c>
      <c r="C23" s="45"/>
      <c r="D23" s="6"/>
      <c r="E23" s="44" t="str">
        <f>IFERROR(__xludf.DUMMYFUNCTION("""COMPUTED_VALUE"""),"Школа на Яузе")</f>
        <v>Школа на Яузе</v>
      </c>
      <c r="F23" s="47" t="s">
        <v>123</v>
      </c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>
      <c r="A24" s="43" t="s">
        <v>124</v>
      </c>
      <c r="B24" s="44" t="s">
        <v>125</v>
      </c>
      <c r="C24" s="45"/>
      <c r="D24" s="6"/>
      <c r="E24" s="44" t="str">
        <f>IFERROR(__xludf.DUMMYFUNCTION("""COMPUTED_VALUE"""),"Школа Перспектива")</f>
        <v>Школа Перспектива</v>
      </c>
      <c r="F24" s="47" t="s">
        <v>126</v>
      </c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>
      <c r="A25" s="43" t="s">
        <v>127</v>
      </c>
      <c r="B25" s="44" t="s">
        <v>128</v>
      </c>
      <c r="C25" s="45"/>
      <c r="D25" s="6"/>
      <c r="E25" s="44" t="str">
        <f>IFERROR(__xludf.DUMMYFUNCTION("""COMPUTED_VALUE"""),"Школа Покровский квартал")</f>
        <v>Школа Покровский квартал</v>
      </c>
      <c r="F25" s="47" t="s">
        <v>129</v>
      </c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>
      <c r="A26" s="43" t="s">
        <v>130</v>
      </c>
      <c r="B26" s="44" t="s">
        <v>131</v>
      </c>
      <c r="C26" s="45"/>
      <c r="D26" s="6"/>
      <c r="E26" s="44" t="str">
        <f>IFERROR(__xludf.DUMMYFUNCTION("""COMPUTED_VALUE"""),"Школа Свиблово")</f>
        <v>Школа Свиблово</v>
      </c>
      <c r="F26" s="47" t="s">
        <v>132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43" t="s">
        <v>133</v>
      </c>
      <c r="B27" s="44" t="s">
        <v>134</v>
      </c>
      <c r="C27" s="45"/>
      <c r="D27" s="6"/>
      <c r="E27" s="44" t="str">
        <f>IFERROR(__xludf.DUMMYFUNCTION("""COMPUTED_VALUE"""),"Школа Содружество")</f>
        <v>Школа Содружество</v>
      </c>
      <c r="F27" s="47" t="s">
        <v>135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>
      <c r="A28" s="43" t="s">
        <v>136</v>
      </c>
      <c r="B28" s="44" t="s">
        <v>137</v>
      </c>
      <c r="C28" s="45"/>
      <c r="D28" s="6"/>
      <c r="E28" s="44" t="str">
        <f>IFERROR(__xludf.DUMMYFUNCTION("""COMPUTED_VALUE"""),"Школа Спектр")</f>
        <v>Школа Спектр</v>
      </c>
      <c r="F28" s="47" t="s">
        <v>138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>
      <c r="A29" s="43" t="s">
        <v>139</v>
      </c>
      <c r="B29" s="44" t="s">
        <v>140</v>
      </c>
      <c r="C29" s="45"/>
      <c r="D29" s="6"/>
      <c r="E29" s="44" t="str">
        <f>IFERROR(__xludf.DUMMYFUNCTION("""COMPUTED_VALUE"""),"Школа Тропарево")</f>
        <v>Школа Тропарево</v>
      </c>
      <c r="F29" s="47" t="s">
        <v>141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>
      <c r="A30" s="43" t="s">
        <v>142</v>
      </c>
      <c r="B30" s="44" t="s">
        <v>143</v>
      </c>
      <c r="C30" s="45"/>
      <c r="D30" s="6"/>
      <c r="E30" s="44" t="str">
        <f>IFERROR(__xludf.DUMMYFUNCTION("""COMPUTED_VALUE"""),"Школа Глория")</f>
        <v>Школа Глория</v>
      </c>
      <c r="F30" s="47" t="s">
        <v>144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>
      <c r="A31" s="43" t="s">
        <v>145</v>
      </c>
      <c r="B31" s="44" t="s">
        <v>146</v>
      </c>
      <c r="C31" s="45"/>
      <c r="D31" s="6"/>
      <c r="E31" s="44" t="str">
        <f>IFERROR(__xludf.DUMMYFUNCTION("""COMPUTED_VALUE"""),"Школа Новокосино им. Героя Советского Союза адмирала А. П. Михайловского")</f>
        <v>Школа Новокосино им. Героя Советского Союза адмирала А. П. Михайловского</v>
      </c>
      <c r="F31" s="47" t="s">
        <v>147</v>
      </c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43" t="s">
        <v>148</v>
      </c>
      <c r="B32" s="44" t="s">
        <v>149</v>
      </c>
      <c r="C32" s="45"/>
      <c r="D32" s="6"/>
      <c r="E32" s="44" t="str">
        <f>IFERROR(__xludf.DUMMYFUNCTION("""COMPUTED_VALUE"""),"Школа 1")</f>
        <v>Школа 1</v>
      </c>
      <c r="F32" s="47" t="s">
        <v>150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>
      <c r="A33" s="43" t="s">
        <v>151</v>
      </c>
      <c r="B33" s="44" t="s">
        <v>152</v>
      </c>
      <c r="C33" s="45"/>
      <c r="D33" s="6"/>
      <c r="E33" s="44" t="str">
        <f>IFERROR(__xludf.DUMMYFUNCTION("""COMPUTED_VALUE"""),"Лицей Вторая школа")</f>
        <v>Лицей Вторая школа</v>
      </c>
      <c r="F33" s="47" t="s">
        <v>153</v>
      </c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>
      <c r="A34" s="43" t="s">
        <v>154</v>
      </c>
      <c r="B34" s="44" t="s">
        <v>155</v>
      </c>
      <c r="C34" s="45"/>
      <c r="D34" s="6"/>
      <c r="E34" s="44" t="str">
        <f>IFERROR(__xludf.DUMMYFUNCTION("""COMPUTED_VALUE"""),"Школа 7")</f>
        <v>Школа 7</v>
      </c>
      <c r="F34" s="47" t="s">
        <v>156</v>
      </c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>
      <c r="A35" s="43" t="s">
        <v>157</v>
      </c>
      <c r="B35" s="44" t="s">
        <v>158</v>
      </c>
      <c r="C35" s="45"/>
      <c r="D35" s="6"/>
      <c r="E35" s="44" t="str">
        <f>IFERROR(__xludf.DUMMYFUNCTION("""COMPUTED_VALUE"""),"Школа 14")</f>
        <v>Школа 14</v>
      </c>
      <c r="F35" s="47" t="s">
        <v>159</v>
      </c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>
      <c r="A36" s="43" t="s">
        <v>160</v>
      </c>
      <c r="B36" s="44" t="s">
        <v>161</v>
      </c>
      <c r="C36" s="45"/>
      <c r="D36" s="6"/>
      <c r="E36" s="44" t="str">
        <f>IFERROR(__xludf.DUMMYFUNCTION("""COMPUTED_VALUE"""),"Школа 15")</f>
        <v>Школа 15</v>
      </c>
      <c r="F36" s="47" t="s">
        <v>162</v>
      </c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43" t="s">
        <v>163</v>
      </c>
      <c r="B37" s="44" t="s">
        <v>164</v>
      </c>
      <c r="C37" s="45"/>
      <c r="D37" s="6"/>
      <c r="E37" s="44" t="str">
        <f>IFERROR(__xludf.DUMMYFUNCTION("""COMPUTED_VALUE"""),"Школа 17")</f>
        <v>Школа 17</v>
      </c>
      <c r="F37" s="47" t="s">
        <v>165</v>
      </c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>
      <c r="A38" s="43" t="s">
        <v>166</v>
      </c>
      <c r="B38" s="44" t="s">
        <v>167</v>
      </c>
      <c r="C38" s="45"/>
      <c r="D38" s="6"/>
      <c r="E38" s="44" t="str">
        <f>IFERROR(__xludf.DUMMYFUNCTION("""COMPUTED_VALUE"""),"Школа 30")</f>
        <v>Школа 30</v>
      </c>
      <c r="F38" s="47" t="s">
        <v>168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>
      <c r="A39" s="43" t="s">
        <v>169</v>
      </c>
      <c r="B39" s="44" t="s">
        <v>170</v>
      </c>
      <c r="C39" s="45"/>
      <c r="D39" s="6"/>
      <c r="E39" s="44" t="str">
        <f>IFERROR(__xludf.DUMMYFUNCTION("""COMPUTED_VALUE"""),"Школа 31")</f>
        <v>Школа 31</v>
      </c>
      <c r="F39" s="47" t="s">
        <v>171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>
      <c r="A40" s="43" t="s">
        <v>172</v>
      </c>
      <c r="B40" s="44" t="s">
        <v>173</v>
      </c>
      <c r="C40" s="45"/>
      <c r="D40" s="6"/>
      <c r="E40" s="44" t="str">
        <f>IFERROR(__xludf.DUMMYFUNCTION("""COMPUTED_VALUE"""),"Школа 32")</f>
        <v>Школа 32</v>
      </c>
      <c r="F40" s="47" t="s">
        <v>174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>
      <c r="A41" s="43" t="s">
        <v>175</v>
      </c>
      <c r="B41" s="44" t="s">
        <v>176</v>
      </c>
      <c r="C41" s="45"/>
      <c r="D41" s="6"/>
      <c r="E41" s="44" t="str">
        <f>IFERROR(__xludf.DUMMYFUNCTION("""COMPUTED_VALUE"""),"Школа 37")</f>
        <v>Школа 37</v>
      </c>
      <c r="F41" s="47" t="s">
        <v>177</v>
      </c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>
      <c r="A42" s="43" t="s">
        <v>178</v>
      </c>
      <c r="B42" s="44" t="s">
        <v>179</v>
      </c>
      <c r="C42" s="45"/>
      <c r="D42" s="6"/>
      <c r="E42" s="44" t="str">
        <f>IFERROR(__xludf.DUMMYFUNCTION("""COMPUTED_VALUE"""),"Школа 41")</f>
        <v>Школа 41</v>
      </c>
      <c r="F42" s="47" t="s">
        <v>180</v>
      </c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>
      <c r="A43" s="43" t="s">
        <v>181</v>
      </c>
      <c r="B43" s="44" t="s">
        <v>182</v>
      </c>
      <c r="C43" s="45"/>
      <c r="D43" s="6"/>
      <c r="E43" s="44" t="str">
        <f>IFERROR(__xludf.DUMMYFUNCTION("""COMPUTED_VALUE"""),"Школа 45")</f>
        <v>Школа 45</v>
      </c>
      <c r="F43" s="47" t="s">
        <v>183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>
      <c r="A44" s="43" t="s">
        <v>184</v>
      </c>
      <c r="B44" s="44" t="s">
        <v>185</v>
      </c>
      <c r="C44" s="45"/>
      <c r="D44" s="6"/>
      <c r="E44" s="44" t="str">
        <f>IFERROR(__xludf.DUMMYFUNCTION("""COMPUTED_VALUE"""),"Школа 46")</f>
        <v>Школа 46</v>
      </c>
      <c r="F44" s="47" t="s">
        <v>186</v>
      </c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>
      <c r="A45" s="43" t="s">
        <v>187</v>
      </c>
      <c r="B45" s="44" t="s">
        <v>188</v>
      </c>
      <c r="C45" s="45"/>
      <c r="D45" s="6"/>
      <c r="E45" s="44" t="str">
        <f>IFERROR(__xludf.DUMMYFUNCTION("""COMPUTED_VALUE"""),"Школа 49")</f>
        <v>Школа 49</v>
      </c>
      <c r="F45" s="47" t="s">
        <v>189</v>
      </c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>
      <c r="A46" s="43" t="s">
        <v>190</v>
      </c>
      <c r="B46" s="44" t="s">
        <v>191</v>
      </c>
      <c r="C46" s="45"/>
      <c r="D46" s="6"/>
      <c r="E46" s="44" t="str">
        <f>IFERROR(__xludf.DUMMYFUNCTION("""COMPUTED_VALUE"""),"Школа 51")</f>
        <v>Школа 51</v>
      </c>
      <c r="F46" s="47" t="s">
        <v>192</v>
      </c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>
      <c r="A47" s="43" t="s">
        <v>193</v>
      </c>
      <c r="B47" s="44" t="s">
        <v>194</v>
      </c>
      <c r="C47" s="45"/>
      <c r="D47" s="6"/>
      <c r="E47" s="44" t="str">
        <f>IFERROR(__xludf.DUMMYFUNCTION("""COMPUTED_VALUE"""),"Школа 56")</f>
        <v>Школа 56</v>
      </c>
      <c r="F47" s="47" t="s">
        <v>195</v>
      </c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>
      <c r="A48" s="43" t="s">
        <v>196</v>
      </c>
      <c r="B48" s="44" t="s">
        <v>197</v>
      </c>
      <c r="C48" s="45"/>
      <c r="D48" s="6"/>
      <c r="E48" s="44" t="str">
        <f>IFERROR(__xludf.DUMMYFUNCTION("""COMPUTED_VALUE"""),"Школа 57")</f>
        <v>Школа 57</v>
      </c>
      <c r="F48" s="47" t="s">
        <v>198</v>
      </c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>
      <c r="A49" s="43" t="s">
        <v>199</v>
      </c>
      <c r="B49" s="44" t="s">
        <v>200</v>
      </c>
      <c r="C49" s="45"/>
      <c r="D49" s="6"/>
      <c r="E49" s="44" t="str">
        <f>IFERROR(__xludf.DUMMYFUNCTION("""COMPUTED_VALUE"""),"Школа 58")</f>
        <v>Школа 58</v>
      </c>
      <c r="F49" s="47" t="s">
        <v>201</v>
      </c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>
      <c r="A50" s="43" t="s">
        <v>202</v>
      </c>
      <c r="B50" s="44" t="s">
        <v>203</v>
      </c>
      <c r="C50" s="45"/>
      <c r="D50" s="6"/>
      <c r="E50" s="44" t="str">
        <f>IFERROR(__xludf.DUMMYFUNCTION("""COMPUTED_VALUE"""),"Школа 64")</f>
        <v>Школа 64</v>
      </c>
      <c r="F50" s="47" t="s">
        <v>204</v>
      </c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>
      <c r="A51" s="43" t="s">
        <v>205</v>
      </c>
      <c r="B51" s="44" t="s">
        <v>206</v>
      </c>
      <c r="C51" s="45"/>
      <c r="D51" s="6"/>
      <c r="E51" s="44" t="str">
        <f>IFERROR(__xludf.DUMMYFUNCTION("""COMPUTED_VALUE"""),"Школа 67")</f>
        <v>Школа 67</v>
      </c>
      <c r="F51" s="47" t="s">
        <v>207</v>
      </c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>
      <c r="A52" s="43" t="s">
        <v>208</v>
      </c>
      <c r="B52" s="44" t="s">
        <v>209</v>
      </c>
      <c r="C52" s="45"/>
      <c r="D52" s="6"/>
      <c r="E52" s="44" t="str">
        <f>IFERROR(__xludf.DUMMYFUNCTION("""COMPUTED_VALUE"""),"Школа 69")</f>
        <v>Школа 69</v>
      </c>
      <c r="F52" s="47" t="s">
        <v>210</v>
      </c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>
      <c r="A53" s="43" t="s">
        <v>211</v>
      </c>
      <c r="B53" s="44" t="s">
        <v>212</v>
      </c>
      <c r="C53" s="45"/>
      <c r="D53" s="6"/>
      <c r="E53" s="44" t="str">
        <f>IFERROR(__xludf.DUMMYFUNCTION("""COMPUTED_VALUE"""),"Школа 86")</f>
        <v>Школа 86</v>
      </c>
      <c r="F53" s="47" t="s">
        <v>213</v>
      </c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>
      <c r="A54" s="43" t="s">
        <v>214</v>
      </c>
      <c r="B54" s="44" t="s">
        <v>215</v>
      </c>
      <c r="C54" s="45"/>
      <c r="D54" s="6"/>
      <c r="E54" s="44" t="str">
        <f>IFERROR(__xludf.DUMMYFUNCTION("""COMPUTED_VALUE"""),"Школа 88")</f>
        <v>Школа 88</v>
      </c>
      <c r="F54" s="47" t="s">
        <v>216</v>
      </c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>
      <c r="A55" s="43" t="s">
        <v>217</v>
      </c>
      <c r="B55" s="44" t="s">
        <v>218</v>
      </c>
      <c r="C55" s="45"/>
      <c r="D55" s="6"/>
      <c r="E55" s="44" t="str">
        <f>IFERROR(__xludf.DUMMYFUNCTION("""COMPUTED_VALUE"""),"Школа 89")</f>
        <v>Школа 89</v>
      </c>
      <c r="F55" s="47" t="s">
        <v>219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>
      <c r="A56" s="43" t="s">
        <v>220</v>
      </c>
      <c r="B56" s="44" t="s">
        <v>221</v>
      </c>
      <c r="C56" s="45"/>
      <c r="D56" s="6"/>
      <c r="E56" s="44" t="str">
        <f>IFERROR(__xludf.DUMMYFUNCTION("""COMPUTED_VALUE"""),"Школа 90")</f>
        <v>Школа 90</v>
      </c>
      <c r="F56" s="47" t="s">
        <v>222</v>
      </c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>
      <c r="A57" s="43" t="s">
        <v>223</v>
      </c>
      <c r="B57" s="44" t="s">
        <v>224</v>
      </c>
      <c r="C57" s="45"/>
      <c r="D57" s="6"/>
      <c r="E57" s="44" t="str">
        <f>IFERROR(__xludf.DUMMYFUNCTION("""COMPUTED_VALUE"""),"Школа 91")</f>
        <v>Школа 91</v>
      </c>
      <c r="F57" s="47" t="s">
        <v>225</v>
      </c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>
      <c r="A58" s="43" t="s">
        <v>226</v>
      </c>
      <c r="B58" s="44" t="s">
        <v>227</v>
      </c>
      <c r="C58" s="45"/>
      <c r="D58" s="6"/>
      <c r="E58" s="44" t="str">
        <f>IFERROR(__xludf.DUMMYFUNCTION("""COMPUTED_VALUE"""),"Школа 97")</f>
        <v>Школа 97</v>
      </c>
      <c r="F58" s="47" t="s">
        <v>228</v>
      </c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>
      <c r="A59" s="43" t="s">
        <v>229</v>
      </c>
      <c r="B59" s="44" t="s">
        <v>230</v>
      </c>
      <c r="C59" s="45"/>
      <c r="D59" s="6"/>
      <c r="E59" s="44" t="str">
        <f>IFERROR(__xludf.DUMMYFUNCTION("""COMPUTED_VALUE"""),"Школа 109")</f>
        <v>Школа 109</v>
      </c>
      <c r="F59" s="47" t="s">
        <v>231</v>
      </c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>
      <c r="A60" s="43" t="s">
        <v>232</v>
      </c>
      <c r="B60" s="44" t="s">
        <v>233</v>
      </c>
      <c r="C60" s="45"/>
      <c r="D60" s="6"/>
      <c r="E60" s="44" t="str">
        <f>IFERROR(__xludf.DUMMYFUNCTION("""COMPUTED_VALUE"""),"Школа 113")</f>
        <v>Школа 113</v>
      </c>
      <c r="F60" s="47" t="s">
        <v>234</v>
      </c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>
      <c r="A61" s="43" t="s">
        <v>235</v>
      </c>
      <c r="B61" s="44" t="s">
        <v>236</v>
      </c>
      <c r="C61" s="45"/>
      <c r="D61" s="6"/>
      <c r="E61" s="44" t="str">
        <f>IFERROR(__xludf.DUMMYFUNCTION("""COMPUTED_VALUE"""),"Школа 117")</f>
        <v>Школа 117</v>
      </c>
      <c r="F61" s="47" t="s">
        <v>237</v>
      </c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>
      <c r="A62" s="43" t="s">
        <v>238</v>
      </c>
      <c r="B62" s="44" t="s">
        <v>239</v>
      </c>
      <c r="C62" s="45"/>
      <c r="D62" s="6"/>
      <c r="E62" s="44" t="str">
        <f>IFERROR(__xludf.DUMMYFUNCTION("""COMPUTED_VALUE"""),"Школа 118")</f>
        <v>Школа 118</v>
      </c>
      <c r="F62" s="47" t="s">
        <v>240</v>
      </c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>
      <c r="A63" s="43" t="s">
        <v>241</v>
      </c>
      <c r="B63" s="44" t="s">
        <v>242</v>
      </c>
      <c r="C63" s="45"/>
      <c r="D63" s="6"/>
      <c r="E63" s="44" t="str">
        <f>IFERROR(__xludf.DUMMYFUNCTION("""COMPUTED_VALUE"""),"Школа 121")</f>
        <v>Школа 121</v>
      </c>
      <c r="F63" s="47" t="s">
        <v>243</v>
      </c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>
      <c r="A64" s="43" t="s">
        <v>244</v>
      </c>
      <c r="B64" s="44" t="s">
        <v>245</v>
      </c>
      <c r="C64" s="45"/>
      <c r="D64" s="6"/>
      <c r="E64" s="44" t="str">
        <f>IFERROR(__xludf.DUMMYFUNCTION("""COMPUTED_VALUE"""),"Школа 123")</f>
        <v>Школа 123</v>
      </c>
      <c r="F64" s="47" t="s">
        <v>246</v>
      </c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>
      <c r="A65" s="43" t="s">
        <v>247</v>
      </c>
      <c r="B65" s="44" t="s">
        <v>248</v>
      </c>
      <c r="C65" s="45"/>
      <c r="D65" s="6"/>
      <c r="E65" s="44" t="str">
        <f>IFERROR(__xludf.DUMMYFUNCTION("""COMPUTED_VALUE"""),"Школа 138")</f>
        <v>Школа 138</v>
      </c>
      <c r="F65" s="47" t="s">
        <v>249</v>
      </c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>
      <c r="A66" s="43" t="s">
        <v>250</v>
      </c>
      <c r="B66" s="44" t="s">
        <v>251</v>
      </c>
      <c r="C66" s="45"/>
      <c r="D66" s="6"/>
      <c r="E66" s="44" t="str">
        <f>IFERROR(__xludf.DUMMYFUNCTION("""COMPUTED_VALUE"""),"Школа 141")</f>
        <v>Школа 141</v>
      </c>
      <c r="F66" s="47" t="s">
        <v>252</v>
      </c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>
      <c r="A67" s="43" t="s">
        <v>253</v>
      </c>
      <c r="B67" s="44" t="s">
        <v>254</v>
      </c>
      <c r="C67" s="45"/>
      <c r="D67" s="6"/>
      <c r="E67" s="44" t="str">
        <f>IFERROR(__xludf.DUMMYFUNCTION("""COMPUTED_VALUE"""),"Школа 149")</f>
        <v>Школа 149</v>
      </c>
      <c r="F67" s="47" t="s">
        <v>255</v>
      </c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>
      <c r="A68" s="43" t="s">
        <v>256</v>
      </c>
      <c r="B68" s="44" t="s">
        <v>257</v>
      </c>
      <c r="C68" s="45"/>
      <c r="D68" s="6"/>
      <c r="E68" s="44" t="str">
        <f>IFERROR(__xludf.DUMMYFUNCTION("""COMPUTED_VALUE"""),"Школа 152")</f>
        <v>Школа 152</v>
      </c>
      <c r="F68" s="47" t="s">
        <v>258</v>
      </c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>
      <c r="A69" s="43" t="s">
        <v>259</v>
      </c>
      <c r="B69" s="44" t="s">
        <v>260</v>
      </c>
      <c r="C69" s="45"/>
      <c r="D69" s="6"/>
      <c r="E69" s="44" t="str">
        <f>IFERROR(__xludf.DUMMYFUNCTION("""COMPUTED_VALUE"""),"Школа 158")</f>
        <v>Школа 158</v>
      </c>
      <c r="F69" s="47" t="s">
        <v>261</v>
      </c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>
      <c r="A70" s="43" t="s">
        <v>262</v>
      </c>
      <c r="B70" s="44" t="s">
        <v>263</v>
      </c>
      <c r="C70" s="45"/>
      <c r="D70" s="6"/>
      <c r="E70" s="44" t="str">
        <f>IFERROR(__xludf.DUMMYFUNCTION("""COMPUTED_VALUE"""),"Школа 167")</f>
        <v>Школа 167</v>
      </c>
      <c r="F70" s="47" t="s">
        <v>264</v>
      </c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>
      <c r="A71" s="43" t="s">
        <v>265</v>
      </c>
      <c r="B71" s="44" t="s">
        <v>266</v>
      </c>
      <c r="C71" s="45"/>
      <c r="D71" s="6"/>
      <c r="E71" s="44" t="str">
        <f>IFERROR(__xludf.DUMMYFUNCTION("""COMPUTED_VALUE"""),"Школа 170")</f>
        <v>Школа 170</v>
      </c>
      <c r="F71" s="47" t="s">
        <v>267</v>
      </c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>
      <c r="A72" s="43" t="s">
        <v>268</v>
      </c>
      <c r="B72" s="44" t="s">
        <v>269</v>
      </c>
      <c r="C72" s="45"/>
      <c r="D72" s="6"/>
      <c r="E72" s="44" t="str">
        <f>IFERROR(__xludf.DUMMYFUNCTION("""COMPUTED_VALUE"""),"Школа 171")</f>
        <v>Школа 171</v>
      </c>
      <c r="F72" s="47" t="s">
        <v>270</v>
      </c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>
      <c r="A73" s="43" t="s">
        <v>271</v>
      </c>
      <c r="B73" s="44" t="s">
        <v>272</v>
      </c>
      <c r="C73" s="45"/>
      <c r="D73" s="6"/>
      <c r="E73" s="44" t="str">
        <f>IFERROR(__xludf.DUMMYFUNCTION("""COMPUTED_VALUE"""),"Школа 179")</f>
        <v>Школа 179</v>
      </c>
      <c r="F73" s="47" t="s">
        <v>273</v>
      </c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>
      <c r="A74" s="43" t="s">
        <v>274</v>
      </c>
      <c r="B74" s="44" t="s">
        <v>275</v>
      </c>
      <c r="C74" s="45"/>
      <c r="D74" s="6"/>
      <c r="E74" s="44" t="str">
        <f>IFERROR(__xludf.DUMMYFUNCTION("""COMPUTED_VALUE"""),"Школа 183")</f>
        <v>Школа 183</v>
      </c>
      <c r="F74" s="47" t="s">
        <v>276</v>
      </c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>
      <c r="A75" s="43" t="s">
        <v>277</v>
      </c>
      <c r="B75" s="44" t="s">
        <v>278</v>
      </c>
      <c r="C75" s="45"/>
      <c r="D75" s="6"/>
      <c r="E75" s="44" t="str">
        <f>IFERROR(__xludf.DUMMYFUNCTION("""COMPUTED_VALUE"""),"Школа 185")</f>
        <v>Школа 185</v>
      </c>
      <c r="F75" s="47" t="s">
        <v>279</v>
      </c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>
      <c r="A76" s="43" t="s">
        <v>280</v>
      </c>
      <c r="B76" s="44" t="s">
        <v>281</v>
      </c>
      <c r="C76" s="45"/>
      <c r="D76" s="6"/>
      <c r="E76" s="44" t="str">
        <f>IFERROR(__xludf.DUMMYFUNCTION("""COMPUTED_VALUE"""),"Школа 192")</f>
        <v>Школа 192</v>
      </c>
      <c r="F76" s="47" t="s">
        <v>282</v>
      </c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>
      <c r="A77" s="43" t="s">
        <v>283</v>
      </c>
      <c r="B77" s="44" t="s">
        <v>284</v>
      </c>
      <c r="C77" s="45"/>
      <c r="D77" s="6"/>
      <c r="E77" s="44" t="str">
        <f>IFERROR(__xludf.DUMMYFUNCTION("""COMPUTED_VALUE"""),"Школа 199")</f>
        <v>Школа 199</v>
      </c>
      <c r="F77" s="47" t="s">
        <v>285</v>
      </c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>
      <c r="A78" s="43" t="s">
        <v>286</v>
      </c>
      <c r="B78" s="44" t="s">
        <v>287</v>
      </c>
      <c r="C78" s="48" t="s">
        <v>288</v>
      </c>
      <c r="D78" s="6"/>
      <c r="E78" s="44" t="str">
        <f>IFERROR(__xludf.DUMMYFUNCTION("""COMPUTED_VALUE"""),"Школа 201")</f>
        <v>Школа 201</v>
      </c>
      <c r="F78" s="47" t="s">
        <v>289</v>
      </c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>
      <c r="A79" s="43" t="s">
        <v>290</v>
      </c>
      <c r="B79" s="44" t="s">
        <v>291</v>
      </c>
      <c r="C79" s="48" t="s">
        <v>292</v>
      </c>
      <c r="D79" s="6"/>
      <c r="E79" s="44" t="str">
        <f>IFERROR(__xludf.DUMMYFUNCTION("""COMPUTED_VALUE"""),"Школа 218")</f>
        <v>Школа 218</v>
      </c>
      <c r="F79" s="47" t="s">
        <v>293</v>
      </c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>
      <c r="A80" s="43" t="s">
        <v>294</v>
      </c>
      <c r="B80" s="44" t="s">
        <v>295</v>
      </c>
      <c r="C80" s="48" t="s">
        <v>296</v>
      </c>
      <c r="D80" s="6"/>
      <c r="E80" s="44" t="str">
        <f>IFERROR(__xludf.DUMMYFUNCTION("""COMPUTED_VALUE"""),"Школа 222")</f>
        <v>Школа 222</v>
      </c>
      <c r="F80" s="47" t="s">
        <v>297</v>
      </c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>
      <c r="A81" s="43" t="s">
        <v>298</v>
      </c>
      <c r="B81" s="44" t="s">
        <v>299</v>
      </c>
      <c r="C81" s="48" t="s">
        <v>300</v>
      </c>
      <c r="D81" s="6"/>
      <c r="E81" s="44" t="str">
        <f>IFERROR(__xludf.DUMMYFUNCTION("""COMPUTED_VALUE"""),"Школа 224")</f>
        <v>Школа 224</v>
      </c>
      <c r="F81" s="47" t="s">
        <v>301</v>
      </c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>
      <c r="A82" s="43" t="s">
        <v>302</v>
      </c>
      <c r="B82" s="44" t="s">
        <v>303</v>
      </c>
      <c r="C82" s="48" t="s">
        <v>304</v>
      </c>
      <c r="D82" s="6"/>
      <c r="E82" s="44" t="str">
        <f>IFERROR(__xludf.DUMMYFUNCTION("""COMPUTED_VALUE"""),"Школа 236")</f>
        <v>Школа 236</v>
      </c>
      <c r="F82" s="47" t="s">
        <v>305</v>
      </c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>
      <c r="A83" s="43" t="s">
        <v>306</v>
      </c>
      <c r="B83" s="44" t="s">
        <v>307</v>
      </c>
      <c r="C83" s="48" t="s">
        <v>308</v>
      </c>
      <c r="D83" s="6"/>
      <c r="E83" s="44" t="str">
        <f>IFERROR(__xludf.DUMMYFUNCTION("""COMPUTED_VALUE"""),"Школа 281")</f>
        <v>Школа 281</v>
      </c>
      <c r="F83" s="47" t="s">
        <v>309</v>
      </c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>
      <c r="A84" s="43" t="s">
        <v>310</v>
      </c>
      <c r="B84" s="44" t="s">
        <v>311</v>
      </c>
      <c r="C84" s="48" t="s">
        <v>312</v>
      </c>
      <c r="D84" s="6"/>
      <c r="E84" s="44" t="str">
        <f>IFERROR(__xludf.DUMMYFUNCTION("""COMPUTED_VALUE"""),"Школа 283")</f>
        <v>Школа 283</v>
      </c>
      <c r="F84" s="47" t="s">
        <v>313</v>
      </c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>
      <c r="A85" s="43" t="s">
        <v>314</v>
      </c>
      <c r="B85" s="44" t="s">
        <v>315</v>
      </c>
      <c r="C85" s="48" t="s">
        <v>316</v>
      </c>
      <c r="D85" s="6"/>
      <c r="E85" s="44" t="str">
        <f>IFERROR(__xludf.DUMMYFUNCTION("""COMPUTED_VALUE"""),"Школа 285")</f>
        <v>Школа 285</v>
      </c>
      <c r="F85" s="47" t="s">
        <v>317</v>
      </c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>
      <c r="A86" s="43" t="s">
        <v>318</v>
      </c>
      <c r="B86" s="44" t="s">
        <v>319</v>
      </c>
      <c r="C86" s="48" t="s">
        <v>320</v>
      </c>
      <c r="D86" s="6"/>
      <c r="E86" s="44" t="str">
        <f>IFERROR(__xludf.DUMMYFUNCTION("""COMPUTED_VALUE"""),"Школа 293")</f>
        <v>Школа 293</v>
      </c>
      <c r="F86" s="47" t="s">
        <v>321</v>
      </c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>
      <c r="A87" s="43" t="s">
        <v>322</v>
      </c>
      <c r="B87" s="44" t="s">
        <v>323</v>
      </c>
      <c r="C87" s="45"/>
      <c r="D87" s="6"/>
      <c r="E87" s="44" t="str">
        <f>IFERROR(__xludf.DUMMYFUNCTION("""COMPUTED_VALUE"""),"Школа 305")</f>
        <v>Школа 305</v>
      </c>
      <c r="F87" s="47" t="s">
        <v>324</v>
      </c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>
      <c r="A88" s="43" t="s">
        <v>325</v>
      </c>
      <c r="B88" s="44" t="s">
        <v>326</v>
      </c>
      <c r="C88" s="45"/>
      <c r="D88" s="6"/>
      <c r="E88" s="44" t="str">
        <f>IFERROR(__xludf.DUMMYFUNCTION("""COMPUTED_VALUE"""),"Школа 315")</f>
        <v>Школа 315</v>
      </c>
      <c r="F88" s="47" t="s">
        <v>327</v>
      </c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>
      <c r="A89" s="43" t="s">
        <v>328</v>
      </c>
      <c r="B89" s="44" t="s">
        <v>329</v>
      </c>
      <c r="C89" s="45"/>
      <c r="D89" s="6"/>
      <c r="E89" s="44" t="str">
        <f>IFERROR(__xludf.DUMMYFUNCTION("""COMPUTED_VALUE"""),"Школа 319")</f>
        <v>Школа 319</v>
      </c>
      <c r="F89" s="47" t="s">
        <v>330</v>
      </c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>
      <c r="A90" s="43" t="s">
        <v>331</v>
      </c>
      <c r="B90" s="44" t="s">
        <v>332</v>
      </c>
      <c r="C90" s="45"/>
      <c r="D90" s="6"/>
      <c r="E90" s="44" t="str">
        <f>IFERROR(__xludf.DUMMYFUNCTION("""COMPUTED_VALUE"""),"Школа 324")</f>
        <v>Школа 324</v>
      </c>
      <c r="F90" s="47" t="s">
        <v>333</v>
      </c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>
      <c r="A91" s="43" t="s">
        <v>334</v>
      </c>
      <c r="B91" s="44" t="s">
        <v>335</v>
      </c>
      <c r="C91" s="45"/>
      <c r="D91" s="6"/>
      <c r="E91" s="44" t="str">
        <f>IFERROR(__xludf.DUMMYFUNCTION("""COMPUTED_VALUE"""),"Школа 338")</f>
        <v>Школа 338</v>
      </c>
      <c r="F91" s="47" t="s">
        <v>336</v>
      </c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>
      <c r="A92" s="43" t="s">
        <v>337</v>
      </c>
      <c r="B92" s="44" t="s">
        <v>338</v>
      </c>
      <c r="C92" s="45"/>
      <c r="D92" s="6"/>
      <c r="E92" s="44" t="str">
        <f>IFERROR(__xludf.DUMMYFUNCTION("""COMPUTED_VALUE"""),"Школа 345")</f>
        <v>Школа 345</v>
      </c>
      <c r="F92" s="47" t="s">
        <v>339</v>
      </c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>
      <c r="A93" s="43" t="s">
        <v>340</v>
      </c>
      <c r="B93" s="44" t="s">
        <v>341</v>
      </c>
      <c r="C93" s="48" t="s">
        <v>342</v>
      </c>
      <c r="D93" s="6"/>
      <c r="E93" s="44" t="str">
        <f>IFERROR(__xludf.DUMMYFUNCTION("""COMPUTED_VALUE"""),"Школа 354")</f>
        <v>Школа 354</v>
      </c>
      <c r="F93" s="47" t="s">
        <v>343</v>
      </c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>
      <c r="A94" s="43" t="s">
        <v>344</v>
      </c>
      <c r="B94" s="44" t="s">
        <v>345</v>
      </c>
      <c r="C94" s="48" t="s">
        <v>346</v>
      </c>
      <c r="D94" s="6"/>
      <c r="E94" s="44" t="str">
        <f>IFERROR(__xludf.DUMMYFUNCTION("""COMPUTED_VALUE"""),"Школа 368")</f>
        <v>Школа 368</v>
      </c>
      <c r="F94" s="47" t="s">
        <v>347</v>
      </c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>
      <c r="A95" s="43" t="s">
        <v>348</v>
      </c>
      <c r="B95" s="44" t="s">
        <v>349</v>
      </c>
      <c r="C95" s="48" t="s">
        <v>350</v>
      </c>
      <c r="D95" s="6"/>
      <c r="E95" s="44" t="str">
        <f>IFERROR(__xludf.DUMMYFUNCTION("""COMPUTED_VALUE"""),"Школа 374")</f>
        <v>Школа 374</v>
      </c>
      <c r="F95" s="47" t="s">
        <v>351</v>
      </c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>
      <c r="A96" s="43" t="s">
        <v>352</v>
      </c>
      <c r="B96" s="44" t="s">
        <v>353</v>
      </c>
      <c r="C96" s="48" t="s">
        <v>354</v>
      </c>
      <c r="D96" s="6"/>
      <c r="E96" s="44" t="str">
        <f>IFERROR(__xludf.DUMMYFUNCTION("""COMPUTED_VALUE"""),"Школа 384")</f>
        <v>Школа 384</v>
      </c>
      <c r="F96" s="47" t="s">
        <v>355</v>
      </c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>
      <c r="A97" s="43" t="s">
        <v>356</v>
      </c>
      <c r="B97" s="44" t="s">
        <v>357</v>
      </c>
      <c r="C97" s="45"/>
      <c r="D97" s="6"/>
      <c r="E97" s="44" t="str">
        <f>IFERROR(__xludf.DUMMYFUNCTION("""COMPUTED_VALUE"""),"Школа 423")</f>
        <v>Школа 423</v>
      </c>
      <c r="F97" s="47" t="s">
        <v>358</v>
      </c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>
      <c r="A98" s="43" t="s">
        <v>359</v>
      </c>
      <c r="B98" s="44" t="s">
        <v>360</v>
      </c>
      <c r="C98" s="45"/>
      <c r="D98" s="6"/>
      <c r="E98" s="44" t="str">
        <f>IFERROR(__xludf.DUMMYFUNCTION("""COMPUTED_VALUE"""),"Школа 429")</f>
        <v>Школа 429</v>
      </c>
      <c r="F98" s="47" t="s">
        <v>361</v>
      </c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>
      <c r="A99" s="43" t="s">
        <v>362</v>
      </c>
      <c r="B99" s="44" t="s">
        <v>363</v>
      </c>
      <c r="C99" s="45"/>
      <c r="D99" s="6"/>
      <c r="E99" s="44" t="str">
        <f>IFERROR(__xludf.DUMMYFUNCTION("""COMPUTED_VALUE"""),"Школа 444")</f>
        <v>Школа 444</v>
      </c>
      <c r="F99" s="47" t="s">
        <v>364</v>
      </c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>
      <c r="A100" s="43" t="s">
        <v>365</v>
      </c>
      <c r="B100" s="44" t="s">
        <v>366</v>
      </c>
      <c r="C100" s="45"/>
      <c r="D100" s="6"/>
      <c r="E100" s="44" t="str">
        <f>IFERROR(__xludf.DUMMYFUNCTION("""COMPUTED_VALUE"""),"Школа 448")</f>
        <v>Школа 448</v>
      </c>
      <c r="F100" s="47" t="s">
        <v>367</v>
      </c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>
      <c r="A101" s="43" t="s">
        <v>368</v>
      </c>
      <c r="B101" s="44" t="s">
        <v>369</v>
      </c>
      <c r="C101" s="48" t="s">
        <v>370</v>
      </c>
      <c r="D101" s="6"/>
      <c r="E101" s="44" t="str">
        <f>IFERROR(__xludf.DUMMYFUNCTION("""COMPUTED_VALUE"""),"Школа 460")</f>
        <v>Школа 460</v>
      </c>
      <c r="F101" s="47" t="s">
        <v>371</v>
      </c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>
      <c r="A102" s="43" t="s">
        <v>372</v>
      </c>
      <c r="B102" s="44" t="s">
        <v>373</v>
      </c>
      <c r="C102" s="48" t="s">
        <v>374</v>
      </c>
      <c r="D102" s="6"/>
      <c r="E102" s="44" t="str">
        <f>IFERROR(__xludf.DUMMYFUNCTION("""COMPUTED_VALUE"""),"Школа 463")</f>
        <v>Школа 463</v>
      </c>
      <c r="F102" s="47" t="s">
        <v>375</v>
      </c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>
      <c r="A103" s="43" t="s">
        <v>376</v>
      </c>
      <c r="B103" s="44" t="s">
        <v>377</v>
      </c>
      <c r="C103" s="48" t="s">
        <v>378</v>
      </c>
      <c r="D103" s="6"/>
      <c r="E103" s="44" t="str">
        <f>IFERROR(__xludf.DUMMYFUNCTION("""COMPUTED_VALUE"""),"Школа 480")</f>
        <v>Школа 480</v>
      </c>
      <c r="F103" s="47" t="s">
        <v>379</v>
      </c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>
      <c r="A104" s="43" t="s">
        <v>380</v>
      </c>
      <c r="B104" s="44" t="s">
        <v>381</v>
      </c>
      <c r="C104" s="48" t="s">
        <v>382</v>
      </c>
      <c r="D104" s="6"/>
      <c r="E104" s="44" t="str">
        <f>IFERROR(__xludf.DUMMYFUNCTION("""COMPUTED_VALUE"""),"Школа 491")</f>
        <v>Школа 491</v>
      </c>
      <c r="F104" s="47" t="s">
        <v>383</v>
      </c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>
      <c r="A105" s="43" t="s">
        <v>384</v>
      </c>
      <c r="B105" s="44" t="s">
        <v>385</v>
      </c>
      <c r="C105" s="48" t="s">
        <v>386</v>
      </c>
      <c r="D105" s="6"/>
      <c r="E105" s="44" t="str">
        <f>IFERROR(__xludf.DUMMYFUNCTION("""COMPUTED_VALUE"""),"Школа 491")</f>
        <v>Школа 491</v>
      </c>
      <c r="F105" s="47" t="s">
        <v>387</v>
      </c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>
      <c r="A106" s="43" t="s">
        <v>388</v>
      </c>
      <c r="B106" s="49" t="s">
        <v>389</v>
      </c>
      <c r="C106" s="50">
        <v>109044.0</v>
      </c>
      <c r="D106" s="6"/>
      <c r="E106" s="44" t="str">
        <f>IFERROR(__xludf.DUMMYFUNCTION("""COMPUTED_VALUE"""),"Школа 498")</f>
        <v>Школа 498</v>
      </c>
      <c r="F106" s="47" t="s">
        <v>390</v>
      </c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>
      <c r="A107" s="43" t="s">
        <v>391</v>
      </c>
      <c r="B107" s="44" t="s">
        <v>392</v>
      </c>
      <c r="C107" s="45"/>
      <c r="D107" s="6"/>
      <c r="E107" s="44" t="str">
        <f>IFERROR(__xludf.DUMMYFUNCTION("""COMPUTED_VALUE"""),"Школа 504")</f>
        <v>Школа 504</v>
      </c>
      <c r="F107" s="47" t="s">
        <v>393</v>
      </c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>
      <c r="A108" s="43" t="s">
        <v>394</v>
      </c>
      <c r="B108" s="44" t="s">
        <v>395</v>
      </c>
      <c r="C108" s="45"/>
      <c r="D108" s="6"/>
      <c r="E108" s="44" t="str">
        <f>IFERROR(__xludf.DUMMYFUNCTION("""COMPUTED_VALUE"""),"Школа 507")</f>
        <v>Школа 507</v>
      </c>
      <c r="F108" s="47" t="s">
        <v>396</v>
      </c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>
      <c r="A109" s="43" t="s">
        <v>397</v>
      </c>
      <c r="B109" s="44" t="s">
        <v>398</v>
      </c>
      <c r="C109" s="45"/>
      <c r="D109" s="6"/>
      <c r="E109" s="44" t="str">
        <f>IFERROR(__xludf.DUMMYFUNCTION("""COMPUTED_VALUE"""),"Школа 508")</f>
        <v>Школа 508</v>
      </c>
      <c r="F109" s="47" t="s">
        <v>399</v>
      </c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>
      <c r="A110" s="43" t="s">
        <v>400</v>
      </c>
      <c r="B110" s="44" t="s">
        <v>401</v>
      </c>
      <c r="C110" s="45"/>
      <c r="D110" s="6"/>
      <c r="E110" s="44" t="str">
        <f>IFERROR(__xludf.DUMMYFUNCTION("""COMPUTED_VALUE"""),"Школа 518")</f>
        <v>Школа 518</v>
      </c>
      <c r="F110" s="47" t="s">
        <v>402</v>
      </c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>
      <c r="A111" s="43" t="s">
        <v>403</v>
      </c>
      <c r="B111" s="44" t="s">
        <v>404</v>
      </c>
      <c r="C111" s="45"/>
      <c r="D111" s="6"/>
      <c r="E111" s="44" t="str">
        <f>IFERROR(__xludf.DUMMYFUNCTION("""COMPUTED_VALUE"""),"Школа Спектр")</f>
        <v>Школа Спектр</v>
      </c>
      <c r="F111" s="47" t="s">
        <v>405</v>
      </c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>
      <c r="A112" s="43" t="s">
        <v>406</v>
      </c>
      <c r="B112" s="44" t="s">
        <v>407</v>
      </c>
      <c r="C112" s="45"/>
      <c r="D112" s="6"/>
      <c r="E112" s="44" t="str">
        <f>IFERROR(__xludf.DUMMYFUNCTION("""COMPUTED_VALUE"""),"Школа 534")</f>
        <v>Школа 534</v>
      </c>
      <c r="F112" s="47" t="s">
        <v>408</v>
      </c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>
      <c r="A113" s="43" t="s">
        <v>409</v>
      </c>
      <c r="B113" s="44" t="s">
        <v>410</v>
      </c>
      <c r="C113" s="45"/>
      <c r="D113" s="6"/>
      <c r="E113" s="44" t="str">
        <f>IFERROR(__xludf.DUMMYFUNCTION("""COMPUTED_VALUE"""),"Школа 536")</f>
        <v>Школа 536</v>
      </c>
      <c r="F113" s="47" t="s">
        <v>411</v>
      </c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>
      <c r="A114" s="43" t="s">
        <v>412</v>
      </c>
      <c r="B114" s="44" t="s">
        <v>413</v>
      </c>
      <c r="C114" s="45"/>
      <c r="D114" s="6"/>
      <c r="E114" s="44" t="str">
        <f>IFERROR(__xludf.DUMMYFUNCTION("""COMPUTED_VALUE"""),"Школа 538")</f>
        <v>Школа 538</v>
      </c>
      <c r="F114" s="47" t="s">
        <v>414</v>
      </c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>
      <c r="A115" s="43" t="s">
        <v>415</v>
      </c>
      <c r="B115" s="44" t="s">
        <v>416</v>
      </c>
      <c r="C115" s="45"/>
      <c r="D115" s="6"/>
      <c r="E115" s="44" t="str">
        <f>IFERROR(__xludf.DUMMYFUNCTION("""COMPUTED_VALUE"""),"Школа 544")</f>
        <v>Школа 544</v>
      </c>
      <c r="F115" s="47" t="s">
        <v>417</v>
      </c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>
      <c r="A116" s="43" t="s">
        <v>418</v>
      </c>
      <c r="B116" s="44" t="s">
        <v>419</v>
      </c>
      <c r="C116" s="45"/>
      <c r="D116" s="6"/>
      <c r="E116" s="44" t="str">
        <f>IFERROR(__xludf.DUMMYFUNCTION("""COMPUTED_VALUE"""),"Школа 547")</f>
        <v>Школа 547</v>
      </c>
      <c r="F116" s="47" t="s">
        <v>420</v>
      </c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>
      <c r="A117" s="43" t="s">
        <v>421</v>
      </c>
      <c r="B117" s="44" t="s">
        <v>422</v>
      </c>
      <c r="C117" s="45"/>
      <c r="D117" s="6"/>
      <c r="E117" s="44" t="str">
        <f>IFERROR(__xludf.DUMMYFUNCTION("""COMPUTED_VALUE"""),"Школа 548")</f>
        <v>Школа 548</v>
      </c>
      <c r="F117" s="47" t="s">
        <v>423</v>
      </c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>
      <c r="A118" s="43" t="s">
        <v>424</v>
      </c>
      <c r="B118" s="44" t="s">
        <v>425</v>
      </c>
      <c r="C118" s="45"/>
      <c r="D118" s="6"/>
      <c r="E118" s="44" t="str">
        <f>IFERROR(__xludf.DUMMYFUNCTION("""COMPUTED_VALUE"""),"Школа 554")</f>
        <v>Школа 554</v>
      </c>
      <c r="F118" s="47" t="s">
        <v>426</v>
      </c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>
      <c r="A119" s="43" t="s">
        <v>427</v>
      </c>
      <c r="B119" s="44" t="s">
        <v>428</v>
      </c>
      <c r="C119" s="45"/>
      <c r="D119" s="6"/>
      <c r="E119" s="44" t="str">
        <f>IFERROR(__xludf.DUMMYFUNCTION("""COMPUTED_VALUE"""),"Школа 556")</f>
        <v>Школа 556</v>
      </c>
      <c r="F119" s="47" t="s">
        <v>429</v>
      </c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>
      <c r="A120" s="43" t="s">
        <v>430</v>
      </c>
      <c r="B120" s="44" t="s">
        <v>431</v>
      </c>
      <c r="C120" s="45"/>
      <c r="D120" s="6"/>
      <c r="E120" s="44" t="str">
        <f>IFERROR(__xludf.DUMMYFUNCTION("""COMPUTED_VALUE"""),"Школа 571")</f>
        <v>Школа 571</v>
      </c>
      <c r="F120" s="47" t="s">
        <v>432</v>
      </c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>
      <c r="A121" s="43" t="s">
        <v>433</v>
      </c>
      <c r="B121" s="44" t="s">
        <v>434</v>
      </c>
      <c r="C121" s="45"/>
      <c r="D121" s="6"/>
      <c r="E121" s="44" t="str">
        <f>IFERROR(__xludf.DUMMYFUNCTION("""COMPUTED_VALUE"""),"Школа 597")</f>
        <v>Школа 597</v>
      </c>
      <c r="F121" s="47" t="s">
        <v>435</v>
      </c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>
      <c r="A122" s="43" t="s">
        <v>436</v>
      </c>
      <c r="B122" s="44" t="s">
        <v>437</v>
      </c>
      <c r="C122" s="45"/>
      <c r="D122" s="6"/>
      <c r="E122" s="44" t="str">
        <f>IFERROR(__xludf.DUMMYFUNCTION("""COMPUTED_VALUE"""),"Школа 609")</f>
        <v>Школа 609</v>
      </c>
      <c r="F122" s="47" t="s">
        <v>438</v>
      </c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>
      <c r="A123" s="43" t="s">
        <v>439</v>
      </c>
      <c r="B123" s="44" t="s">
        <v>440</v>
      </c>
      <c r="C123" s="45"/>
      <c r="D123" s="6"/>
      <c r="E123" s="44" t="str">
        <f>IFERROR(__xludf.DUMMYFUNCTION("""COMPUTED_VALUE"""),"Школа 618")</f>
        <v>Школа 618</v>
      </c>
      <c r="F123" s="47" t="s">
        <v>441</v>
      </c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>
      <c r="A124" s="43" t="s">
        <v>442</v>
      </c>
      <c r="B124" s="44" t="s">
        <v>443</v>
      </c>
      <c r="C124" s="45"/>
      <c r="D124" s="6"/>
      <c r="E124" s="44" t="str">
        <f>IFERROR(__xludf.DUMMYFUNCTION("""COMPUTED_VALUE"""),"Школа 625")</f>
        <v>Школа 625</v>
      </c>
      <c r="F124" s="47" t="s">
        <v>444</v>
      </c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>
      <c r="A125" s="43" t="s">
        <v>445</v>
      </c>
      <c r="B125" s="44" t="s">
        <v>446</v>
      </c>
      <c r="C125" s="45"/>
      <c r="D125" s="6"/>
      <c r="E125" s="44" t="str">
        <f>IFERROR(__xludf.DUMMYFUNCTION("""COMPUTED_VALUE"""),"Школа 626")</f>
        <v>Школа 626</v>
      </c>
      <c r="F125" s="47" t="s">
        <v>447</v>
      </c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>
      <c r="A126" s="43" t="s">
        <v>448</v>
      </c>
      <c r="B126" s="44" t="s">
        <v>449</v>
      </c>
      <c r="C126" s="45"/>
      <c r="D126" s="6"/>
      <c r="E126" s="44" t="str">
        <f>IFERROR(__xludf.DUMMYFUNCTION("""COMPUTED_VALUE"""),"Школа 627")</f>
        <v>Школа 627</v>
      </c>
      <c r="F126" s="47" t="s">
        <v>450</v>
      </c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>
      <c r="A127" s="43" t="s">
        <v>451</v>
      </c>
      <c r="B127" s="44" t="s">
        <v>452</v>
      </c>
      <c r="C127" s="45"/>
      <c r="D127" s="6"/>
      <c r="E127" s="44" t="str">
        <f>IFERROR(__xludf.DUMMYFUNCTION("""COMPUTED_VALUE"""),"Школа 629")</f>
        <v>Школа 629</v>
      </c>
      <c r="F127" s="47" t="s">
        <v>453</v>
      </c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>
      <c r="A128" s="43" t="s">
        <v>454</v>
      </c>
      <c r="B128" s="44" t="s">
        <v>455</v>
      </c>
      <c r="C128" s="45"/>
      <c r="D128" s="6"/>
      <c r="E128" s="44" t="str">
        <f>IFERROR(__xludf.DUMMYFUNCTION("""COMPUTED_VALUE"""),"Школа 630")</f>
        <v>Школа 630</v>
      </c>
      <c r="F128" s="47" t="s">
        <v>456</v>
      </c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>
      <c r="A129" s="43" t="s">
        <v>457</v>
      </c>
      <c r="B129" s="44" t="s">
        <v>458</v>
      </c>
      <c r="C129" s="45"/>
      <c r="D129" s="6"/>
      <c r="E129" s="44" t="str">
        <f>IFERROR(__xludf.DUMMYFUNCTION("""COMPUTED_VALUE"""),"Школа 641")</f>
        <v>Школа 641</v>
      </c>
      <c r="F129" s="47" t="s">
        <v>459</v>
      </c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>
      <c r="A130" s="43" t="s">
        <v>460</v>
      </c>
      <c r="B130" s="44" t="s">
        <v>461</v>
      </c>
      <c r="C130" s="45"/>
      <c r="D130" s="6"/>
      <c r="E130" s="44" t="str">
        <f>IFERROR(__xludf.DUMMYFUNCTION("""COMPUTED_VALUE"""),"Школа 648")</f>
        <v>Школа 648</v>
      </c>
      <c r="F130" s="47" t="s">
        <v>462</v>
      </c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>
      <c r="A131" s="43" t="s">
        <v>463</v>
      </c>
      <c r="B131" s="44" t="s">
        <v>464</v>
      </c>
      <c r="C131" s="45"/>
      <c r="D131" s="6"/>
      <c r="E131" s="44" t="str">
        <f>IFERROR(__xludf.DUMMYFUNCTION("""COMPUTED_VALUE"""),"Школа 654")</f>
        <v>Школа 654</v>
      </c>
      <c r="F131" s="47" t="s">
        <v>465</v>
      </c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>
      <c r="A132" s="43" t="s">
        <v>466</v>
      </c>
      <c r="B132" s="44" t="s">
        <v>467</v>
      </c>
      <c r="C132" s="45"/>
      <c r="D132" s="6"/>
      <c r="E132" s="44" t="str">
        <f>IFERROR(__xludf.DUMMYFUNCTION("""COMPUTED_VALUE"""),"Школа 656")</f>
        <v>Школа 656</v>
      </c>
      <c r="F132" s="47" t="s">
        <v>468</v>
      </c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>
      <c r="A133" s="43" t="s">
        <v>469</v>
      </c>
      <c r="B133" s="44" t="s">
        <v>470</v>
      </c>
      <c r="C133" s="45"/>
      <c r="D133" s="6"/>
      <c r="E133" s="44" t="str">
        <f>IFERROR(__xludf.DUMMYFUNCTION("""COMPUTED_VALUE"""),"Школа 657")</f>
        <v>Школа 657</v>
      </c>
      <c r="F133" s="47" t="s">
        <v>471</v>
      </c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>
      <c r="A134" s="43" t="s">
        <v>472</v>
      </c>
      <c r="B134" s="44" t="s">
        <v>473</v>
      </c>
      <c r="C134" s="45"/>
      <c r="D134" s="6"/>
      <c r="E134" s="44" t="str">
        <f>IFERROR(__xludf.DUMMYFUNCTION("""COMPUTED_VALUE"""),"Школа 664")</f>
        <v>Школа 664</v>
      </c>
      <c r="F134" s="47" t="s">
        <v>474</v>
      </c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>
      <c r="A135" s="43" t="s">
        <v>475</v>
      </c>
      <c r="B135" s="44" t="s">
        <v>476</v>
      </c>
      <c r="C135" s="45"/>
      <c r="D135" s="6"/>
      <c r="E135" s="44" t="str">
        <f>IFERROR(__xludf.DUMMYFUNCTION("""COMPUTED_VALUE"""),"Школа 667")</f>
        <v>Школа 667</v>
      </c>
      <c r="F135" s="47" t="s">
        <v>477</v>
      </c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>
      <c r="A136" s="43" t="s">
        <v>478</v>
      </c>
      <c r="B136" s="44" t="s">
        <v>479</v>
      </c>
      <c r="C136" s="50"/>
      <c r="D136" s="6"/>
      <c r="E136" s="44" t="str">
        <f>IFERROR(__xludf.DUMMYFUNCTION("""COMPUTED_VALUE"""),"Школа 705")</f>
        <v>Школа 705</v>
      </c>
      <c r="F136" s="47" t="s">
        <v>480</v>
      </c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>
      <c r="A137" s="43" t="s">
        <v>481</v>
      </c>
      <c r="B137" s="44" t="s">
        <v>482</v>
      </c>
      <c r="C137" s="45"/>
      <c r="D137" s="6"/>
      <c r="E137" s="44" t="str">
        <f>IFERROR(__xludf.DUMMYFUNCTION("""COMPUTED_VALUE"""),"Школа 709")</f>
        <v>Школа 709</v>
      </c>
      <c r="F137" s="47" t="s">
        <v>483</v>
      </c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>
      <c r="A138" s="43" t="s">
        <v>484</v>
      </c>
      <c r="B138" s="44" t="s">
        <v>485</v>
      </c>
      <c r="C138" s="45"/>
      <c r="D138" s="6"/>
      <c r="E138" s="44" t="str">
        <f>IFERROR(__xludf.DUMMYFUNCTION("""COMPUTED_VALUE"""),"Школа 710")</f>
        <v>Школа 710</v>
      </c>
      <c r="F138" s="47" t="s">
        <v>486</v>
      </c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>
      <c r="A139" s="43" t="s">
        <v>487</v>
      </c>
      <c r="B139" s="44" t="s">
        <v>488</v>
      </c>
      <c r="C139" s="45"/>
      <c r="D139" s="6"/>
      <c r="E139" s="44" t="str">
        <f>IFERROR(__xludf.DUMMYFUNCTION("""COMPUTED_VALUE"""),"Школа 717")</f>
        <v>Школа 717</v>
      </c>
      <c r="F139" s="47" t="s">
        <v>489</v>
      </c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>
      <c r="A140" s="43" t="s">
        <v>490</v>
      </c>
      <c r="B140" s="44" t="s">
        <v>491</v>
      </c>
      <c r="C140" s="45"/>
      <c r="D140" s="6"/>
      <c r="E140" s="44" t="str">
        <f>IFERROR(__xludf.DUMMYFUNCTION("""COMPUTED_VALUE"""),"Школа 719")</f>
        <v>Школа 719</v>
      </c>
      <c r="F140" s="47" t="s">
        <v>492</v>
      </c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>
      <c r="A141" s="43" t="s">
        <v>493</v>
      </c>
      <c r="B141" s="44" t="s">
        <v>494</v>
      </c>
      <c r="C141" s="45"/>
      <c r="D141" s="6"/>
      <c r="E141" s="44" t="str">
        <f>IFERROR(__xludf.DUMMYFUNCTION("""COMPUTED_VALUE"""),"Школа 727")</f>
        <v>Школа 727</v>
      </c>
      <c r="F141" s="47" t="s">
        <v>495</v>
      </c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>
      <c r="A142" s="43" t="s">
        <v>496</v>
      </c>
      <c r="B142" s="44" t="s">
        <v>497</v>
      </c>
      <c r="C142" s="45"/>
      <c r="D142" s="6"/>
      <c r="E142" s="44" t="str">
        <f>IFERROR(__xludf.DUMMYFUNCTION("""COMPUTED_VALUE"""),"Школа 734")</f>
        <v>Школа 734</v>
      </c>
      <c r="F142" s="47" t="s">
        <v>498</v>
      </c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>
      <c r="A143" s="43" t="s">
        <v>499</v>
      </c>
      <c r="B143" s="44" t="s">
        <v>500</v>
      </c>
      <c r="C143" s="45"/>
      <c r="D143" s="6"/>
      <c r="E143" s="44" t="str">
        <f>IFERROR(__xludf.DUMMYFUNCTION("""COMPUTED_VALUE"""),"Школа 760")</f>
        <v>Школа 760</v>
      </c>
      <c r="F143" s="47" t="s">
        <v>501</v>
      </c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>
      <c r="A144" s="43" t="s">
        <v>502</v>
      </c>
      <c r="B144" s="44" t="s">
        <v>503</v>
      </c>
      <c r="C144" s="45"/>
      <c r="D144" s="6"/>
      <c r="E144" s="44" t="str">
        <f>IFERROR(__xludf.DUMMYFUNCTION("""COMPUTED_VALUE"""),"Школа 763")</f>
        <v>Школа 763</v>
      </c>
      <c r="F144" s="47" t="s">
        <v>504</v>
      </c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>
      <c r="A145" s="43" t="s">
        <v>505</v>
      </c>
      <c r="B145" s="44" t="s">
        <v>506</v>
      </c>
      <c r="C145" s="45"/>
      <c r="D145" s="6"/>
      <c r="E145" s="44" t="str">
        <f>IFERROR(__xludf.DUMMYFUNCTION("""COMPUTED_VALUE"""),"Школа 771")</f>
        <v>Школа 771</v>
      </c>
      <c r="F145" s="47" t="s">
        <v>507</v>
      </c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>
      <c r="A146" s="43" t="s">
        <v>508</v>
      </c>
      <c r="B146" s="44" t="s">
        <v>509</v>
      </c>
      <c r="C146" s="45"/>
      <c r="D146" s="6"/>
      <c r="E146" s="44" t="str">
        <f>IFERROR(__xludf.DUMMYFUNCTION("""COMPUTED_VALUE"""),"Школа 777")</f>
        <v>Школа 777</v>
      </c>
      <c r="F146" s="47" t="s">
        <v>510</v>
      </c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>
      <c r="A147" s="43" t="s">
        <v>511</v>
      </c>
      <c r="B147" s="44" t="s">
        <v>512</v>
      </c>
      <c r="C147" s="45"/>
      <c r="D147" s="6"/>
      <c r="E147" s="44" t="str">
        <f>IFERROR(__xludf.DUMMYFUNCTION("""COMPUTED_VALUE"""),"Школа 806")</f>
        <v>Школа 806</v>
      </c>
      <c r="F147" s="47" t="s">
        <v>513</v>
      </c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>
      <c r="A148" s="43" t="s">
        <v>514</v>
      </c>
      <c r="B148" s="44" t="s">
        <v>515</v>
      </c>
      <c r="C148" s="45"/>
      <c r="D148" s="6"/>
      <c r="E148" s="44" t="str">
        <f>IFERROR(__xludf.DUMMYFUNCTION("""COMPUTED_VALUE"""),"Школа 814")</f>
        <v>Школа 814</v>
      </c>
      <c r="F148" s="47" t="s">
        <v>516</v>
      </c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>
      <c r="A149" s="43" t="s">
        <v>517</v>
      </c>
      <c r="B149" s="44" t="s">
        <v>518</v>
      </c>
      <c r="C149" s="45"/>
      <c r="D149" s="6"/>
      <c r="E149" s="44" t="str">
        <f>IFERROR(__xludf.DUMMYFUNCTION("""COMPUTED_VALUE"""),"Школа 825")</f>
        <v>Школа 825</v>
      </c>
      <c r="F149" s="47" t="s">
        <v>519</v>
      </c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>
      <c r="A150" s="43" t="s">
        <v>520</v>
      </c>
      <c r="B150" s="44" t="s">
        <v>521</v>
      </c>
      <c r="C150" s="45"/>
      <c r="D150" s="6"/>
      <c r="E150" s="44" t="str">
        <f>IFERROR(__xludf.DUMMYFUNCTION("""COMPUTED_VALUE"""),"Школа 827")</f>
        <v>Школа 827</v>
      </c>
      <c r="F150" s="47" t="s">
        <v>522</v>
      </c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>
      <c r="A151" s="43" t="s">
        <v>523</v>
      </c>
      <c r="B151" s="44" t="s">
        <v>524</v>
      </c>
      <c r="C151" s="45"/>
      <c r="D151" s="6"/>
      <c r="E151" s="44" t="str">
        <f>IFERROR(__xludf.DUMMYFUNCTION("""COMPUTED_VALUE"""),"Школа 830")</f>
        <v>Школа 830</v>
      </c>
      <c r="F151" s="47" t="s">
        <v>525</v>
      </c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>
      <c r="A152" s="43" t="s">
        <v>526</v>
      </c>
      <c r="B152" s="44" t="s">
        <v>527</v>
      </c>
      <c r="C152" s="45"/>
      <c r="D152" s="6"/>
      <c r="E152" s="44" t="str">
        <f>IFERROR(__xludf.DUMMYFUNCTION("""COMPUTED_VALUE"""),"Школа 842")</f>
        <v>Школа 842</v>
      </c>
      <c r="F152" s="47" t="s">
        <v>528</v>
      </c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>
      <c r="A153" s="43" t="s">
        <v>529</v>
      </c>
      <c r="B153" s="44" t="s">
        <v>530</v>
      </c>
      <c r="C153" s="45"/>
      <c r="D153" s="6"/>
      <c r="E153" s="44" t="str">
        <f>IFERROR(__xludf.DUMMYFUNCTION("""COMPUTED_VALUE"""),"Школа 843")</f>
        <v>Школа 843</v>
      </c>
      <c r="F153" s="47" t="s">
        <v>531</v>
      </c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>
      <c r="A154" s="43" t="s">
        <v>532</v>
      </c>
      <c r="B154" s="44" t="s">
        <v>533</v>
      </c>
      <c r="C154" s="45"/>
      <c r="D154" s="6"/>
      <c r="E154" s="44" t="str">
        <f>IFERROR(__xludf.DUMMYFUNCTION("""COMPUTED_VALUE"""),"Школа 851")</f>
        <v>Школа 851</v>
      </c>
      <c r="F154" s="47" t="s">
        <v>534</v>
      </c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>
      <c r="A155" s="43" t="s">
        <v>535</v>
      </c>
      <c r="B155" s="44" t="s">
        <v>536</v>
      </c>
      <c r="C155" s="45"/>
      <c r="D155" s="6"/>
      <c r="E155" s="44" t="str">
        <f>IFERROR(__xludf.DUMMYFUNCTION("""COMPUTED_VALUE"""),"Школа 853")</f>
        <v>Школа 853</v>
      </c>
      <c r="F155" s="47" t="s">
        <v>537</v>
      </c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>
      <c r="A156" s="43" t="s">
        <v>538</v>
      </c>
      <c r="B156" s="44" t="s">
        <v>539</v>
      </c>
      <c r="C156" s="45"/>
      <c r="D156" s="6"/>
      <c r="E156" s="44" t="str">
        <f>IFERROR(__xludf.DUMMYFUNCTION("""COMPUTED_VALUE"""),"Школа 854")</f>
        <v>Школа 854</v>
      </c>
      <c r="F156" s="47" t="s">
        <v>540</v>
      </c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>
      <c r="A157" s="43" t="s">
        <v>541</v>
      </c>
      <c r="B157" s="44" t="s">
        <v>542</v>
      </c>
      <c r="C157" s="45"/>
      <c r="D157" s="6"/>
      <c r="E157" s="44" t="str">
        <f>IFERROR(__xludf.DUMMYFUNCTION("""COMPUTED_VALUE"""),"Школа 867")</f>
        <v>Школа 867</v>
      </c>
      <c r="F157" s="47" t="s">
        <v>543</v>
      </c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>
      <c r="A158" s="43" t="s">
        <v>544</v>
      </c>
      <c r="B158" s="44" t="s">
        <v>545</v>
      </c>
      <c r="C158" s="45"/>
      <c r="D158" s="6"/>
      <c r="E158" s="44" t="str">
        <f>IFERROR(__xludf.DUMMYFUNCTION("""COMPUTED_VALUE"""),"Школа 875")</f>
        <v>Школа 875</v>
      </c>
      <c r="F158" s="47" t="s">
        <v>546</v>
      </c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>
      <c r="A159" s="43" t="s">
        <v>547</v>
      </c>
      <c r="B159" s="44" t="s">
        <v>548</v>
      </c>
      <c r="C159" s="45"/>
      <c r="D159" s="6"/>
      <c r="E159" s="44" t="str">
        <f>IFERROR(__xludf.DUMMYFUNCTION("""COMPUTED_VALUE"""),"Школа 878")</f>
        <v>Школа 878</v>
      </c>
      <c r="F159" s="47" t="s">
        <v>549</v>
      </c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>
      <c r="A160" s="43" t="s">
        <v>550</v>
      </c>
      <c r="B160" s="44" t="s">
        <v>551</v>
      </c>
      <c r="C160" s="45"/>
      <c r="D160" s="6"/>
      <c r="E160" s="44" t="str">
        <f>IFERROR(__xludf.DUMMYFUNCTION("""COMPUTED_VALUE"""),"Школа 883")</f>
        <v>Школа 883</v>
      </c>
      <c r="F160" s="47" t="s">
        <v>552</v>
      </c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>
      <c r="A161" s="43" t="s">
        <v>553</v>
      </c>
      <c r="B161" s="44" t="s">
        <v>554</v>
      </c>
      <c r="C161" s="45"/>
      <c r="D161" s="6"/>
      <c r="E161" s="44" t="str">
        <f>IFERROR(__xludf.DUMMYFUNCTION("""COMPUTED_VALUE"""),"Школа 887")</f>
        <v>Школа 887</v>
      </c>
      <c r="F161" s="47" t="s">
        <v>555</v>
      </c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>
      <c r="A162" s="43" t="s">
        <v>556</v>
      </c>
      <c r="B162" s="44" t="s">
        <v>557</v>
      </c>
      <c r="C162" s="45"/>
      <c r="D162" s="6"/>
      <c r="E162" s="44" t="str">
        <f>IFERROR(__xludf.DUMMYFUNCTION("""COMPUTED_VALUE"""),"Школа 896")</f>
        <v>Школа 896</v>
      </c>
      <c r="F162" s="47" t="s">
        <v>558</v>
      </c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>
      <c r="A163" s="43" t="s">
        <v>559</v>
      </c>
      <c r="B163" s="44" t="s">
        <v>560</v>
      </c>
      <c r="C163" s="45"/>
      <c r="D163" s="6"/>
      <c r="E163" s="44" t="str">
        <f>IFERROR(__xludf.DUMMYFUNCTION("""COMPUTED_VALUE"""),"Школа 902")</f>
        <v>Школа 902</v>
      </c>
      <c r="F163" s="47" t="s">
        <v>561</v>
      </c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>
      <c r="A164" s="43" t="s">
        <v>562</v>
      </c>
      <c r="B164" s="44" t="s">
        <v>563</v>
      </c>
      <c r="C164" s="45"/>
      <c r="D164" s="6"/>
      <c r="E164" s="44" t="str">
        <f>IFERROR(__xludf.DUMMYFUNCTION("""COMPUTED_VALUE"""),"Школа 904")</f>
        <v>Школа 904</v>
      </c>
      <c r="F164" s="47" t="s">
        <v>564</v>
      </c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>
      <c r="A165" s="43" t="s">
        <v>565</v>
      </c>
      <c r="B165" s="44" t="s">
        <v>566</v>
      </c>
      <c r="C165" s="45"/>
      <c r="D165" s="6"/>
      <c r="E165" s="44" t="str">
        <f>IFERROR(__xludf.DUMMYFUNCTION("""COMPUTED_VALUE"""),"Школа 920")</f>
        <v>Школа 920</v>
      </c>
      <c r="F165" s="47" t="s">
        <v>567</v>
      </c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>
      <c r="A166" s="43" t="s">
        <v>568</v>
      </c>
      <c r="B166" s="44" t="s">
        <v>569</v>
      </c>
      <c r="C166" s="45"/>
      <c r="D166" s="6"/>
      <c r="E166" s="44" t="str">
        <f>IFERROR(__xludf.DUMMYFUNCTION("""COMPUTED_VALUE"""),"Школа 922")</f>
        <v>Школа 922</v>
      </c>
      <c r="F166" s="47" t="s">
        <v>570</v>
      </c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>
      <c r="A167" s="43" t="s">
        <v>571</v>
      </c>
      <c r="B167" s="44" t="s">
        <v>572</v>
      </c>
      <c r="C167" s="45"/>
      <c r="D167" s="6"/>
      <c r="E167" s="44" t="str">
        <f>IFERROR(__xludf.DUMMYFUNCTION("""COMPUTED_VALUE"""),"Школа 924")</f>
        <v>Школа 924</v>
      </c>
      <c r="F167" s="47" t="s">
        <v>573</v>
      </c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>
      <c r="A168" s="43" t="s">
        <v>574</v>
      </c>
      <c r="B168" s="44" t="s">
        <v>575</v>
      </c>
      <c r="C168" s="45"/>
      <c r="D168" s="6"/>
      <c r="E168" s="44" t="str">
        <f>IFERROR(__xludf.DUMMYFUNCTION("""COMPUTED_VALUE"""),"Школа 935")</f>
        <v>Школа 935</v>
      </c>
      <c r="F168" s="47" t="s">
        <v>576</v>
      </c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>
      <c r="A169" s="43" t="s">
        <v>577</v>
      </c>
      <c r="B169" s="44" t="s">
        <v>578</v>
      </c>
      <c r="C169" s="45"/>
      <c r="D169" s="6"/>
      <c r="E169" s="44" t="str">
        <f>IFERROR(__xludf.DUMMYFUNCTION("""COMPUTED_VALUE"""),"Школа 937")</f>
        <v>Школа 937</v>
      </c>
      <c r="F169" s="47" t="s">
        <v>579</v>
      </c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>
      <c r="A170" s="43" t="s">
        <v>580</v>
      </c>
      <c r="B170" s="44" t="s">
        <v>581</v>
      </c>
      <c r="C170" s="45"/>
      <c r="D170" s="6"/>
      <c r="E170" s="44" t="str">
        <f>IFERROR(__xludf.DUMMYFUNCTION("""COMPUTED_VALUE"""),"Школа 939")</f>
        <v>Школа 939</v>
      </c>
      <c r="F170" s="47" t="s">
        <v>582</v>
      </c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>
      <c r="A171" s="43" t="s">
        <v>583</v>
      </c>
      <c r="B171" s="44" t="s">
        <v>584</v>
      </c>
      <c r="C171" s="45"/>
      <c r="D171" s="6"/>
      <c r="E171" s="44" t="str">
        <f>IFERROR(__xludf.DUMMYFUNCTION("""COMPUTED_VALUE"""),"Школа 947")</f>
        <v>Школа 947</v>
      </c>
      <c r="F171" s="47" t="s">
        <v>585</v>
      </c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>
      <c r="A172" s="43" t="s">
        <v>586</v>
      </c>
      <c r="B172" s="44" t="s">
        <v>587</v>
      </c>
      <c r="C172" s="45"/>
      <c r="D172" s="6"/>
      <c r="E172" s="44" t="str">
        <f>IFERROR(__xludf.DUMMYFUNCTION("""COMPUTED_VALUE"""),"Школа 949")</f>
        <v>Школа 949</v>
      </c>
      <c r="F172" s="47" t="s">
        <v>588</v>
      </c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>
      <c r="A173" s="43" t="s">
        <v>589</v>
      </c>
      <c r="B173" s="44" t="s">
        <v>590</v>
      </c>
      <c r="C173" s="45"/>
      <c r="D173" s="6"/>
      <c r="E173" s="44" t="str">
        <f>IFERROR(__xludf.DUMMYFUNCTION("""COMPUTED_VALUE"""),"Школа 950")</f>
        <v>Школа 950</v>
      </c>
      <c r="F173" s="47" t="s">
        <v>591</v>
      </c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>
      <c r="A174" s="43" t="s">
        <v>592</v>
      </c>
      <c r="B174" s="44" t="s">
        <v>593</v>
      </c>
      <c r="C174" s="45"/>
      <c r="D174" s="6"/>
      <c r="E174" s="44" t="str">
        <f>IFERROR(__xludf.DUMMYFUNCTION("""COMPUTED_VALUE"""),"Школа 953")</f>
        <v>Школа 953</v>
      </c>
      <c r="F174" s="47" t="s">
        <v>594</v>
      </c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>
      <c r="A175" s="43" t="s">
        <v>595</v>
      </c>
      <c r="B175" s="44" t="s">
        <v>596</v>
      </c>
      <c r="C175" s="45"/>
      <c r="D175" s="6"/>
      <c r="E175" s="44" t="str">
        <f>IFERROR(__xludf.DUMMYFUNCTION("""COMPUTED_VALUE"""),"Школа 956")</f>
        <v>Школа 956</v>
      </c>
      <c r="F175" s="47" t="s">
        <v>597</v>
      </c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>
      <c r="A176" s="43" t="s">
        <v>598</v>
      </c>
      <c r="B176" s="44" t="s">
        <v>599</v>
      </c>
      <c r="C176" s="45"/>
      <c r="D176" s="6"/>
      <c r="E176" s="44" t="str">
        <f>IFERROR(__xludf.DUMMYFUNCTION("""COMPUTED_VALUE"""),"Школа 962")</f>
        <v>Школа 962</v>
      </c>
      <c r="F176" s="47" t="s">
        <v>600</v>
      </c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>
      <c r="A177" s="43" t="s">
        <v>601</v>
      </c>
      <c r="B177" s="44" t="s">
        <v>602</v>
      </c>
      <c r="C177" s="45"/>
      <c r="D177" s="6"/>
      <c r="E177" s="44" t="str">
        <f>IFERROR(__xludf.DUMMYFUNCTION("""COMPUTED_VALUE"""),"Школа 967")</f>
        <v>Школа 967</v>
      </c>
      <c r="F177" s="47" t="s">
        <v>603</v>
      </c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>
      <c r="A178" s="43" t="s">
        <v>604</v>
      </c>
      <c r="B178" s="44" t="s">
        <v>605</v>
      </c>
      <c r="C178" s="45"/>
      <c r="D178" s="6"/>
      <c r="E178" s="44" t="str">
        <f>IFERROR(__xludf.DUMMYFUNCTION("""COMPUTED_VALUE"""),"Школа 991")</f>
        <v>Школа 991</v>
      </c>
      <c r="F178" s="47" t="s">
        <v>606</v>
      </c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>
      <c r="A179" s="43" t="s">
        <v>607</v>
      </c>
      <c r="B179" s="44" t="s">
        <v>608</v>
      </c>
      <c r="C179" s="45"/>
      <c r="D179" s="6"/>
      <c r="E179" s="44" t="str">
        <f>IFERROR(__xludf.DUMMYFUNCTION("""COMPUTED_VALUE"""),"Школа 996")</f>
        <v>Школа 996</v>
      </c>
      <c r="F179" s="47" t="s">
        <v>609</v>
      </c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>
      <c r="A180" s="43" t="s">
        <v>610</v>
      </c>
      <c r="B180" s="44" t="s">
        <v>611</v>
      </c>
      <c r="C180" s="45"/>
      <c r="D180" s="6"/>
      <c r="E180" s="44" t="str">
        <f>IFERROR(__xludf.DUMMYFUNCTION("""COMPUTED_VALUE"""),"Школа 998")</f>
        <v>Школа 998</v>
      </c>
      <c r="F180" s="47" t="s">
        <v>612</v>
      </c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>
      <c r="A181" s="43" t="s">
        <v>613</v>
      </c>
      <c r="B181" s="44" t="s">
        <v>614</v>
      </c>
      <c r="C181" s="45"/>
      <c r="D181" s="6"/>
      <c r="E181" s="44" t="str">
        <f>IFERROR(__xludf.DUMMYFUNCTION("""COMPUTED_VALUE"""),"Школа 1000")</f>
        <v>Школа 1000</v>
      </c>
      <c r="F181" s="47" t="s">
        <v>615</v>
      </c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>
      <c r="A182" s="43" t="s">
        <v>616</v>
      </c>
      <c r="B182" s="44" t="s">
        <v>617</v>
      </c>
      <c r="C182" s="45"/>
      <c r="D182" s="6"/>
      <c r="E182" s="44" t="str">
        <f>IFERROR(__xludf.DUMMYFUNCTION("""COMPUTED_VALUE"""),"Школа 1002")</f>
        <v>Школа 1002</v>
      </c>
      <c r="F182" s="47" t="s">
        <v>618</v>
      </c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>
      <c r="A183" s="43" t="s">
        <v>619</v>
      </c>
      <c r="B183" s="44" t="s">
        <v>620</v>
      </c>
      <c r="C183" s="45"/>
      <c r="D183" s="6"/>
      <c r="E183" s="44" t="str">
        <f>IFERROR(__xludf.DUMMYFUNCTION("""COMPUTED_VALUE"""),"Школа 1018")</f>
        <v>Школа 1018</v>
      </c>
      <c r="F183" s="47" t="s">
        <v>621</v>
      </c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>
      <c r="A184" s="43" t="s">
        <v>622</v>
      </c>
      <c r="B184" s="44" t="s">
        <v>623</v>
      </c>
      <c r="C184" s="45"/>
      <c r="D184" s="6"/>
      <c r="E184" s="44" t="str">
        <f>IFERROR(__xludf.DUMMYFUNCTION("""COMPUTED_VALUE"""),"Вишняковская школа")</f>
        <v>Вишняковская школа</v>
      </c>
      <c r="F184" s="47" t="s">
        <v>624</v>
      </c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>
      <c r="A185" s="43" t="s">
        <v>625</v>
      </c>
      <c r="B185" s="44" t="s">
        <v>626</v>
      </c>
      <c r="C185" s="45"/>
      <c r="D185" s="6"/>
      <c r="E185" s="44" t="str">
        <f>IFERROR(__xludf.DUMMYFUNCTION("""COMPUTED_VALUE"""),"Школа 1034")</f>
        <v>Школа 1034</v>
      </c>
      <c r="F185" s="47" t="s">
        <v>627</v>
      </c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>
      <c r="A186" s="43" t="s">
        <v>628</v>
      </c>
      <c r="B186" s="44" t="s">
        <v>629</v>
      </c>
      <c r="C186" s="45"/>
      <c r="D186" s="6"/>
      <c r="E186" s="44" t="str">
        <f>IFERROR(__xludf.DUMMYFUNCTION("""COMPUTED_VALUE"""),"Школа 1056")</f>
        <v>Школа 1056</v>
      </c>
      <c r="F186" s="47" t="s">
        <v>630</v>
      </c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>
      <c r="A187" s="43" t="s">
        <v>631</v>
      </c>
      <c r="B187" s="44" t="s">
        <v>632</v>
      </c>
      <c r="C187" s="45"/>
      <c r="D187" s="6"/>
      <c r="E187" s="44" t="str">
        <f>IFERROR(__xludf.DUMMYFUNCTION("""COMPUTED_VALUE"""),"Школа 1065")</f>
        <v>Школа 1065</v>
      </c>
      <c r="F187" s="47" t="s">
        <v>633</v>
      </c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>
      <c r="A188" s="43" t="s">
        <v>634</v>
      </c>
      <c r="B188" s="44" t="s">
        <v>635</v>
      </c>
      <c r="C188" s="45"/>
      <c r="D188" s="6"/>
      <c r="E188" s="44" t="str">
        <f>IFERROR(__xludf.DUMMYFUNCTION("""COMPUTED_VALUE"""),"Школа 1080")</f>
        <v>Школа 1080</v>
      </c>
      <c r="F188" s="47" t="s">
        <v>636</v>
      </c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>
      <c r="A189" s="43" t="s">
        <v>637</v>
      </c>
      <c r="B189" s="44" t="s">
        <v>638</v>
      </c>
      <c r="C189" s="45"/>
      <c r="D189" s="6"/>
      <c r="E189" s="44" t="str">
        <f>IFERROR(__xludf.DUMMYFUNCTION("""COMPUTED_VALUE"""),"Школа 1095")</f>
        <v>Школа 1095</v>
      </c>
      <c r="F189" s="47" t="s">
        <v>639</v>
      </c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>
      <c r="A190" s="43" t="s">
        <v>640</v>
      </c>
      <c r="B190" s="44" t="s">
        <v>641</v>
      </c>
      <c r="C190" s="45"/>
      <c r="D190" s="6"/>
      <c r="E190" s="44" t="str">
        <f>IFERROR(__xludf.DUMMYFUNCTION("""COMPUTED_VALUE"""),"Школа 1101")</f>
        <v>Школа 1101</v>
      </c>
      <c r="F190" s="47" t="s">
        <v>642</v>
      </c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>
      <c r="A191" s="43" t="s">
        <v>643</v>
      </c>
      <c r="B191" s="44" t="s">
        <v>644</v>
      </c>
      <c r="C191" s="45"/>
      <c r="D191" s="6"/>
      <c r="E191" s="44" t="str">
        <f>IFERROR(__xludf.DUMMYFUNCTION("""COMPUTED_VALUE"""),"Школа 1103")</f>
        <v>Школа 1103</v>
      </c>
      <c r="F191" s="47" t="s">
        <v>645</v>
      </c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>
      <c r="A192" s="43" t="s">
        <v>646</v>
      </c>
      <c r="B192" s="44" t="s">
        <v>647</v>
      </c>
      <c r="C192" s="45"/>
      <c r="D192" s="6"/>
      <c r="E192" s="44" t="str">
        <f>IFERROR(__xludf.DUMMYFUNCTION("""COMPUTED_VALUE"""),"Школа им. Н. М. Карамзина")</f>
        <v>Школа им. Н. М. Карамзина</v>
      </c>
      <c r="F192" s="47" t="s">
        <v>648</v>
      </c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>
      <c r="A193" s="43" t="s">
        <v>649</v>
      </c>
      <c r="B193" s="44" t="s">
        <v>650</v>
      </c>
      <c r="C193" s="45"/>
      <c r="D193" s="6"/>
      <c r="E193" s="44" t="str">
        <f>IFERROR(__xludf.DUMMYFUNCTION("""COMPUTED_VALUE"""),"Школа 1125")</f>
        <v>Школа 1125</v>
      </c>
      <c r="F193" s="47" t="s">
        <v>651</v>
      </c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>
      <c r="A194" s="43" t="s">
        <v>652</v>
      </c>
      <c r="B194" s="44" t="s">
        <v>653</v>
      </c>
      <c r="C194" s="45"/>
      <c r="D194" s="6"/>
      <c r="E194" s="44" t="str">
        <f>IFERROR(__xludf.DUMMYFUNCTION("""COMPUTED_VALUE"""),"Школа 1150")</f>
        <v>Школа 1150</v>
      </c>
      <c r="F194" s="47" t="s">
        <v>654</v>
      </c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>
      <c r="A195" s="43" t="s">
        <v>655</v>
      </c>
      <c r="B195" s="44" t="s">
        <v>656</v>
      </c>
      <c r="C195" s="45"/>
      <c r="D195" s="6"/>
      <c r="E195" s="44" t="str">
        <f>IFERROR(__xludf.DUMMYFUNCTION("""COMPUTED_VALUE"""),"Школа 1151")</f>
        <v>Школа 1151</v>
      </c>
      <c r="F195" s="47" t="s">
        <v>657</v>
      </c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>
      <c r="A196" s="43" t="s">
        <v>658</v>
      </c>
      <c r="B196" s="44" t="s">
        <v>659</v>
      </c>
      <c r="C196" s="45"/>
      <c r="D196" s="6"/>
      <c r="E196" s="44" t="str">
        <f>IFERROR(__xludf.DUMMYFUNCTION("""COMPUTED_VALUE"""),"Школа 1155")</f>
        <v>Школа 1155</v>
      </c>
      <c r="F196" s="47" t="s">
        <v>660</v>
      </c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>
      <c r="A197" s="43" t="s">
        <v>661</v>
      </c>
      <c r="B197" s="44" t="s">
        <v>662</v>
      </c>
      <c r="C197" s="48" t="s">
        <v>663</v>
      </c>
      <c r="D197" s="6"/>
      <c r="E197" s="44" t="str">
        <f>IFERROR(__xludf.DUMMYFUNCTION("""COMPUTED_VALUE"""),"Школа 1158")</f>
        <v>Школа 1158</v>
      </c>
      <c r="F197" s="47" t="s">
        <v>664</v>
      </c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>
      <c r="A198" s="43" t="s">
        <v>665</v>
      </c>
      <c r="B198" s="44"/>
      <c r="C198" s="45"/>
      <c r="D198" s="6"/>
      <c r="E198" s="44" t="str">
        <f>IFERROR(__xludf.DUMMYFUNCTION("""COMPUTED_VALUE"""),"Школа 1159")</f>
        <v>Школа 1159</v>
      </c>
      <c r="F198" s="47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>
      <c r="A199" s="43" t="s">
        <v>666</v>
      </c>
      <c r="B199" s="44"/>
      <c r="C199" s="45"/>
      <c r="D199" s="6"/>
      <c r="E199" s="44" t="str">
        <f>IFERROR(__xludf.DUMMYFUNCTION("""COMPUTED_VALUE"""),"Школа 1161")</f>
        <v>Школа 1161</v>
      </c>
      <c r="F199" s="47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>
      <c r="A200" s="43" t="s">
        <v>667</v>
      </c>
      <c r="B200" s="49" t="s">
        <v>668</v>
      </c>
      <c r="C200" s="45"/>
      <c r="D200" s="6"/>
      <c r="E200" s="44" t="str">
        <f>IFERROR(__xludf.DUMMYFUNCTION("""COMPUTED_VALUE"""),"Школа 1164")</f>
        <v>Школа 1164</v>
      </c>
      <c r="F200" s="47" t="s">
        <v>669</v>
      </c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>
      <c r="A201" s="43" t="s">
        <v>670</v>
      </c>
      <c r="C201" s="45"/>
      <c r="D201" s="6"/>
      <c r="E201" s="44" t="str">
        <f>IFERROR(__xludf.DUMMYFUNCTION("""COMPUTED_VALUE"""),"Школа 1169")</f>
        <v>Школа 1169</v>
      </c>
      <c r="F201" s="47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>
      <c r="A202" s="43" t="s">
        <v>671</v>
      </c>
      <c r="B202" s="49" t="s">
        <v>672</v>
      </c>
      <c r="C202" s="45"/>
      <c r="D202" s="6"/>
      <c r="E202" s="44" t="str">
        <f>IFERROR(__xludf.DUMMYFUNCTION("""COMPUTED_VALUE"""),"Школа 1173")</f>
        <v>Школа 1173</v>
      </c>
      <c r="F202" s="47" t="s">
        <v>673</v>
      </c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>
      <c r="A203" s="43" t="s">
        <v>674</v>
      </c>
      <c r="B203" s="49" t="s">
        <v>675</v>
      </c>
      <c r="C203" s="45"/>
      <c r="D203" s="6"/>
      <c r="E203" s="44" t="str">
        <f>IFERROR(__xludf.DUMMYFUNCTION("""COMPUTED_VALUE"""),"Школа 1179")</f>
        <v>Школа 1179</v>
      </c>
      <c r="F203" s="47" t="s">
        <v>676</v>
      </c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>
      <c r="A204" s="43" t="s">
        <v>677</v>
      </c>
      <c r="B204" s="44"/>
      <c r="C204" s="45"/>
      <c r="D204" s="6"/>
      <c r="E204" s="44" t="str">
        <f>IFERROR(__xludf.DUMMYFUNCTION("""COMPUTED_VALUE"""),"Школа 1186")</f>
        <v>Школа 1186</v>
      </c>
      <c r="F204" s="47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>
      <c r="A205" s="43" t="s">
        <v>678</v>
      </c>
      <c r="B205" s="44" t="s">
        <v>679</v>
      </c>
      <c r="C205" s="48" t="s">
        <v>680</v>
      </c>
      <c r="D205" s="6"/>
      <c r="E205" s="44" t="str">
        <f>IFERROR(__xludf.DUMMYFUNCTION("""COMPUTED_VALUE"""),"Школа 1190")</f>
        <v>Школа 1190</v>
      </c>
      <c r="F205" s="47" t="s">
        <v>681</v>
      </c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>
      <c r="A206" s="43" t="s">
        <v>682</v>
      </c>
      <c r="B206" s="44" t="s">
        <v>683</v>
      </c>
      <c r="C206" s="48" t="s">
        <v>680</v>
      </c>
      <c r="D206" s="6"/>
      <c r="E206" s="44" t="str">
        <f>IFERROR(__xludf.DUMMYFUNCTION("""COMPUTED_VALUE"""),"Школа 1191")</f>
        <v>Школа 1191</v>
      </c>
      <c r="F206" s="47" t="s">
        <v>684</v>
      </c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>
      <c r="A207" s="43" t="s">
        <v>685</v>
      </c>
      <c r="B207" s="44" t="s">
        <v>686</v>
      </c>
      <c r="C207" s="48" t="s">
        <v>687</v>
      </c>
      <c r="D207" s="6"/>
      <c r="E207" s="44" t="str">
        <f>IFERROR(__xludf.DUMMYFUNCTION("""COMPUTED_VALUE"""),"Школа 1194")</f>
        <v>Школа 1194</v>
      </c>
      <c r="F207" s="47" t="s">
        <v>688</v>
      </c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>
      <c r="A208" s="43" t="s">
        <v>689</v>
      </c>
      <c r="B208" s="44" t="s">
        <v>690</v>
      </c>
      <c r="C208" s="45"/>
      <c r="D208" s="6"/>
      <c r="E208" s="44" t="str">
        <f>IFERROR(__xludf.DUMMYFUNCTION("""COMPUTED_VALUE"""),"Школа 1195")</f>
        <v>Школа 1195</v>
      </c>
      <c r="F208" s="47" t="s">
        <v>691</v>
      </c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>
      <c r="A209" s="43" t="s">
        <v>692</v>
      </c>
      <c r="B209" s="44" t="s">
        <v>693</v>
      </c>
      <c r="C209" s="45"/>
      <c r="D209" s="6"/>
      <c r="E209" s="44" t="str">
        <f>IFERROR(__xludf.DUMMYFUNCTION("""COMPUTED_VALUE"""),"Школа 1205")</f>
        <v>Школа 1205</v>
      </c>
      <c r="F209" s="47" t="s">
        <v>694</v>
      </c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>
      <c r="A210" s="43" t="s">
        <v>695</v>
      </c>
      <c r="B210" s="44" t="s">
        <v>696</v>
      </c>
      <c r="C210" s="45"/>
      <c r="D210" s="6"/>
      <c r="E210" s="44" t="str">
        <f>IFERROR(__xludf.DUMMYFUNCTION("""COMPUTED_VALUE"""),"Школа 1206")</f>
        <v>Школа 1206</v>
      </c>
      <c r="F210" s="47" t="s">
        <v>697</v>
      </c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>
      <c r="A211" s="43" t="s">
        <v>698</v>
      </c>
      <c r="B211" s="44" t="s">
        <v>699</v>
      </c>
      <c r="C211" s="45"/>
      <c r="D211" s="6"/>
      <c r="E211" s="44" t="str">
        <f>IFERROR(__xludf.DUMMYFUNCTION("""COMPUTED_VALUE"""),"Школа 1207")</f>
        <v>Школа 1207</v>
      </c>
      <c r="F211" s="47" t="s">
        <v>700</v>
      </c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>
      <c r="A212" s="43" t="s">
        <v>701</v>
      </c>
      <c r="B212" s="44" t="s">
        <v>702</v>
      </c>
      <c r="C212" s="45"/>
      <c r="D212" s="6"/>
      <c r="E212" s="44" t="str">
        <f>IFERROR(__xludf.DUMMYFUNCTION("""COMPUTED_VALUE"""),"Школа 1208")</f>
        <v>Школа 1208</v>
      </c>
      <c r="F212" s="47" t="s">
        <v>703</v>
      </c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>
      <c r="A213" s="43" t="s">
        <v>704</v>
      </c>
      <c r="B213" s="44" t="s">
        <v>705</v>
      </c>
      <c r="C213" s="45"/>
      <c r="D213" s="6"/>
      <c r="E213" s="44" t="str">
        <f>IFERROR(__xludf.DUMMYFUNCTION("""COMPUTED_VALUE"""),"Школа 1210")</f>
        <v>Школа 1210</v>
      </c>
      <c r="F213" s="47" t="s">
        <v>706</v>
      </c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</row>
    <row r="214">
      <c r="A214" s="43" t="s">
        <v>707</v>
      </c>
      <c r="B214" s="44" t="s">
        <v>708</v>
      </c>
      <c r="C214" s="45"/>
      <c r="D214" s="6"/>
      <c r="E214" s="44" t="str">
        <f>IFERROR(__xludf.DUMMYFUNCTION("""COMPUTED_VALUE"""),"Школа 1212")</f>
        <v>Школа 1212</v>
      </c>
      <c r="F214" s="47" t="s">
        <v>709</v>
      </c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>
      <c r="A215" s="43" t="s">
        <v>710</v>
      </c>
      <c r="B215" s="44" t="s">
        <v>711</v>
      </c>
      <c r="C215" s="45"/>
      <c r="D215" s="6"/>
      <c r="E215" s="44" t="str">
        <f>IFERROR(__xludf.DUMMYFUNCTION("""COMPUTED_VALUE"""),"Школа 1213")</f>
        <v>Школа 1213</v>
      </c>
      <c r="F215" s="47" t="s">
        <v>712</v>
      </c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</row>
    <row r="216">
      <c r="A216" s="43" t="s">
        <v>713</v>
      </c>
      <c r="B216" s="44" t="s">
        <v>714</v>
      </c>
      <c r="C216" s="45"/>
      <c r="D216" s="6"/>
      <c r="E216" s="44" t="str">
        <f>IFERROR(__xludf.DUMMYFUNCTION("""COMPUTED_VALUE"""),"Школа 1220")</f>
        <v>Школа 1220</v>
      </c>
      <c r="F216" s="47" t="s">
        <v>715</v>
      </c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>
      <c r="A217" s="43" t="s">
        <v>716</v>
      </c>
      <c r="B217" s="44" t="s">
        <v>717</v>
      </c>
      <c r="C217" s="45"/>
      <c r="D217" s="6"/>
      <c r="E217" s="44" t="str">
        <f>IFERROR(__xludf.DUMMYFUNCTION("""COMPUTED_VALUE"""),"Школа 1222")</f>
        <v>Школа 1222</v>
      </c>
      <c r="F217" s="47" t="s">
        <v>718</v>
      </c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</row>
    <row r="218">
      <c r="A218" s="43" t="s">
        <v>719</v>
      </c>
      <c r="B218" s="44" t="s">
        <v>720</v>
      </c>
      <c r="C218" s="48" t="s">
        <v>721</v>
      </c>
      <c r="D218" s="6"/>
      <c r="E218" s="44" t="str">
        <f>IFERROR(__xludf.DUMMYFUNCTION("""COMPUTED_VALUE"""),"Школа 1223")</f>
        <v>Школа 1223</v>
      </c>
      <c r="F218" s="47" t="s">
        <v>722</v>
      </c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>
      <c r="A219" s="43" t="s">
        <v>723</v>
      </c>
      <c r="B219" s="44" t="s">
        <v>724</v>
      </c>
      <c r="C219" s="48" t="s">
        <v>725</v>
      </c>
      <c r="D219" s="6"/>
      <c r="E219" s="44" t="str">
        <f>IFERROR(__xludf.DUMMYFUNCTION("""COMPUTED_VALUE"""),"Школа 1228")</f>
        <v>Школа 1228</v>
      </c>
      <c r="F219" s="47" t="s">
        <v>726</v>
      </c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</row>
    <row r="220">
      <c r="A220" s="43" t="s">
        <v>727</v>
      </c>
      <c r="B220" s="44" t="s">
        <v>728</v>
      </c>
      <c r="C220" s="48" t="s">
        <v>729</v>
      </c>
      <c r="D220" s="6"/>
      <c r="E220" s="44" t="str">
        <f>IFERROR(__xludf.DUMMYFUNCTION("""COMPUTED_VALUE"""),"Школа 1231")</f>
        <v>Школа 1231</v>
      </c>
      <c r="F220" s="47" t="s">
        <v>730</v>
      </c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>
      <c r="A221" s="43" t="s">
        <v>731</v>
      </c>
      <c r="B221" s="44" t="s">
        <v>732</v>
      </c>
      <c r="C221" s="48" t="s">
        <v>733</v>
      </c>
      <c r="D221" s="6"/>
      <c r="E221" s="44" t="str">
        <f>IFERROR(__xludf.DUMMYFUNCTION("""COMPUTED_VALUE"""),"Школа 1234")</f>
        <v>Школа 1234</v>
      </c>
      <c r="F221" s="47" t="s">
        <v>734</v>
      </c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>
      <c r="A222" s="43" t="s">
        <v>735</v>
      </c>
      <c r="B222" s="44" t="s">
        <v>736</v>
      </c>
      <c r="C222" s="48" t="s">
        <v>737</v>
      </c>
      <c r="D222" s="6"/>
      <c r="E222" s="44" t="str">
        <f>IFERROR(__xludf.DUMMYFUNCTION("""COMPUTED_VALUE"""),"Школа 1236")</f>
        <v>Школа 1236</v>
      </c>
      <c r="F222" s="47" t="s">
        <v>738</v>
      </c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>
      <c r="A223" s="43" t="s">
        <v>739</v>
      </c>
      <c r="B223" s="44" t="s">
        <v>740</v>
      </c>
      <c r="C223" s="48" t="s">
        <v>741</v>
      </c>
      <c r="D223" s="6"/>
      <c r="E223" s="44" t="str">
        <f>IFERROR(__xludf.DUMMYFUNCTION("""COMPUTED_VALUE"""),"Школа 1238")</f>
        <v>Школа 1238</v>
      </c>
      <c r="F223" s="47" t="s">
        <v>742</v>
      </c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>
      <c r="A224" s="43" t="s">
        <v>743</v>
      </c>
      <c r="B224" s="44" t="s">
        <v>744</v>
      </c>
      <c r="C224" s="50"/>
      <c r="D224" s="6"/>
      <c r="E224" s="44" t="str">
        <f>IFERROR(__xludf.DUMMYFUNCTION("""COMPUTED_VALUE"""),"Школа 1239")</f>
        <v>Школа 1239</v>
      </c>
      <c r="F224" s="47" t="s">
        <v>745</v>
      </c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>
      <c r="A225" s="43" t="s">
        <v>746</v>
      </c>
      <c r="B225" s="44" t="s">
        <v>747</v>
      </c>
      <c r="C225" s="48" t="s">
        <v>748</v>
      </c>
      <c r="D225" s="6"/>
      <c r="E225" s="44" t="str">
        <f>IFERROR(__xludf.DUMMYFUNCTION("""COMPUTED_VALUE"""),"Школа 1241")</f>
        <v>Школа 1241</v>
      </c>
      <c r="F225" s="47" t="s">
        <v>749</v>
      </c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</row>
    <row r="226">
      <c r="A226" s="43" t="s">
        <v>750</v>
      </c>
      <c r="B226" s="44" t="s">
        <v>751</v>
      </c>
      <c r="C226" s="48" t="s">
        <v>752</v>
      </c>
      <c r="D226" s="6"/>
      <c r="E226" s="44" t="str">
        <f>IFERROR(__xludf.DUMMYFUNCTION("""COMPUTED_VALUE"""),"Школа 1246")</f>
        <v>Школа 1246</v>
      </c>
      <c r="F226" s="47" t="s">
        <v>753</v>
      </c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>
      <c r="A227" s="43" t="s">
        <v>754</v>
      </c>
      <c r="B227" s="44" t="s">
        <v>755</v>
      </c>
      <c r="C227" s="48" t="s">
        <v>756</v>
      </c>
      <c r="D227" s="6"/>
      <c r="E227" s="44" t="str">
        <f>IFERROR(__xludf.DUMMYFUNCTION("""COMPUTED_VALUE"""),"Школа 1247")</f>
        <v>Школа 1247</v>
      </c>
      <c r="F227" s="47" t="s">
        <v>757</v>
      </c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</row>
    <row r="228">
      <c r="A228" s="43" t="s">
        <v>758</v>
      </c>
      <c r="B228" s="44" t="s">
        <v>759</v>
      </c>
      <c r="C228" s="48" t="s">
        <v>760</v>
      </c>
      <c r="D228" s="6"/>
      <c r="E228" s="44" t="str">
        <f>IFERROR(__xludf.DUMMYFUNCTION("""COMPUTED_VALUE"""),"Школа 1248")</f>
        <v>Школа 1248</v>
      </c>
      <c r="F228" s="47" t="s">
        <v>761</v>
      </c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>
      <c r="A229" s="43" t="s">
        <v>762</v>
      </c>
      <c r="B229" s="44" t="s">
        <v>763</v>
      </c>
      <c r="C229" s="48" t="s">
        <v>764</v>
      </c>
      <c r="D229" s="6"/>
      <c r="E229" s="44" t="str">
        <f>IFERROR(__xludf.DUMMYFUNCTION("""COMPUTED_VALUE"""),"Школа 1249")</f>
        <v>Школа 1249</v>
      </c>
      <c r="F229" s="47" t="s">
        <v>765</v>
      </c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</row>
    <row r="230">
      <c r="A230" s="43" t="s">
        <v>766</v>
      </c>
      <c r="B230" s="44" t="s">
        <v>767</v>
      </c>
      <c r="C230" s="48" t="s">
        <v>300</v>
      </c>
      <c r="D230" s="6"/>
      <c r="E230" s="44" t="str">
        <f>IFERROR(__xludf.DUMMYFUNCTION("""COMPUTED_VALUE"""),"Школа 1250")</f>
        <v>Школа 1250</v>
      </c>
      <c r="F230" s="47" t="s">
        <v>768</v>
      </c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>
      <c r="A231" s="43" t="s">
        <v>769</v>
      </c>
      <c r="B231" s="44" t="s">
        <v>770</v>
      </c>
      <c r="C231" s="48" t="s">
        <v>771</v>
      </c>
      <c r="D231" s="6"/>
      <c r="E231" s="44" t="str">
        <f>IFERROR(__xludf.DUMMYFUNCTION("""COMPUTED_VALUE"""),"Школа 1251")</f>
        <v>Школа 1251</v>
      </c>
      <c r="F231" s="47" t="s">
        <v>772</v>
      </c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</row>
    <row r="232">
      <c r="A232" s="43" t="s">
        <v>773</v>
      </c>
      <c r="B232" s="44" t="s">
        <v>774</v>
      </c>
      <c r="C232" s="48" t="s">
        <v>775</v>
      </c>
      <c r="D232" s="6"/>
      <c r="E232" s="44" t="str">
        <f>IFERROR(__xludf.DUMMYFUNCTION("""COMPUTED_VALUE"""),"Школа 1252")</f>
        <v>Школа 1252</v>
      </c>
      <c r="F232" s="47" t="s">
        <v>776</v>
      </c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>
      <c r="A233" s="43" t="s">
        <v>777</v>
      </c>
      <c r="B233" s="44" t="s">
        <v>778</v>
      </c>
      <c r="C233" s="48" t="s">
        <v>779</v>
      </c>
      <c r="D233" s="6"/>
      <c r="E233" s="44" t="str">
        <f>IFERROR(__xludf.DUMMYFUNCTION("""COMPUTED_VALUE"""),"Школа 1253")</f>
        <v>Школа 1253</v>
      </c>
      <c r="F233" s="47" t="s">
        <v>780</v>
      </c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</row>
    <row r="234">
      <c r="A234" s="43" t="s">
        <v>781</v>
      </c>
      <c r="B234" s="44" t="s">
        <v>782</v>
      </c>
      <c r="C234" s="48" t="s">
        <v>783</v>
      </c>
      <c r="D234" s="6"/>
      <c r="E234" s="44" t="str">
        <f>IFERROR(__xludf.DUMMYFUNCTION("""COMPUTED_VALUE"""),"Школа им. дважды Героя Советского Союза И. С. Полбина")</f>
        <v>Школа им. дважды Героя Советского Союза И. С. Полбина</v>
      </c>
      <c r="F234" s="47" t="s">
        <v>784</v>
      </c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>
      <c r="A235" s="43" t="s">
        <v>785</v>
      </c>
      <c r="B235" s="44" t="s">
        <v>786</v>
      </c>
      <c r="C235" s="48" t="s">
        <v>787</v>
      </c>
      <c r="D235" s="6"/>
      <c r="E235" s="44" t="str">
        <f>IFERROR(__xludf.DUMMYFUNCTION("""COMPUTED_VALUE"""),"Школа 1257")</f>
        <v>Школа 1257</v>
      </c>
      <c r="F235" s="47" t="s">
        <v>788</v>
      </c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</row>
    <row r="236">
      <c r="A236" s="43" t="s">
        <v>789</v>
      </c>
      <c r="B236" s="44" t="s">
        <v>790</v>
      </c>
      <c r="C236" s="48" t="s">
        <v>791</v>
      </c>
      <c r="D236" s="6"/>
      <c r="E236" s="44" t="str">
        <f>IFERROR(__xludf.DUMMYFUNCTION("""COMPUTED_VALUE"""),"Школа 1259")</f>
        <v>Школа 1259</v>
      </c>
      <c r="F236" s="47" t="s">
        <v>792</v>
      </c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>
      <c r="A237" s="43" t="s">
        <v>793</v>
      </c>
      <c r="B237" s="44" t="s">
        <v>794</v>
      </c>
      <c r="C237" s="48" t="s">
        <v>795</v>
      </c>
      <c r="D237" s="6"/>
      <c r="E237" s="44" t="str">
        <f>IFERROR(__xludf.DUMMYFUNCTION("""COMPUTED_VALUE"""),"Школа 1270")</f>
        <v>Школа 1270</v>
      </c>
      <c r="F237" s="47" t="s">
        <v>796</v>
      </c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</row>
    <row r="238">
      <c r="A238" s="43" t="s">
        <v>797</v>
      </c>
      <c r="B238" s="44" t="s">
        <v>798</v>
      </c>
      <c r="C238" s="48" t="s">
        <v>799</v>
      </c>
      <c r="D238" s="6"/>
      <c r="E238" s="44" t="str">
        <f>IFERROR(__xludf.DUMMYFUNCTION("""COMPUTED_VALUE"""),"Школа 1272")</f>
        <v>Школа 1272</v>
      </c>
      <c r="F238" s="47" t="s">
        <v>800</v>
      </c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>
      <c r="A239" s="43" t="s">
        <v>801</v>
      </c>
      <c r="B239" s="44" t="s">
        <v>802</v>
      </c>
      <c r="C239" s="48" t="s">
        <v>803</v>
      </c>
      <c r="D239" s="6"/>
      <c r="E239" s="44" t="str">
        <f>IFERROR(__xludf.DUMMYFUNCTION("""COMPUTED_VALUE"""),"Школа 1273")</f>
        <v>Школа 1273</v>
      </c>
      <c r="F239" s="47" t="s">
        <v>804</v>
      </c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</row>
    <row r="240">
      <c r="A240" s="43" t="s">
        <v>805</v>
      </c>
      <c r="B240" s="44" t="s">
        <v>89</v>
      </c>
      <c r="C240" s="45"/>
      <c r="D240" s="6"/>
      <c r="E240" s="44" t="str">
        <f>IFERROR(__xludf.DUMMYFUNCTION("""COMPUTED_VALUE"""),"Школа им. Маяковского")</f>
        <v>Школа им. Маяковского</v>
      </c>
      <c r="F240" s="47" t="s">
        <v>806</v>
      </c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>
      <c r="A241" s="43" t="s">
        <v>807</v>
      </c>
      <c r="B241" s="44" t="s">
        <v>808</v>
      </c>
      <c r="C241" s="48" t="s">
        <v>809</v>
      </c>
      <c r="D241" s="6"/>
      <c r="E241" s="44" t="str">
        <f>IFERROR(__xludf.DUMMYFUNCTION("""COMPUTED_VALUE"""),"Школа 1279")</f>
        <v>Школа 1279</v>
      </c>
      <c r="F241" s="47" t="s">
        <v>810</v>
      </c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</row>
    <row r="242">
      <c r="A242" s="43" t="s">
        <v>811</v>
      </c>
      <c r="B242" s="44" t="s">
        <v>812</v>
      </c>
      <c r="C242" s="48" t="s">
        <v>813</v>
      </c>
      <c r="D242" s="6"/>
      <c r="E242" s="44" t="str">
        <f>IFERROR(__xludf.DUMMYFUNCTION("""COMPUTED_VALUE"""),"Школа 1282")</f>
        <v>Школа 1282</v>
      </c>
      <c r="F242" s="47" t="s">
        <v>814</v>
      </c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>
      <c r="A243" s="43" t="s">
        <v>815</v>
      </c>
      <c r="B243" s="44" t="s">
        <v>816</v>
      </c>
      <c r="C243" s="48" t="s">
        <v>817</v>
      </c>
      <c r="D243" s="6"/>
      <c r="E243" s="44" t="str">
        <f>IFERROR(__xludf.DUMMYFUNCTION("""COMPUTED_VALUE"""),"Школа 1283")</f>
        <v>Школа 1283</v>
      </c>
      <c r="F243" s="47" t="s">
        <v>818</v>
      </c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>
      <c r="A244" s="43" t="s">
        <v>819</v>
      </c>
      <c r="B244" s="44" t="s">
        <v>820</v>
      </c>
      <c r="C244" s="48" t="s">
        <v>821</v>
      </c>
      <c r="D244" s="6"/>
      <c r="E244" s="44" t="str">
        <f>IFERROR(__xludf.DUMMYFUNCTION("""COMPUTED_VALUE"""),"Школа 1284")</f>
        <v>Школа 1284</v>
      </c>
      <c r="F244" s="47" t="s">
        <v>822</v>
      </c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>
      <c r="A245" s="43" t="s">
        <v>823</v>
      </c>
      <c r="B245" s="44" t="s">
        <v>824</v>
      </c>
      <c r="C245" s="48" t="s">
        <v>825</v>
      </c>
      <c r="D245" s="6"/>
      <c r="E245" s="44" t="str">
        <f>IFERROR(__xludf.DUMMYFUNCTION("""COMPUTED_VALUE"""),"Школа 1285")</f>
        <v>Школа 1285</v>
      </c>
      <c r="F245" s="47" t="s">
        <v>826</v>
      </c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</row>
    <row r="246">
      <c r="A246" s="43" t="s">
        <v>827</v>
      </c>
      <c r="B246" s="44" t="s">
        <v>828</v>
      </c>
      <c r="C246" s="48" t="s">
        <v>829</v>
      </c>
      <c r="D246" s="6"/>
      <c r="E246" s="44" t="str">
        <f>IFERROR(__xludf.DUMMYFUNCTION("""COMPUTED_VALUE"""),"Школа 1286")</f>
        <v>Школа 1286</v>
      </c>
      <c r="F246" s="47" t="s">
        <v>830</v>
      </c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>
      <c r="A247" s="43" t="s">
        <v>831</v>
      </c>
      <c r="B247" s="44" t="s">
        <v>832</v>
      </c>
      <c r="C247" s="48" t="s">
        <v>833</v>
      </c>
      <c r="D247" s="6"/>
      <c r="E247" s="44" t="str">
        <f>IFERROR(__xludf.DUMMYFUNCTION("""COMPUTED_VALUE"""),"Школа 1287")</f>
        <v>Школа 1287</v>
      </c>
      <c r="F247" s="47" t="s">
        <v>834</v>
      </c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</row>
    <row r="248">
      <c r="A248" s="43" t="s">
        <v>835</v>
      </c>
      <c r="B248" s="44" t="s">
        <v>836</v>
      </c>
      <c r="C248" s="48" t="s">
        <v>837</v>
      </c>
      <c r="D248" s="6"/>
      <c r="E248" s="44" t="str">
        <f>IFERROR(__xludf.DUMMYFUNCTION("""COMPUTED_VALUE"""),"Школа 1288")</f>
        <v>Школа 1288</v>
      </c>
      <c r="F248" s="47" t="s">
        <v>838</v>
      </c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>
      <c r="A249" s="43" t="s">
        <v>839</v>
      </c>
      <c r="B249" s="44" t="s">
        <v>840</v>
      </c>
      <c r="C249" s="48" t="s">
        <v>841</v>
      </c>
      <c r="D249" s="6"/>
      <c r="E249" s="44" t="str">
        <f>IFERROR(__xludf.DUMMYFUNCTION("""COMPUTED_VALUE"""),"Школа 1290")</f>
        <v>Школа 1290</v>
      </c>
      <c r="F249" s="47" t="s">
        <v>842</v>
      </c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</row>
    <row r="250">
      <c r="A250" s="43" t="s">
        <v>843</v>
      </c>
      <c r="B250" s="44" t="s">
        <v>844</v>
      </c>
      <c r="C250" s="48" t="s">
        <v>845</v>
      </c>
      <c r="D250" s="6"/>
      <c r="E250" s="44" t="str">
        <f>IFERROR(__xludf.DUMMYFUNCTION("""COMPUTED_VALUE"""),"Школа 1296")</f>
        <v>Школа 1296</v>
      </c>
      <c r="F250" s="47" t="s">
        <v>846</v>
      </c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>
      <c r="A251" s="43" t="s">
        <v>847</v>
      </c>
      <c r="B251" s="44" t="s">
        <v>848</v>
      </c>
      <c r="C251" s="48" t="s">
        <v>849</v>
      </c>
      <c r="D251" s="6"/>
      <c r="E251" s="44" t="str">
        <f>IFERROR(__xludf.DUMMYFUNCTION("""COMPUTED_VALUE"""),"Школа 1297")</f>
        <v>Школа 1297</v>
      </c>
      <c r="F251" s="47" t="s">
        <v>850</v>
      </c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>
      <c r="A252" s="43" t="s">
        <v>851</v>
      </c>
      <c r="B252" s="44" t="s">
        <v>852</v>
      </c>
      <c r="C252" s="48" t="s">
        <v>853</v>
      </c>
      <c r="D252" s="6"/>
      <c r="E252" s="44" t="str">
        <f>IFERROR(__xludf.DUMMYFUNCTION("""COMPUTED_VALUE"""),"Школа 1299")</f>
        <v>Школа 1299</v>
      </c>
      <c r="F252" s="47" t="s">
        <v>854</v>
      </c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>
      <c r="A253" s="43" t="s">
        <v>855</v>
      </c>
      <c r="B253" s="44" t="s">
        <v>856</v>
      </c>
      <c r="C253" s="45"/>
      <c r="D253" s="6"/>
      <c r="E253" s="44" t="str">
        <f>IFERROR(__xludf.DUMMYFUNCTION("""COMPUTED_VALUE"""),"Школа 1302")</f>
        <v>Школа 1302</v>
      </c>
      <c r="F253" s="47" t="s">
        <v>857</v>
      </c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>
      <c r="A254" s="43" t="s">
        <v>858</v>
      </c>
      <c r="B254" s="44" t="s">
        <v>859</v>
      </c>
      <c r="C254" s="45"/>
      <c r="D254" s="6"/>
      <c r="E254" s="44" t="str">
        <f>IFERROR(__xludf.DUMMYFUNCTION("""COMPUTED_VALUE"""),"Школа 1310")</f>
        <v>Школа 1310</v>
      </c>
      <c r="F254" s="47" t="s">
        <v>860</v>
      </c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>
      <c r="A255" s="43" t="s">
        <v>861</v>
      </c>
      <c r="B255" s="44" t="s">
        <v>862</v>
      </c>
      <c r="C255" s="45"/>
      <c r="D255" s="6"/>
      <c r="E255" s="44" t="str">
        <f>IFERROR(__xludf.DUMMYFUNCTION("""COMPUTED_VALUE"""),"Школа 1311")</f>
        <v>Школа 1311</v>
      </c>
      <c r="F255" s="47" t="s">
        <v>863</v>
      </c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>
      <c r="A256" s="43" t="s">
        <v>864</v>
      </c>
      <c r="B256" s="44" t="s">
        <v>865</v>
      </c>
      <c r="C256" s="45"/>
      <c r="D256" s="6"/>
      <c r="E256" s="44" t="str">
        <f>IFERROR(__xludf.DUMMYFUNCTION("""COMPUTED_VALUE"""),"Школа 1315")</f>
        <v>Школа 1315</v>
      </c>
      <c r="F256" s="47" t="s">
        <v>866</v>
      </c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>
      <c r="A257" s="43" t="s">
        <v>867</v>
      </c>
      <c r="B257" s="44" t="s">
        <v>868</v>
      </c>
      <c r="C257" s="45"/>
      <c r="D257" s="6"/>
      <c r="E257" s="44" t="str">
        <f>IFERROR(__xludf.DUMMYFUNCTION("""COMPUTED_VALUE"""),"Школа 1317")</f>
        <v>Школа 1317</v>
      </c>
      <c r="F257" s="47" t="s">
        <v>869</v>
      </c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>
      <c r="A258" s="43" t="s">
        <v>870</v>
      </c>
      <c r="B258" s="44" t="s">
        <v>871</v>
      </c>
      <c r="C258" s="45"/>
      <c r="D258" s="6"/>
      <c r="E258" s="44" t="str">
        <f>IFERROR(__xludf.DUMMYFUNCTION("""COMPUTED_VALUE"""),"Школа 1321")</f>
        <v>Школа 1321</v>
      </c>
      <c r="F258" s="47" t="s">
        <v>872</v>
      </c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>
      <c r="A259" s="43" t="s">
        <v>873</v>
      </c>
      <c r="B259" s="44" t="s">
        <v>874</v>
      </c>
      <c r="C259" s="45"/>
      <c r="D259" s="6"/>
      <c r="E259" s="44" t="str">
        <f>IFERROR(__xludf.DUMMYFUNCTION("""COMPUTED_VALUE"""),"Школа 1324")</f>
        <v>Школа 1324</v>
      </c>
      <c r="F259" s="47" t="s">
        <v>875</v>
      </c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>
      <c r="A260" s="43" t="s">
        <v>876</v>
      </c>
      <c r="B260" s="44" t="s">
        <v>877</v>
      </c>
      <c r="C260" s="45"/>
      <c r="D260" s="6"/>
      <c r="E260" s="44" t="str">
        <f>IFERROR(__xludf.DUMMYFUNCTION("""COMPUTED_VALUE"""),"Школа 1329")</f>
        <v>Школа 1329</v>
      </c>
      <c r="F260" s="47" t="s">
        <v>878</v>
      </c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>
      <c r="A261" s="43" t="s">
        <v>879</v>
      </c>
      <c r="B261" s="44" t="s">
        <v>880</v>
      </c>
      <c r="C261" s="45"/>
      <c r="D261" s="6"/>
      <c r="E261" s="44" t="str">
        <f>IFERROR(__xludf.DUMMYFUNCTION("""COMPUTED_VALUE"""),"Школа 1347")</f>
        <v>Школа 1347</v>
      </c>
      <c r="F261" s="47" t="s">
        <v>881</v>
      </c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>
      <c r="A262" s="43" t="s">
        <v>882</v>
      </c>
      <c r="B262" s="44" t="s">
        <v>883</v>
      </c>
      <c r="C262" s="48" t="s">
        <v>884</v>
      </c>
      <c r="D262" s="6"/>
      <c r="E262" s="44" t="str">
        <f>IFERROR(__xludf.DUMMYFUNCTION("""COMPUTED_VALUE"""),"Школа Новокосино")</f>
        <v>Школа Новокосино</v>
      </c>
      <c r="F262" s="47" t="s">
        <v>885</v>
      </c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>
      <c r="A263" s="43" t="s">
        <v>886</v>
      </c>
      <c r="B263" s="44" t="s">
        <v>887</v>
      </c>
      <c r="C263" s="48" t="s">
        <v>888</v>
      </c>
      <c r="D263" s="6"/>
      <c r="E263" s="44" t="str">
        <f>IFERROR(__xludf.DUMMYFUNCTION("""COMPUTED_VALUE"""),"Школа 1352")</f>
        <v>Школа 1352</v>
      </c>
      <c r="F263" s="47" t="s">
        <v>889</v>
      </c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>
      <c r="A264" s="43" t="s">
        <v>890</v>
      </c>
      <c r="B264" s="44" t="s">
        <v>891</v>
      </c>
      <c r="C264" s="48" t="s">
        <v>892</v>
      </c>
      <c r="D264" s="6"/>
      <c r="E264" s="44" t="str">
        <f>IFERROR(__xludf.DUMMYFUNCTION("""COMPUTED_VALUE"""),"Школа 1353")</f>
        <v>Школа 1353</v>
      </c>
      <c r="F264" s="47" t="s">
        <v>893</v>
      </c>
      <c r="G264" s="51"/>
      <c r="H264" s="51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>
      <c r="A265" s="43" t="s">
        <v>894</v>
      </c>
      <c r="B265" s="44" t="s">
        <v>895</v>
      </c>
      <c r="C265" s="45"/>
      <c r="D265" s="6"/>
      <c r="E265" s="44" t="str">
        <f>IFERROR(__xludf.DUMMYFUNCTION("""COMPUTED_VALUE"""),"Школа 1354")</f>
        <v>Школа 1354</v>
      </c>
      <c r="F265" s="47" t="s">
        <v>896</v>
      </c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>
      <c r="A266" s="43" t="s">
        <v>897</v>
      </c>
      <c r="B266" s="44" t="s">
        <v>898</v>
      </c>
      <c r="C266" s="45"/>
      <c r="D266" s="6"/>
      <c r="E266" s="44" t="str">
        <f>IFERROR(__xludf.DUMMYFUNCTION("""COMPUTED_VALUE"""),"Школа 1355")</f>
        <v>Школа 1355</v>
      </c>
      <c r="F266" s="47" t="s">
        <v>899</v>
      </c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>
      <c r="A267" s="43" t="s">
        <v>900</v>
      </c>
      <c r="B267" s="44" t="s">
        <v>901</v>
      </c>
      <c r="C267" s="45"/>
      <c r="D267" s="6"/>
      <c r="E267" s="44" t="str">
        <f>IFERROR(__xludf.DUMMYFUNCTION("""COMPUTED_VALUE"""),"Школа 1356")</f>
        <v>Школа 1356</v>
      </c>
      <c r="F267" s="47" t="s">
        <v>902</v>
      </c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>
      <c r="A268" s="43" t="s">
        <v>903</v>
      </c>
      <c r="B268" s="44" t="s">
        <v>904</v>
      </c>
      <c r="C268" s="48" t="s">
        <v>905</v>
      </c>
      <c r="D268" s="6"/>
      <c r="E268" s="44" t="str">
        <f>IFERROR(__xludf.DUMMYFUNCTION("""COMPUTED_VALUE"""),"Школа 1357")</f>
        <v>Школа 1357</v>
      </c>
      <c r="F268" s="47" t="s">
        <v>906</v>
      </c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>
      <c r="A269" s="43" t="s">
        <v>907</v>
      </c>
      <c r="B269" s="44" t="s">
        <v>908</v>
      </c>
      <c r="C269" s="48" t="s">
        <v>909</v>
      </c>
      <c r="D269" s="6"/>
      <c r="E269" s="44" t="str">
        <f>IFERROR(__xludf.DUMMYFUNCTION("""COMPUTED_VALUE"""),"Школа 1358")</f>
        <v>Школа 1358</v>
      </c>
      <c r="F269" s="47" t="s">
        <v>910</v>
      </c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>
      <c r="A270" s="43" t="s">
        <v>911</v>
      </c>
      <c r="B270" s="44" t="s">
        <v>912</v>
      </c>
      <c r="C270" s="45"/>
      <c r="D270" s="6"/>
      <c r="E270" s="44" t="str">
        <f>IFERROR(__xludf.DUMMYFUNCTION("""COMPUTED_VALUE"""),"Школа 1360")</f>
        <v>Школа 1360</v>
      </c>
      <c r="F270" s="47" t="s">
        <v>913</v>
      </c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>
      <c r="A271" s="43" t="s">
        <v>914</v>
      </c>
      <c r="B271" s="44" t="s">
        <v>915</v>
      </c>
      <c r="C271" s="45"/>
      <c r="D271" s="6"/>
      <c r="E271" s="44" t="str">
        <f>IFERROR(__xludf.DUMMYFUNCTION("""COMPUTED_VALUE"""),"Школа 1363")</f>
        <v>Школа 1363</v>
      </c>
      <c r="F271" s="47" t="s">
        <v>916</v>
      </c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>
      <c r="A272" s="43" t="s">
        <v>917</v>
      </c>
      <c r="B272" s="49" t="s">
        <v>918</v>
      </c>
      <c r="C272" s="45"/>
      <c r="D272" s="6"/>
      <c r="E272" s="44" t="str">
        <f>IFERROR(__xludf.DUMMYFUNCTION("""COMPUTED_VALUE"""),"Школа 1368")</f>
        <v>Школа 1368</v>
      </c>
      <c r="F272" s="47" t="s">
        <v>919</v>
      </c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</row>
    <row r="273">
      <c r="A273" s="43" t="s">
        <v>920</v>
      </c>
      <c r="B273" s="44" t="s">
        <v>921</v>
      </c>
      <c r="C273" s="45"/>
      <c r="D273" s="6"/>
      <c r="E273" s="44" t="str">
        <f>IFERROR(__xludf.DUMMYFUNCTION("""COMPUTED_VALUE"""),"Школа 1375")</f>
        <v>Школа 1375</v>
      </c>
      <c r="F273" s="47" t="s">
        <v>922</v>
      </c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</row>
    <row r="274">
      <c r="A274" s="43" t="s">
        <v>923</v>
      </c>
      <c r="B274" s="44" t="s">
        <v>924</v>
      </c>
      <c r="C274" s="45"/>
      <c r="D274" s="6"/>
      <c r="E274" s="44" t="str">
        <f>IFERROR(__xludf.DUMMYFUNCTION("""COMPUTED_VALUE"""),"Школа 1381")</f>
        <v>Школа 1381</v>
      </c>
      <c r="F274" s="47" t="s">
        <v>925</v>
      </c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</row>
    <row r="275">
      <c r="A275" s="43" t="s">
        <v>926</v>
      </c>
      <c r="B275" s="44" t="s">
        <v>927</v>
      </c>
      <c r="C275" s="45"/>
      <c r="D275" s="6"/>
      <c r="E275" s="44" t="str">
        <f>IFERROR(__xludf.DUMMYFUNCTION("""COMPUTED_VALUE"""),"Школа 1383")</f>
        <v>Школа 1383</v>
      </c>
      <c r="F275" s="47" t="s">
        <v>928</v>
      </c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</row>
    <row r="276">
      <c r="A276" s="43" t="s">
        <v>929</v>
      </c>
      <c r="B276" s="44" t="s">
        <v>930</v>
      </c>
      <c r="C276" s="45"/>
      <c r="D276" s="6"/>
      <c r="E276" s="44" t="str">
        <f>IFERROR(__xludf.DUMMYFUNCTION("""COMPUTED_VALUE"""),"Школа 1384")</f>
        <v>Школа 1384</v>
      </c>
      <c r="F276" s="47" t="s">
        <v>931</v>
      </c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</row>
    <row r="277">
      <c r="A277" s="43" t="s">
        <v>932</v>
      </c>
      <c r="B277" s="44" t="s">
        <v>933</v>
      </c>
      <c r="C277" s="45"/>
      <c r="D277" s="6"/>
      <c r="E277" s="44" t="str">
        <f>IFERROR(__xludf.DUMMYFUNCTION("""COMPUTED_VALUE"""),"Школа 1387")</f>
        <v>Школа 1387</v>
      </c>
      <c r="F277" s="47" t="s">
        <v>934</v>
      </c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</row>
    <row r="278">
      <c r="A278" s="43" t="s">
        <v>935</v>
      </c>
      <c r="B278" s="44" t="s">
        <v>936</v>
      </c>
      <c r="C278" s="45"/>
      <c r="D278" s="6"/>
      <c r="E278" s="44" t="str">
        <f>IFERROR(__xludf.DUMMYFUNCTION("""COMPUTED_VALUE"""),"Вешняковская школа")</f>
        <v>Вешняковская школа</v>
      </c>
      <c r="F278" s="47" t="s">
        <v>937</v>
      </c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</row>
    <row r="279">
      <c r="A279" s="43" t="s">
        <v>938</v>
      </c>
      <c r="B279" s="44" t="s">
        <v>939</v>
      </c>
      <c r="C279" s="45"/>
      <c r="D279" s="6"/>
      <c r="E279" s="44" t="str">
        <f>IFERROR(__xludf.DUMMYFUNCTION("""COMPUTED_VALUE"""),"Школа 1391")</f>
        <v>Школа 1391</v>
      </c>
      <c r="F279" s="47" t="s">
        <v>940</v>
      </c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</row>
    <row r="280">
      <c r="A280" s="43" t="s">
        <v>941</v>
      </c>
      <c r="B280" s="44" t="s">
        <v>942</v>
      </c>
      <c r="C280" s="45"/>
      <c r="D280" s="6"/>
      <c r="E280" s="44" t="str">
        <f>IFERROR(__xludf.DUMMYFUNCTION("""COMPUTED_VALUE"""),"Школа 1392")</f>
        <v>Школа 1392</v>
      </c>
      <c r="F280" s="47" t="s">
        <v>943</v>
      </c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</row>
    <row r="281">
      <c r="A281" s="43" t="s">
        <v>944</v>
      </c>
      <c r="B281" s="44" t="s">
        <v>945</v>
      </c>
      <c r="C281" s="45"/>
      <c r="D281" s="6"/>
      <c r="E281" s="44" t="str">
        <f>IFERROR(__xludf.DUMMYFUNCTION("""COMPUTED_VALUE"""),"Школа 1394")</f>
        <v>Школа 1394</v>
      </c>
      <c r="F281" s="47" t="s">
        <v>946</v>
      </c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</row>
    <row r="282">
      <c r="A282" s="43" t="s">
        <v>947</v>
      </c>
      <c r="B282" s="44" t="s">
        <v>948</v>
      </c>
      <c r="C282" s="45"/>
      <c r="D282" s="6"/>
      <c r="E282" s="44" t="str">
        <f>IFERROR(__xludf.DUMMYFUNCTION("""COMPUTED_VALUE"""),"Школа 1399")</f>
        <v>Школа 1399</v>
      </c>
      <c r="F282" s="47" t="s">
        <v>949</v>
      </c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</row>
    <row r="283">
      <c r="A283" s="43" t="s">
        <v>950</v>
      </c>
      <c r="B283" s="44" t="s">
        <v>951</v>
      </c>
      <c r="C283" s="45"/>
      <c r="D283" s="6"/>
      <c r="E283" s="44" t="str">
        <f>IFERROR(__xludf.DUMMYFUNCTION("""COMPUTED_VALUE"""),"Школа 1400")</f>
        <v>Школа 1400</v>
      </c>
      <c r="F283" s="47" t="s">
        <v>952</v>
      </c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</row>
    <row r="284">
      <c r="A284" s="43" t="s">
        <v>953</v>
      </c>
      <c r="B284" s="44" t="s">
        <v>954</v>
      </c>
      <c r="C284" s="48" t="s">
        <v>813</v>
      </c>
      <c r="D284" s="6"/>
      <c r="E284" s="44" t="str">
        <f>IFERROR(__xludf.DUMMYFUNCTION("""COMPUTED_VALUE"""),"Школа 1404")</f>
        <v>Школа 1404</v>
      </c>
      <c r="F284" s="47" t="s">
        <v>955</v>
      </c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</row>
    <row r="285">
      <c r="A285" s="43" t="s">
        <v>956</v>
      </c>
      <c r="B285" s="44" t="s">
        <v>957</v>
      </c>
      <c r="C285" s="48" t="s">
        <v>771</v>
      </c>
      <c r="D285" s="6"/>
      <c r="E285" s="44" t="str">
        <f>IFERROR(__xludf.DUMMYFUNCTION("""COMPUTED_VALUE"""),"Школа 1409")</f>
        <v>Школа 1409</v>
      </c>
      <c r="F285" s="47" t="s">
        <v>958</v>
      </c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</row>
    <row r="286">
      <c r="A286" s="43" t="s">
        <v>959</v>
      </c>
      <c r="B286" s="44" t="s">
        <v>960</v>
      </c>
      <c r="C286" s="48" t="s">
        <v>961</v>
      </c>
      <c r="D286" s="6"/>
      <c r="E286" s="44" t="str">
        <f>IFERROR(__xludf.DUMMYFUNCTION("""COMPUTED_VALUE"""),"Школа 1411")</f>
        <v>Школа 1411</v>
      </c>
      <c r="F286" s="47" t="s">
        <v>962</v>
      </c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</row>
    <row r="287">
      <c r="A287" s="43" t="s">
        <v>963</v>
      </c>
      <c r="B287" s="44" t="s">
        <v>964</v>
      </c>
      <c r="C287" s="48" t="s">
        <v>965</v>
      </c>
      <c r="D287" s="6"/>
      <c r="E287" s="44" t="str">
        <f>IFERROR(__xludf.DUMMYFUNCTION("""COMPUTED_VALUE"""),"Школа 1412")</f>
        <v>Школа 1412</v>
      </c>
      <c r="F287" s="47" t="s">
        <v>966</v>
      </c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</row>
    <row r="288">
      <c r="A288" s="43" t="s">
        <v>967</v>
      </c>
      <c r="B288" s="44" t="s">
        <v>968</v>
      </c>
      <c r="C288" s="48" t="s">
        <v>969</v>
      </c>
      <c r="D288" s="6"/>
      <c r="E288" s="44" t="str">
        <f>IFERROR(__xludf.DUMMYFUNCTION("""COMPUTED_VALUE"""),"Школа 1413")</f>
        <v>Школа 1413</v>
      </c>
      <c r="F288" s="47" t="s">
        <v>970</v>
      </c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</row>
    <row r="289">
      <c r="A289" s="43" t="s">
        <v>971</v>
      </c>
      <c r="B289" s="44" t="s">
        <v>972</v>
      </c>
      <c r="C289" s="48" t="s">
        <v>973</v>
      </c>
      <c r="D289" s="6"/>
      <c r="E289" s="44" t="str">
        <f>IFERROR(__xludf.DUMMYFUNCTION("""COMPUTED_VALUE"""),"Школа 1415")</f>
        <v>Школа 1415</v>
      </c>
      <c r="F289" s="47" t="s">
        <v>974</v>
      </c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</row>
    <row r="290">
      <c r="A290" s="43" t="s">
        <v>975</v>
      </c>
      <c r="B290" s="44" t="s">
        <v>976</v>
      </c>
      <c r="C290" s="48" t="s">
        <v>977</v>
      </c>
      <c r="D290" s="6"/>
      <c r="E290" s="44" t="str">
        <f>IFERROR(__xludf.DUMMYFUNCTION("""COMPUTED_VALUE"""),"Школа 1416")</f>
        <v>Школа 1416</v>
      </c>
      <c r="F290" s="47" t="s">
        <v>978</v>
      </c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</row>
    <row r="291">
      <c r="A291" s="43" t="s">
        <v>979</v>
      </c>
      <c r="B291" s="44" t="s">
        <v>980</v>
      </c>
      <c r="C291" s="48" t="s">
        <v>981</v>
      </c>
      <c r="D291" s="6"/>
      <c r="E291" s="44" t="str">
        <f>IFERROR(__xludf.DUMMYFUNCTION("""COMPUTED_VALUE"""),"Школа 1420")</f>
        <v>Школа 1420</v>
      </c>
      <c r="F291" s="47" t="s">
        <v>982</v>
      </c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</row>
    <row r="292">
      <c r="A292" s="43" t="s">
        <v>983</v>
      </c>
      <c r="B292" s="44" t="s">
        <v>984</v>
      </c>
      <c r="C292" s="48" t="s">
        <v>985</v>
      </c>
      <c r="D292" s="6"/>
      <c r="E292" s="44" t="str">
        <f>IFERROR(__xludf.DUMMYFUNCTION("""COMPUTED_VALUE"""),"Школа 1420")</f>
        <v>Школа 1420</v>
      </c>
      <c r="F292" s="47" t="s">
        <v>986</v>
      </c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</row>
    <row r="293">
      <c r="A293" s="43" t="s">
        <v>987</v>
      </c>
      <c r="B293" s="44" t="s">
        <v>988</v>
      </c>
      <c r="C293" s="45"/>
      <c r="D293" s="6"/>
      <c r="E293" s="44" t="str">
        <f>IFERROR(__xludf.DUMMYFUNCTION("""COMPUTED_VALUE"""),"Школа им. Маршала В. И. Чуйкова")</f>
        <v>Школа им. Маршала В. И. Чуйкова</v>
      </c>
      <c r="F293" s="47" t="s">
        <v>989</v>
      </c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</row>
    <row r="294">
      <c r="A294" s="43" t="s">
        <v>990</v>
      </c>
      <c r="B294" s="44" t="s">
        <v>991</v>
      </c>
      <c r="C294" s="48" t="s">
        <v>992</v>
      </c>
      <c r="D294" s="6"/>
      <c r="E294" s="44" t="str">
        <f>IFERROR(__xludf.DUMMYFUNCTION("""COMPUTED_VALUE"""),"Школа 1440")</f>
        <v>Школа 1440</v>
      </c>
      <c r="F294" s="47" t="s">
        <v>993</v>
      </c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</row>
    <row r="295">
      <c r="A295" s="43" t="s">
        <v>994</v>
      </c>
      <c r="B295" s="44" t="s">
        <v>995</v>
      </c>
      <c r="C295" s="45"/>
      <c r="D295" s="6"/>
      <c r="E295" s="44" t="str">
        <f>IFERROR(__xludf.DUMMYFUNCTION("""COMPUTED_VALUE"""),"Школа 1448")</f>
        <v>Школа 1448</v>
      </c>
      <c r="F295" s="47" t="s">
        <v>996</v>
      </c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</row>
    <row r="296">
      <c r="A296" s="43" t="s">
        <v>997</v>
      </c>
      <c r="B296" s="44" t="s">
        <v>998</v>
      </c>
      <c r="C296" s="48" t="s">
        <v>999</v>
      </c>
      <c r="D296" s="6"/>
      <c r="E296" s="44" t="str">
        <f>IFERROR(__xludf.DUMMYFUNCTION("""COMPUTED_VALUE"""),"Школа 1450")</f>
        <v>Школа 1450</v>
      </c>
      <c r="F296" s="47" t="s">
        <v>1000</v>
      </c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>
      <c r="A297" s="43" t="s">
        <v>1001</v>
      </c>
      <c r="B297" s="44" t="s">
        <v>1002</v>
      </c>
      <c r="C297" s="48" t="s">
        <v>1003</v>
      </c>
      <c r="D297" s="6"/>
      <c r="E297" s="44" t="str">
        <f>IFERROR(__xludf.DUMMYFUNCTION("""COMPUTED_VALUE"""),"Школа 1454")</f>
        <v>Школа 1454</v>
      </c>
      <c r="F297" s="47" t="s">
        <v>1004</v>
      </c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</row>
    <row r="298">
      <c r="A298" s="43" t="s">
        <v>1005</v>
      </c>
      <c r="B298" s="44" t="s">
        <v>1006</v>
      </c>
      <c r="C298" s="45"/>
      <c r="D298" s="6"/>
      <c r="E298" s="44" t="str">
        <f>IFERROR(__xludf.DUMMYFUNCTION("""COMPUTED_VALUE"""),"Школа 1474")</f>
        <v>Школа 1474</v>
      </c>
      <c r="F298" s="47" t="s">
        <v>1007</v>
      </c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>
      <c r="A299" s="43" t="s">
        <v>1008</v>
      </c>
      <c r="B299" s="44" t="s">
        <v>1009</v>
      </c>
      <c r="C299" s="48" t="s">
        <v>1010</v>
      </c>
      <c r="D299" s="6"/>
      <c r="E299" s="44" t="str">
        <f>IFERROR(__xludf.DUMMYFUNCTION("""COMPUTED_VALUE"""),"Школа 1466")</f>
        <v>Школа 1466</v>
      </c>
      <c r="F299" s="47" t="s">
        <v>1011</v>
      </c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>
      <c r="A300" s="43" t="s">
        <v>1012</v>
      </c>
      <c r="B300" s="44" t="s">
        <v>1013</v>
      </c>
      <c r="C300" s="48" t="s">
        <v>741</v>
      </c>
      <c r="D300" s="6"/>
      <c r="E300" s="44" t="str">
        <f>IFERROR(__xludf.DUMMYFUNCTION("""COMPUTED_VALUE"""),"Школа 1467")</f>
        <v>Школа 1467</v>
      </c>
      <c r="F300" s="47" t="s">
        <v>1014</v>
      </c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>
      <c r="A301" s="43" t="s">
        <v>1015</v>
      </c>
      <c r="B301" s="44" t="s">
        <v>1016</v>
      </c>
      <c r="C301" s="48" t="s">
        <v>1017</v>
      </c>
      <c r="D301" s="6"/>
      <c r="E301" s="44" t="str">
        <f>IFERROR(__xludf.DUMMYFUNCTION("""COMPUTED_VALUE"""),"Школа 1468")</f>
        <v>Школа 1468</v>
      </c>
      <c r="F301" s="47" t="s">
        <v>1018</v>
      </c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</row>
    <row r="302">
      <c r="A302" s="43" t="s">
        <v>73</v>
      </c>
      <c r="B302" s="44" t="s">
        <v>1019</v>
      </c>
      <c r="C302" s="48" t="s">
        <v>1020</v>
      </c>
      <c r="D302" s="6"/>
      <c r="E302" s="44" t="str">
        <f>IFERROR(__xludf.DUMMYFUNCTION("""COMPUTED_VALUE"""),"Образовательный центр Протон")</f>
        <v>Образовательный центр Протон</v>
      </c>
      <c r="F302" s="47" t="s">
        <v>1021</v>
      </c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</row>
    <row r="303">
      <c r="A303" s="43" t="s">
        <v>1022</v>
      </c>
      <c r="B303" s="44" t="s">
        <v>1023</v>
      </c>
      <c r="C303" s="48" t="s">
        <v>1024</v>
      </c>
      <c r="D303" s="6"/>
      <c r="E303" s="44" t="str">
        <f>IFERROR(__xludf.DUMMYFUNCTION("""COMPUTED_VALUE"""),"Школа 1498")</f>
        <v>Школа 1498</v>
      </c>
      <c r="F303" s="47" t="s">
        <v>1025</v>
      </c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</row>
    <row r="304">
      <c r="A304" s="43" t="s">
        <v>1026</v>
      </c>
      <c r="B304" s="44" t="s">
        <v>1027</v>
      </c>
      <c r="C304" s="45"/>
      <c r="D304" s="6"/>
      <c r="E304" s="44" t="str">
        <f>IFERROR(__xludf.DUMMYFUNCTION("""COMPUTED_VALUE"""),"Школа 1500")</f>
        <v>Школа 1500</v>
      </c>
      <c r="F304" s="47" t="s">
        <v>1028</v>
      </c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</row>
    <row r="305">
      <c r="A305" s="43" t="s">
        <v>1029</v>
      </c>
      <c r="B305" s="44" t="s">
        <v>1030</v>
      </c>
      <c r="C305" s="45"/>
      <c r="D305" s="6"/>
      <c r="E305" s="44" t="str">
        <f>IFERROR(__xludf.DUMMYFUNCTION("""COMPUTED_VALUE"""),"Школа 1501")</f>
        <v>Школа 1501</v>
      </c>
      <c r="F305" s="47" t="s">
        <v>1031</v>
      </c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</row>
    <row r="306">
      <c r="A306" s="43" t="s">
        <v>1032</v>
      </c>
      <c r="B306" s="44" t="s">
        <v>1033</v>
      </c>
      <c r="C306" s="48" t="s">
        <v>1034</v>
      </c>
      <c r="D306" s="6"/>
      <c r="E306" s="44" t="str">
        <f>IFERROR(__xludf.DUMMYFUNCTION("""COMPUTED_VALUE"""),"Школа 1502")</f>
        <v>Школа 1502</v>
      </c>
      <c r="F306" s="47" t="s">
        <v>1035</v>
      </c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</row>
    <row r="307">
      <c r="A307" s="43" t="s">
        <v>1036</v>
      </c>
      <c r="B307" s="44" t="s">
        <v>1037</v>
      </c>
      <c r="C307" s="48" t="s">
        <v>1038</v>
      </c>
      <c r="D307" s="6"/>
      <c r="E307" s="44" t="str">
        <f>IFERROR(__xludf.DUMMYFUNCTION("""COMPUTED_VALUE"""),"Школа 1503")</f>
        <v>Школа 1503</v>
      </c>
      <c r="F307" s="47" t="s">
        <v>1039</v>
      </c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</row>
    <row r="308">
      <c r="A308" s="43" t="s">
        <v>1040</v>
      </c>
      <c r="B308" s="44" t="s">
        <v>1041</v>
      </c>
      <c r="C308" s="48" t="s">
        <v>1034</v>
      </c>
      <c r="D308" s="6"/>
      <c r="E308" s="44" t="str">
        <f>IFERROR(__xludf.DUMMYFUNCTION("""COMPUTED_VALUE"""),"Школа 1504")</f>
        <v>Школа 1504</v>
      </c>
      <c r="F308" s="47" t="s">
        <v>1042</v>
      </c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>
      <c r="A309" s="43" t="s">
        <v>1043</v>
      </c>
      <c r="B309" s="44" t="s">
        <v>1044</v>
      </c>
      <c r="C309" s="48" t="s">
        <v>1045</v>
      </c>
      <c r="D309" s="6"/>
      <c r="E309" s="44" t="str">
        <f>IFERROR(__xludf.DUMMYFUNCTION("""COMPUTED_VALUE"""),"Школа 1505")</f>
        <v>Школа 1505</v>
      </c>
      <c r="F309" s="47" t="s">
        <v>1046</v>
      </c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</row>
    <row r="310">
      <c r="A310" s="43" t="s">
        <v>1047</v>
      </c>
      <c r="B310" s="44" t="s">
        <v>1048</v>
      </c>
      <c r="C310" s="48" t="s">
        <v>1049</v>
      </c>
      <c r="D310" s="6"/>
      <c r="E310" s="44" t="str">
        <f>IFERROR(__xludf.DUMMYFUNCTION("""COMPUTED_VALUE"""),"Школа 1506")</f>
        <v>Школа 1506</v>
      </c>
      <c r="F310" s="47" t="s">
        <v>1050</v>
      </c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>
      <c r="A311" s="43" t="s">
        <v>1051</v>
      </c>
      <c r="B311" s="44" t="s">
        <v>1052</v>
      </c>
      <c r="C311" s="48" t="s">
        <v>1053</v>
      </c>
      <c r="D311" s="6"/>
      <c r="E311" s="44" t="str">
        <f>IFERROR(__xludf.DUMMYFUNCTION("""COMPUTED_VALUE"""),"Школа 1507")</f>
        <v>Школа 1507</v>
      </c>
      <c r="F311" s="47" t="s">
        <v>1054</v>
      </c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>
      <c r="A312" s="43" t="s">
        <v>1055</v>
      </c>
      <c r="B312" s="44" t="s">
        <v>1056</v>
      </c>
      <c r="C312" s="48" t="s">
        <v>1057</v>
      </c>
      <c r="D312" s="6"/>
      <c r="E312" s="44" t="str">
        <f>IFERROR(__xludf.DUMMYFUNCTION("""COMPUTED_VALUE"""),"Школа 1508")</f>
        <v>Школа 1508</v>
      </c>
      <c r="F312" s="47" t="s">
        <v>1058</v>
      </c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>
      <c r="A313" s="43" t="s">
        <v>1059</v>
      </c>
      <c r="B313" s="44" t="s">
        <v>1060</v>
      </c>
      <c r="C313" s="45"/>
      <c r="D313" s="6"/>
      <c r="E313" s="44" t="str">
        <f>IFERROR(__xludf.DUMMYFUNCTION("""COMPUTED_VALUE"""),"Школа 1511")</f>
        <v>Школа 1511</v>
      </c>
      <c r="F313" s="47" t="s">
        <v>1061</v>
      </c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>
      <c r="A314" s="43" t="s">
        <v>1062</v>
      </c>
      <c r="B314" s="44" t="s">
        <v>1063</v>
      </c>
      <c r="C314" s="48" t="s">
        <v>1064</v>
      </c>
      <c r="D314" s="6"/>
      <c r="E314" s="44" t="str">
        <f>IFERROR(__xludf.DUMMYFUNCTION("""COMPUTED_VALUE"""),"Школа 1512")</f>
        <v>Школа 1512</v>
      </c>
      <c r="F314" s="47" t="s">
        <v>1065</v>
      </c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>
      <c r="A315" s="43" t="s">
        <v>1066</v>
      </c>
      <c r="B315" s="44" t="s">
        <v>1067</v>
      </c>
      <c r="C315" s="45"/>
      <c r="D315" s="6"/>
      <c r="E315" s="44" t="str">
        <f>IFERROR(__xludf.DUMMYFUNCTION("""COMPUTED_VALUE"""),"Школа 1514")</f>
        <v>Школа 1514</v>
      </c>
      <c r="F315" s="47" t="s">
        <v>1068</v>
      </c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>
      <c r="A316" s="43" t="s">
        <v>1069</v>
      </c>
      <c r="B316" s="44" t="s">
        <v>1070</v>
      </c>
      <c r="C316" s="48" t="s">
        <v>1071</v>
      </c>
      <c r="D316" s="6"/>
      <c r="E316" s="44" t="str">
        <f>IFERROR(__xludf.DUMMYFUNCTION("""COMPUTED_VALUE"""),"Школа 1515")</f>
        <v>Школа 1515</v>
      </c>
      <c r="F316" s="47" t="s">
        <v>1072</v>
      </c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>
      <c r="A317" s="43" t="s">
        <v>1073</v>
      </c>
      <c r="B317" s="44" t="s">
        <v>1074</v>
      </c>
      <c r="C317" s="48" t="s">
        <v>1075</v>
      </c>
      <c r="D317" s="6"/>
      <c r="E317" s="44" t="str">
        <f>IFERROR(__xludf.DUMMYFUNCTION("""COMPUTED_VALUE"""),"Школа 1516")</f>
        <v>Школа 1516</v>
      </c>
      <c r="F317" s="47" t="s">
        <v>1076</v>
      </c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</row>
    <row r="318">
      <c r="A318" s="43" t="s">
        <v>1077</v>
      </c>
      <c r="B318" s="44" t="s">
        <v>1078</v>
      </c>
      <c r="C318" s="45"/>
      <c r="D318" s="6"/>
      <c r="E318" s="44" t="str">
        <f>IFERROR(__xludf.DUMMYFUNCTION("""COMPUTED_VALUE"""),"Школа 1517")</f>
        <v>Школа 1517</v>
      </c>
      <c r="F318" s="47" t="s">
        <v>1079</v>
      </c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</row>
    <row r="319">
      <c r="A319" s="43" t="s">
        <v>1080</v>
      </c>
      <c r="B319" s="44" t="s">
        <v>1081</v>
      </c>
      <c r="C319" s="48" t="s">
        <v>1082</v>
      </c>
      <c r="D319" s="6"/>
      <c r="E319" s="44" t="str">
        <f>IFERROR(__xludf.DUMMYFUNCTION("""COMPUTED_VALUE"""),"Школа 1518")</f>
        <v>Школа 1518</v>
      </c>
      <c r="F319" s="47" t="s">
        <v>1083</v>
      </c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</row>
    <row r="320">
      <c r="A320" s="43" t="s">
        <v>1084</v>
      </c>
      <c r="B320" s="44" t="s">
        <v>1085</v>
      </c>
      <c r="C320" s="48" t="s">
        <v>1086</v>
      </c>
      <c r="D320" s="6"/>
      <c r="E320" s="44" t="str">
        <f>IFERROR(__xludf.DUMMYFUNCTION("""COMPUTED_VALUE"""),"Школа 1519")</f>
        <v>Школа 1519</v>
      </c>
      <c r="F320" s="47" t="s">
        <v>1087</v>
      </c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</row>
    <row r="321">
      <c r="A321" s="43" t="s">
        <v>1088</v>
      </c>
      <c r="B321" s="44" t="s">
        <v>1089</v>
      </c>
      <c r="C321" s="48" t="s">
        <v>1090</v>
      </c>
      <c r="D321" s="6"/>
      <c r="E321" s="44" t="str">
        <f>IFERROR(__xludf.DUMMYFUNCTION("""COMPUTED_VALUE"""),"Школа 1520")</f>
        <v>Школа 1520</v>
      </c>
      <c r="F321" s="47" t="s">
        <v>1091</v>
      </c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</row>
    <row r="322">
      <c r="A322" s="43" t="s">
        <v>1092</v>
      </c>
      <c r="B322" s="44" t="s">
        <v>1093</v>
      </c>
      <c r="C322" s="48" t="s">
        <v>1094</v>
      </c>
      <c r="D322" s="6"/>
      <c r="E322" s="44" t="str">
        <f>IFERROR(__xludf.DUMMYFUNCTION("""COMPUTED_VALUE"""),"Школа 1522")</f>
        <v>Школа 1522</v>
      </c>
      <c r="F322" s="47" t="s">
        <v>1095</v>
      </c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</row>
    <row r="323">
      <c r="A323" s="43" t="s">
        <v>1096</v>
      </c>
      <c r="B323" s="44" t="s">
        <v>1097</v>
      </c>
      <c r="C323" s="45"/>
      <c r="D323" s="6"/>
      <c r="E323" s="44" t="str">
        <f>IFERROR(__xludf.DUMMYFUNCTION("""COMPUTED_VALUE"""),"Школа 1523")</f>
        <v>Школа 1523</v>
      </c>
      <c r="F323" s="47" t="s">
        <v>1098</v>
      </c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</row>
    <row r="324">
      <c r="A324" s="43" t="s">
        <v>1099</v>
      </c>
      <c r="B324" s="44" t="s">
        <v>1100</v>
      </c>
      <c r="C324" s="48" t="s">
        <v>1101</v>
      </c>
      <c r="D324" s="6"/>
      <c r="E324" s="44" t="str">
        <f>IFERROR(__xludf.DUMMYFUNCTION("""COMPUTED_VALUE"""),"Школа 1524")</f>
        <v>Школа 1524</v>
      </c>
      <c r="F324" s="47" t="s">
        <v>1102</v>
      </c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</row>
    <row r="325">
      <c r="A325" s="43" t="s">
        <v>1103</v>
      </c>
      <c r="B325" s="44" t="s">
        <v>1104</v>
      </c>
      <c r="C325" s="48" t="s">
        <v>1105</v>
      </c>
      <c r="D325" s="6"/>
      <c r="E325" s="44" t="str">
        <f>IFERROR(__xludf.DUMMYFUNCTION("""COMPUTED_VALUE"""),"Школа 1526")</f>
        <v>Школа 1526</v>
      </c>
      <c r="F325" s="47" t="s">
        <v>1106</v>
      </c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</row>
    <row r="326">
      <c r="A326" s="43" t="s">
        <v>1107</v>
      </c>
      <c r="B326" s="44" t="s">
        <v>1108</v>
      </c>
      <c r="C326" s="48" t="s">
        <v>374</v>
      </c>
      <c r="D326" s="6"/>
      <c r="E326" s="44" t="str">
        <f>IFERROR(__xludf.DUMMYFUNCTION("""COMPUTED_VALUE"""),"Школа 1527")</f>
        <v>Школа 1527</v>
      </c>
      <c r="F326" s="47" t="s">
        <v>1109</v>
      </c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</row>
    <row r="327">
      <c r="A327" s="43" t="s">
        <v>1110</v>
      </c>
      <c r="B327" s="44" t="s">
        <v>1111</v>
      </c>
      <c r="C327" s="48" t="s">
        <v>1112</v>
      </c>
      <c r="D327" s="6"/>
      <c r="E327" s="44" t="str">
        <f>IFERROR(__xludf.DUMMYFUNCTION("""COMPUTED_VALUE"""),"Школа 1528")</f>
        <v>Школа 1528</v>
      </c>
      <c r="F327" s="47" t="s">
        <v>1113</v>
      </c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</row>
    <row r="328">
      <c r="A328" s="43" t="s">
        <v>1114</v>
      </c>
      <c r="B328" s="44" t="s">
        <v>1115</v>
      </c>
      <c r="C328" s="48" t="s">
        <v>1116</v>
      </c>
      <c r="D328" s="6"/>
      <c r="E328" s="44" t="str">
        <f>IFERROR(__xludf.DUMMYFUNCTION("""COMPUTED_VALUE"""),"Школа 1529")</f>
        <v>Школа 1529</v>
      </c>
      <c r="F328" s="47" t="s">
        <v>1117</v>
      </c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</row>
    <row r="329">
      <c r="A329" s="43" t="s">
        <v>1118</v>
      </c>
      <c r="B329" s="44" t="s">
        <v>1119</v>
      </c>
      <c r="C329" s="48" t="s">
        <v>813</v>
      </c>
      <c r="D329" s="6"/>
      <c r="E329" s="44" t="str">
        <f>IFERROR(__xludf.DUMMYFUNCTION("""COMPUTED_VALUE"""),"Школа 1530")</f>
        <v>Школа 1530</v>
      </c>
      <c r="F329" s="47" t="s">
        <v>1120</v>
      </c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</row>
    <row r="330">
      <c r="A330" s="43" t="s">
        <v>1121</v>
      </c>
      <c r="B330" s="44" t="s">
        <v>1122</v>
      </c>
      <c r="C330" s="48" t="s">
        <v>1082</v>
      </c>
      <c r="D330" s="6"/>
      <c r="E330" s="44" t="str">
        <f>IFERROR(__xludf.DUMMYFUNCTION("""COMPUTED_VALUE"""),"Школа 1531")</f>
        <v>Школа 1531</v>
      </c>
      <c r="F330" s="47" t="s">
        <v>1123</v>
      </c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</row>
    <row r="331">
      <c r="A331" s="43" t="s">
        <v>1124</v>
      </c>
      <c r="B331" s="44" t="s">
        <v>1125</v>
      </c>
      <c r="C331" s="48" t="s">
        <v>1126</v>
      </c>
      <c r="D331" s="6"/>
      <c r="E331" s="44" t="str">
        <f>IFERROR(__xludf.DUMMYFUNCTION("""COMPUTED_VALUE"""),"Школа 1532")</f>
        <v>Школа 1532</v>
      </c>
      <c r="F331" s="47" t="s">
        <v>1127</v>
      </c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</row>
    <row r="332">
      <c r="A332" s="43" t="s">
        <v>1128</v>
      </c>
      <c r="B332" s="44" t="s">
        <v>1129</v>
      </c>
      <c r="C332" s="48" t="s">
        <v>1130</v>
      </c>
      <c r="D332" s="6"/>
      <c r="E332" s="44" t="str">
        <f>IFERROR(__xludf.DUMMYFUNCTION("""COMPUTED_VALUE"""),"Школа 1533")</f>
        <v>Школа 1533</v>
      </c>
      <c r="F332" s="47" t="s">
        <v>1131</v>
      </c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</row>
    <row r="333">
      <c r="A333" s="43" t="s">
        <v>1132</v>
      </c>
      <c r="B333" s="44" t="s">
        <v>1133</v>
      </c>
      <c r="C333" s="48" t="s">
        <v>1134</v>
      </c>
      <c r="D333" s="6"/>
      <c r="E333" s="44" t="str">
        <f>IFERROR(__xludf.DUMMYFUNCTION("""COMPUTED_VALUE"""),"Школа 1534")</f>
        <v>Школа 1534</v>
      </c>
      <c r="F333" s="47" t="s">
        <v>1135</v>
      </c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</row>
    <row r="334">
      <c r="A334" s="43" t="s">
        <v>1136</v>
      </c>
      <c r="B334" s="44" t="s">
        <v>1137</v>
      </c>
      <c r="C334" s="48" t="s">
        <v>1138</v>
      </c>
      <c r="D334" s="6"/>
      <c r="E334" s="44" t="str">
        <f>IFERROR(__xludf.DUMMYFUNCTION("""COMPUTED_VALUE"""),"Школа 1535")</f>
        <v>Школа 1535</v>
      </c>
      <c r="F334" s="47" t="s">
        <v>1139</v>
      </c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</row>
    <row r="335">
      <c r="A335" s="43" t="s">
        <v>1140</v>
      </c>
      <c r="B335" s="44" t="s">
        <v>1141</v>
      </c>
      <c r="C335" s="48" t="s">
        <v>1142</v>
      </c>
      <c r="D335" s="6"/>
      <c r="E335" s="44" t="str">
        <f>IFERROR(__xludf.DUMMYFUNCTION("""COMPUTED_VALUE"""),"Школа 1537")</f>
        <v>Школа 1537</v>
      </c>
      <c r="F335" s="47" t="s">
        <v>1143</v>
      </c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</row>
    <row r="336">
      <c r="A336" s="43" t="s">
        <v>1144</v>
      </c>
      <c r="B336" s="44" t="s">
        <v>1145</v>
      </c>
      <c r="C336" s="48" t="s">
        <v>1146</v>
      </c>
      <c r="D336" s="6"/>
      <c r="E336" s="44" t="str">
        <f>IFERROR(__xludf.DUMMYFUNCTION("""COMPUTED_VALUE"""),"Школа 1538")</f>
        <v>Школа 1538</v>
      </c>
      <c r="F336" s="47" t="s">
        <v>1147</v>
      </c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</row>
    <row r="337">
      <c r="A337" s="43" t="s">
        <v>1148</v>
      </c>
      <c r="B337" s="44" t="s">
        <v>1149</v>
      </c>
      <c r="C337" s="48" t="s">
        <v>1038</v>
      </c>
      <c r="D337" s="6"/>
      <c r="E337" s="44" t="str">
        <f>IFERROR(__xludf.DUMMYFUNCTION("""COMPUTED_VALUE"""),"Школа 1539")</f>
        <v>Школа 1539</v>
      </c>
      <c r="F337" s="47" t="s">
        <v>1150</v>
      </c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</row>
    <row r="338">
      <c r="A338" s="43" t="s">
        <v>1151</v>
      </c>
      <c r="B338" s="44" t="s">
        <v>1152</v>
      </c>
      <c r="C338" s="48" t="s">
        <v>853</v>
      </c>
      <c r="D338" s="6"/>
      <c r="E338" s="44" t="str">
        <f>IFERROR(__xludf.DUMMYFUNCTION("""COMPUTED_VALUE"""),"Школа 1540")</f>
        <v>Школа 1540</v>
      </c>
      <c r="F338" s="47" t="s">
        <v>854</v>
      </c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</row>
    <row r="339">
      <c r="A339" s="43" t="s">
        <v>1153</v>
      </c>
      <c r="B339" s="44" t="s">
        <v>1154</v>
      </c>
      <c r="C339" s="48" t="s">
        <v>1155</v>
      </c>
      <c r="D339" s="6"/>
      <c r="E339" s="44" t="str">
        <f>IFERROR(__xludf.DUMMYFUNCTION("""COMPUTED_VALUE"""),"Школа 1541")</f>
        <v>Школа 1541</v>
      </c>
      <c r="F339" s="47" t="s">
        <v>1156</v>
      </c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</row>
    <row r="340">
      <c r="A340" s="43" t="s">
        <v>1157</v>
      </c>
      <c r="B340" s="44" t="s">
        <v>1158</v>
      </c>
      <c r="C340" s="48" t="s">
        <v>1159</v>
      </c>
      <c r="D340" s="6"/>
      <c r="E340" s="44" t="str">
        <f>IFERROR(__xludf.DUMMYFUNCTION("""COMPUTED_VALUE"""),"Школа 1542")</f>
        <v>Школа 1542</v>
      </c>
      <c r="F340" s="47" t="s">
        <v>1160</v>
      </c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</row>
    <row r="341">
      <c r="A341" s="43" t="s">
        <v>1161</v>
      </c>
      <c r="B341" s="44" t="s">
        <v>1162</v>
      </c>
      <c r="C341" s="48" t="s">
        <v>1163</v>
      </c>
      <c r="D341" s="6"/>
      <c r="E341" s="44" t="str">
        <f>IFERROR(__xludf.DUMMYFUNCTION("""COMPUTED_VALUE"""),"Школа 1543")</f>
        <v>Школа 1543</v>
      </c>
      <c r="F341" s="47" t="s">
        <v>1164</v>
      </c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</row>
    <row r="342">
      <c r="A342" s="43" t="s">
        <v>1165</v>
      </c>
      <c r="B342" s="44" t="s">
        <v>1166</v>
      </c>
      <c r="C342" s="48" t="s">
        <v>1167</v>
      </c>
      <c r="D342" s="6"/>
      <c r="E342" s="44" t="str">
        <f>IFERROR(__xludf.DUMMYFUNCTION("""COMPUTED_VALUE"""),"Школа 1544")</f>
        <v>Школа 1544</v>
      </c>
      <c r="F342" s="47" t="s">
        <v>1168</v>
      </c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</row>
    <row r="343">
      <c r="A343" s="43" t="s">
        <v>1169</v>
      </c>
      <c r="B343" s="44" t="s">
        <v>1170</v>
      </c>
      <c r="C343" s="45"/>
      <c r="D343" s="6"/>
      <c r="E343" s="44" t="str">
        <f>IFERROR(__xludf.DUMMYFUNCTION("""COMPUTED_VALUE"""),"Школа 1547")</f>
        <v>Школа 1547</v>
      </c>
      <c r="F343" s="47" t="s">
        <v>1171</v>
      </c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</row>
    <row r="344">
      <c r="A344" s="43" t="s">
        <v>1172</v>
      </c>
      <c r="B344" s="44" t="s">
        <v>1173</v>
      </c>
      <c r="C344" s="48" t="s">
        <v>837</v>
      </c>
      <c r="D344" s="6"/>
      <c r="E344" s="44" t="str">
        <f>IFERROR(__xludf.DUMMYFUNCTION("""COMPUTED_VALUE"""),"Школа 1550")</f>
        <v>Школа 1550</v>
      </c>
      <c r="F344" s="47" t="s">
        <v>1174</v>
      </c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</row>
    <row r="345">
      <c r="A345" s="43" t="s">
        <v>1175</v>
      </c>
      <c r="B345" s="44" t="s">
        <v>1176</v>
      </c>
      <c r="C345" s="48" t="s">
        <v>1177</v>
      </c>
      <c r="D345" s="6"/>
      <c r="E345" s="44" t="str">
        <f>IFERROR(__xludf.DUMMYFUNCTION("""COMPUTED_VALUE"""),"Школа 1551")</f>
        <v>Школа 1551</v>
      </c>
      <c r="F345" s="47" t="s">
        <v>1178</v>
      </c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</row>
    <row r="346">
      <c r="A346" s="43" t="s">
        <v>1179</v>
      </c>
      <c r="B346" s="44" t="s">
        <v>1180</v>
      </c>
      <c r="C346" s="45"/>
      <c r="D346" s="6"/>
      <c r="E346" s="44" t="str">
        <f>IFERROR(__xludf.DUMMYFUNCTION("""COMPUTED_VALUE"""),"Школа 1552")</f>
        <v>Школа 1552</v>
      </c>
      <c r="F346" s="47" t="s">
        <v>1181</v>
      </c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</row>
    <row r="347">
      <c r="A347" s="43" t="s">
        <v>1182</v>
      </c>
      <c r="B347" s="44" t="s">
        <v>1183</v>
      </c>
      <c r="C347" s="45"/>
      <c r="D347" s="6"/>
      <c r="E347" s="44" t="str">
        <f>IFERROR(__xludf.DUMMYFUNCTION("""COMPUTED_VALUE"""),"Школа 1553")</f>
        <v>Школа 1553</v>
      </c>
      <c r="F347" s="47" t="s">
        <v>1184</v>
      </c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</row>
    <row r="348">
      <c r="A348" s="43" t="s">
        <v>1185</v>
      </c>
      <c r="B348" s="44" t="s">
        <v>1186</v>
      </c>
      <c r="C348" s="48" t="s">
        <v>1187</v>
      </c>
      <c r="D348" s="6"/>
      <c r="E348" s="44" t="str">
        <f>IFERROR(__xludf.DUMMYFUNCTION("""COMPUTED_VALUE"""),"Школа 1554")</f>
        <v>Школа 1554</v>
      </c>
      <c r="F348" s="47" t="s">
        <v>1188</v>
      </c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</row>
    <row r="349">
      <c r="A349" s="43" t="s">
        <v>1189</v>
      </c>
      <c r="B349" s="44" t="s">
        <v>1190</v>
      </c>
      <c r="C349" s="48" t="s">
        <v>1191</v>
      </c>
      <c r="D349" s="6"/>
      <c r="E349" s="44" t="str">
        <f>IFERROR(__xludf.DUMMYFUNCTION("""COMPUTED_VALUE"""),"Школа 1557")</f>
        <v>Школа 1557</v>
      </c>
      <c r="F349" s="47" t="s">
        <v>1192</v>
      </c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</row>
    <row r="350">
      <c r="A350" s="43" t="s">
        <v>1193</v>
      </c>
      <c r="B350" s="44" t="s">
        <v>1194</v>
      </c>
      <c r="C350" s="48" t="s">
        <v>1195</v>
      </c>
      <c r="D350" s="6"/>
      <c r="E350" s="44" t="str">
        <f>IFERROR(__xludf.DUMMYFUNCTION("""COMPUTED_VALUE"""),"Школа 1558")</f>
        <v>Школа 1558</v>
      </c>
      <c r="F350" s="47" t="s">
        <v>1196</v>
      </c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</row>
    <row r="351">
      <c r="A351" s="43" t="s">
        <v>1197</v>
      </c>
      <c r="B351" s="44" t="s">
        <v>1198</v>
      </c>
      <c r="C351" s="48" t="s">
        <v>1094</v>
      </c>
      <c r="D351" s="6"/>
      <c r="E351" s="44" t="str">
        <f>IFERROR(__xludf.DUMMYFUNCTION("""COMPUTED_VALUE"""),"Школа 1560")</f>
        <v>Школа 1560</v>
      </c>
      <c r="F351" s="47" t="s">
        <v>1199</v>
      </c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</row>
    <row r="352">
      <c r="A352" s="43" t="s">
        <v>1200</v>
      </c>
      <c r="B352" s="44" t="s">
        <v>1201</v>
      </c>
      <c r="C352" s="45"/>
      <c r="D352" s="6"/>
      <c r="E352" s="44" t="str">
        <f>IFERROR(__xludf.DUMMYFUNCTION("""COMPUTED_VALUE"""),"Школа 1561")</f>
        <v>Школа 1561</v>
      </c>
      <c r="F352" s="47" t="s">
        <v>1202</v>
      </c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</row>
    <row r="353">
      <c r="A353" s="43" t="s">
        <v>1203</v>
      </c>
      <c r="B353" s="44" t="s">
        <v>1204</v>
      </c>
      <c r="C353" s="48" t="s">
        <v>1205</v>
      </c>
      <c r="D353" s="6"/>
      <c r="E353" s="44" t="str">
        <f>IFERROR(__xludf.DUMMYFUNCTION("""COMPUTED_VALUE"""),"Школа 1566")</f>
        <v>Школа 1566</v>
      </c>
      <c r="F353" s="47" t="s">
        <v>1206</v>
      </c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</row>
    <row r="354">
      <c r="A354" s="43" t="s">
        <v>1207</v>
      </c>
      <c r="B354" s="44" t="s">
        <v>1208</v>
      </c>
      <c r="C354" s="48" t="s">
        <v>1209</v>
      </c>
      <c r="D354" s="6"/>
      <c r="E354" s="44" t="str">
        <f>IFERROR(__xludf.DUMMYFUNCTION("""COMPUTED_VALUE"""),"Школа 1568")</f>
        <v>Школа 1568</v>
      </c>
      <c r="F354" s="47" t="s">
        <v>1210</v>
      </c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</row>
    <row r="355">
      <c r="A355" s="43" t="s">
        <v>1211</v>
      </c>
      <c r="B355" s="44" t="s">
        <v>1212</v>
      </c>
      <c r="C355" s="45"/>
      <c r="D355" s="6"/>
      <c r="E355" s="44" t="str">
        <f>IFERROR(__xludf.DUMMYFUNCTION("""COMPUTED_VALUE"""),"Школа 1569")</f>
        <v>Школа 1569</v>
      </c>
      <c r="F355" s="47" t="s">
        <v>1213</v>
      </c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</row>
    <row r="356">
      <c r="A356" s="43" t="s">
        <v>1214</v>
      </c>
      <c r="B356" s="44" t="s">
        <v>1215</v>
      </c>
      <c r="C356" s="45"/>
      <c r="D356" s="6"/>
      <c r="E356" s="44" t="str">
        <f>IFERROR(__xludf.DUMMYFUNCTION("""COMPUTED_VALUE"""),"Школа 1570")</f>
        <v>Школа 1570</v>
      </c>
      <c r="F356" s="47" t="s">
        <v>1216</v>
      </c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</row>
    <row r="357">
      <c r="A357" s="43" t="s">
        <v>1217</v>
      </c>
      <c r="B357" s="44" t="s">
        <v>1218</v>
      </c>
      <c r="C357" s="45"/>
      <c r="D357" s="6"/>
      <c r="E357" s="44" t="str">
        <f>IFERROR(__xludf.DUMMYFUNCTION("""COMPUTED_VALUE"""),"Школа 1573")</f>
        <v>Школа 1573</v>
      </c>
      <c r="F357" s="47" t="s">
        <v>1219</v>
      </c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</row>
    <row r="358">
      <c r="A358" s="43" t="s">
        <v>1220</v>
      </c>
      <c r="B358" s="44" t="s">
        <v>1221</v>
      </c>
      <c r="C358" s="45"/>
      <c r="D358" s="6"/>
      <c r="E358" s="44" t="str">
        <f>IFERROR(__xludf.DUMMYFUNCTION("""COMPUTED_VALUE"""),"Школа 1574")</f>
        <v>Школа 1574</v>
      </c>
      <c r="F358" s="47" t="s">
        <v>1222</v>
      </c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</row>
    <row r="359">
      <c r="A359" s="43" t="s">
        <v>1223</v>
      </c>
      <c r="B359" s="44" t="s">
        <v>1224</v>
      </c>
      <c r="C359" s="48" t="s">
        <v>1225</v>
      </c>
      <c r="D359" s="6"/>
      <c r="E359" s="44" t="str">
        <f>IFERROR(__xludf.DUMMYFUNCTION("""COMPUTED_VALUE"""),"Школа 1576")</f>
        <v>Школа 1576</v>
      </c>
      <c r="F359" s="47" t="s">
        <v>1226</v>
      </c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</row>
    <row r="360">
      <c r="A360" s="43" t="s">
        <v>1227</v>
      </c>
      <c r="B360" s="44" t="s">
        <v>1228</v>
      </c>
      <c r="C360" s="48" t="s">
        <v>1229</v>
      </c>
      <c r="D360" s="6"/>
      <c r="E360" s="44" t="str">
        <f>IFERROR(__xludf.DUMMYFUNCTION("""COMPUTED_VALUE"""),"Школа 1579")</f>
        <v>Школа 1579</v>
      </c>
      <c r="F360" s="47" t="s">
        <v>1230</v>
      </c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</row>
    <row r="361">
      <c r="A361" s="43" t="s">
        <v>1231</v>
      </c>
      <c r="B361" s="44" t="s">
        <v>1232</v>
      </c>
      <c r="C361" s="45"/>
      <c r="D361" s="6"/>
      <c r="E361" s="44" t="str">
        <f>IFERROR(__xludf.DUMMYFUNCTION("""COMPUTED_VALUE"""),"Школа 1580")</f>
        <v>Школа 1580</v>
      </c>
      <c r="F361" s="47" t="s">
        <v>1233</v>
      </c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</row>
    <row r="362">
      <c r="A362" s="43" t="s">
        <v>1234</v>
      </c>
      <c r="B362" s="44" t="s">
        <v>1235</v>
      </c>
      <c r="C362" s="48" t="s">
        <v>1236</v>
      </c>
      <c r="D362" s="6"/>
      <c r="E362" s="44" t="str">
        <f>IFERROR(__xludf.DUMMYFUNCTION("""COMPUTED_VALUE"""),"Школа 1581")</f>
        <v>Школа 1581</v>
      </c>
      <c r="F362" s="47" t="s">
        <v>1237</v>
      </c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</row>
    <row r="363">
      <c r="A363" s="43" t="s">
        <v>1238</v>
      </c>
      <c r="B363" s="44" t="s">
        <v>1239</v>
      </c>
      <c r="C363" s="45"/>
      <c r="D363" s="6"/>
      <c r="E363" s="44" t="str">
        <f>IFERROR(__xludf.DUMMYFUNCTION("""COMPUTED_VALUE"""),"Школа 1582")</f>
        <v>Школа 1582</v>
      </c>
      <c r="F363" s="47" t="s">
        <v>1240</v>
      </c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</row>
    <row r="364">
      <c r="A364" s="43" t="s">
        <v>1241</v>
      </c>
      <c r="B364" s="44" t="s">
        <v>1242</v>
      </c>
      <c r="C364" s="48" t="s">
        <v>1243</v>
      </c>
      <c r="D364" s="6"/>
      <c r="E364" s="44" t="str">
        <f>IFERROR(__xludf.DUMMYFUNCTION("""COMPUTED_VALUE"""),"Школа 1583")</f>
        <v>Школа 1583</v>
      </c>
      <c r="F364" s="47" t="s">
        <v>1244</v>
      </c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</row>
    <row r="365">
      <c r="A365" s="43" t="s">
        <v>1245</v>
      </c>
      <c r="B365" s="44" t="s">
        <v>1246</v>
      </c>
      <c r="C365" s="48" t="s">
        <v>1247</v>
      </c>
      <c r="D365" s="6"/>
      <c r="E365" s="44" t="str">
        <f>IFERROR(__xludf.DUMMYFUNCTION("""COMPUTED_VALUE"""),"Школа 1584")</f>
        <v>Школа 1584</v>
      </c>
      <c r="F365" s="47" t="s">
        <v>1248</v>
      </c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</row>
    <row r="366">
      <c r="A366" s="43" t="s">
        <v>1249</v>
      </c>
      <c r="B366" s="44" t="s">
        <v>1250</v>
      </c>
      <c r="C366" s="48" t="s">
        <v>1251</v>
      </c>
      <c r="D366" s="6"/>
      <c r="E366" s="44" t="str">
        <f>IFERROR(__xludf.DUMMYFUNCTION("""COMPUTED_VALUE"""),"Школа 1586")</f>
        <v>Школа 1586</v>
      </c>
      <c r="F366" s="47" t="s">
        <v>1252</v>
      </c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</row>
    <row r="367">
      <c r="A367" s="43" t="s">
        <v>1253</v>
      </c>
      <c r="B367" s="44" t="s">
        <v>1254</v>
      </c>
      <c r="C367" s="48" t="s">
        <v>1255</v>
      </c>
      <c r="D367" s="6"/>
      <c r="E367" s="44" t="str">
        <f>IFERROR(__xludf.DUMMYFUNCTION("""COMPUTED_VALUE"""),"Школа 1589")</f>
        <v>Школа 1589</v>
      </c>
      <c r="F367" s="47" t="s">
        <v>1256</v>
      </c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</row>
    <row r="368">
      <c r="A368" s="43" t="s">
        <v>1257</v>
      </c>
      <c r="B368" s="44" t="s">
        <v>1258</v>
      </c>
      <c r="C368" s="48" t="s">
        <v>1259</v>
      </c>
      <c r="D368" s="6"/>
      <c r="E368" s="44" t="str">
        <f>IFERROR(__xludf.DUMMYFUNCTION("""COMPUTED_VALUE"""),"Школа 1590")</f>
        <v>Школа 1590</v>
      </c>
      <c r="F368" s="47" t="s">
        <v>1260</v>
      </c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</row>
    <row r="369">
      <c r="A369" s="43" t="s">
        <v>1261</v>
      </c>
      <c r="B369" s="44" t="s">
        <v>1262</v>
      </c>
      <c r="C369" s="48" t="s">
        <v>1263</v>
      </c>
      <c r="D369" s="6"/>
      <c r="E369" s="44" t="str">
        <f>IFERROR(__xludf.DUMMYFUNCTION("""COMPUTED_VALUE"""),"Школа 1591")</f>
        <v>Школа 1591</v>
      </c>
      <c r="F369" s="47" t="s">
        <v>1264</v>
      </c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</row>
    <row r="370">
      <c r="A370" s="43" t="s">
        <v>1265</v>
      </c>
      <c r="B370" s="44" t="s">
        <v>1266</v>
      </c>
      <c r="C370" s="48" t="s">
        <v>1267</v>
      </c>
      <c r="D370" s="6"/>
      <c r="E370" s="44" t="str">
        <f>IFERROR(__xludf.DUMMYFUNCTION("""COMPUTED_VALUE"""),"Школа им. Героя Российской Федерации Е. Н. Чернышева")</f>
        <v>Школа им. Героя Российской Федерации Е. Н. Чернышева</v>
      </c>
      <c r="F370" s="47" t="s">
        <v>1268</v>
      </c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</row>
    <row r="371">
      <c r="A371" s="43" t="s">
        <v>1269</v>
      </c>
      <c r="B371" s="44" t="s">
        <v>1270</v>
      </c>
      <c r="C371" s="48" t="s">
        <v>1271</v>
      </c>
      <c r="D371" s="6"/>
      <c r="E371" s="44" t="str">
        <f>IFERROR(__xludf.DUMMYFUNCTION("""COMPUTED_VALUE"""),"Школа в Некрасовке")</f>
        <v>Школа в Некрасовке</v>
      </c>
      <c r="F371" s="47" t="s">
        <v>1272</v>
      </c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</row>
    <row r="372">
      <c r="A372" s="43" t="s">
        <v>1273</v>
      </c>
      <c r="B372" s="44" t="s">
        <v>1274</v>
      </c>
      <c r="C372" s="48" t="s">
        <v>1275</v>
      </c>
      <c r="D372" s="6"/>
      <c r="E372" s="44" t="str">
        <f>IFERROR(__xludf.DUMMYFUNCTION("""COMPUTED_VALUE"""),"Школа 1601")</f>
        <v>Школа 1601</v>
      </c>
      <c r="F372" s="47" t="s">
        <v>1276</v>
      </c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</row>
    <row r="373">
      <c r="A373" s="43" t="s">
        <v>1277</v>
      </c>
      <c r="B373" s="44" t="s">
        <v>1278</v>
      </c>
      <c r="C373" s="48" t="s">
        <v>1279</v>
      </c>
      <c r="D373" s="6"/>
      <c r="E373" s="44" t="str">
        <f>IFERROR(__xludf.DUMMYFUNCTION("""COMPUTED_VALUE"""),"Школа 1619")</f>
        <v>Школа 1619</v>
      </c>
      <c r="F373" s="47" t="s">
        <v>1280</v>
      </c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</row>
    <row r="374">
      <c r="A374" s="43" t="s">
        <v>1281</v>
      </c>
      <c r="B374" s="44" t="s">
        <v>1282</v>
      </c>
      <c r="C374" s="50"/>
      <c r="D374" s="6"/>
      <c r="E374" s="44" t="str">
        <f>IFERROR(__xludf.DUMMYFUNCTION("""COMPUTED_VALUE"""),"Школа 1621")</f>
        <v>Школа 1621</v>
      </c>
      <c r="F374" s="47" t="s">
        <v>1283</v>
      </c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</row>
    <row r="375">
      <c r="A375" s="43" t="s">
        <v>1284</v>
      </c>
      <c r="B375" s="44" t="s">
        <v>1285</v>
      </c>
      <c r="C375" s="48" t="s">
        <v>1286</v>
      </c>
      <c r="D375" s="6"/>
      <c r="E375" s="44" t="str">
        <f>IFERROR(__xludf.DUMMYFUNCTION("""COMPUTED_VALUE"""),"Школа Дмитровский")</f>
        <v>Школа Дмитровский</v>
      </c>
      <c r="F375" s="47" t="s">
        <v>1287</v>
      </c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</row>
    <row r="376">
      <c r="A376" s="43" t="s">
        <v>1288</v>
      </c>
      <c r="B376" s="44" t="s">
        <v>1289</v>
      </c>
      <c r="C376" s="48" t="s">
        <v>1290</v>
      </c>
      <c r="D376" s="6"/>
      <c r="E376" s="44" t="str">
        <f>IFERROR(__xludf.DUMMYFUNCTION("""COMPUTED_VALUE"""),"Школа 1633")</f>
        <v>Школа 1633</v>
      </c>
      <c r="F376" s="47" t="s">
        <v>1291</v>
      </c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</row>
    <row r="377">
      <c r="A377" s="43" t="s">
        <v>1292</v>
      </c>
      <c r="B377" s="44" t="s">
        <v>1293</v>
      </c>
      <c r="C377" s="48" t="s">
        <v>813</v>
      </c>
      <c r="D377" s="6"/>
      <c r="E377" s="44" t="str">
        <f>IFERROR(__xludf.DUMMYFUNCTION("""COMPUTED_VALUE"""),"Школа 1634")</f>
        <v>Школа 1634</v>
      </c>
      <c r="F377" s="47" t="s">
        <v>1294</v>
      </c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</row>
    <row r="378">
      <c r="A378" s="43" t="s">
        <v>1295</v>
      </c>
      <c r="B378" s="44" t="s">
        <v>1296</v>
      </c>
      <c r="C378" s="48" t="s">
        <v>813</v>
      </c>
      <c r="D378" s="6"/>
      <c r="E378" s="44" t="str">
        <f>IFERROR(__xludf.DUMMYFUNCTION("""COMPUTED_VALUE"""),"Школа 1634")</f>
        <v>Школа 1634</v>
      </c>
      <c r="F378" s="47" t="s">
        <v>1297</v>
      </c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</row>
    <row r="379">
      <c r="A379" s="43" t="s">
        <v>1298</v>
      </c>
      <c r="B379" s="44" t="s">
        <v>1299</v>
      </c>
      <c r="C379" s="48" t="s">
        <v>1300</v>
      </c>
      <c r="D379" s="6"/>
      <c r="E379" s="44" t="str">
        <f>IFERROR(__xludf.DUMMYFUNCTION("""COMPUTED_VALUE"""),"Школа 1636")</f>
        <v>Школа 1636</v>
      </c>
      <c r="F379" s="47" t="s">
        <v>1301</v>
      </c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</row>
    <row r="380">
      <c r="A380" s="43" t="s">
        <v>1302</v>
      </c>
      <c r="B380" s="44" t="s">
        <v>1303</v>
      </c>
      <c r="C380" s="48" t="s">
        <v>1304</v>
      </c>
      <c r="D380" s="6"/>
      <c r="E380" s="44" t="str">
        <f>IFERROR(__xludf.DUMMYFUNCTION("""COMPUTED_VALUE"""),"Школа 1637")</f>
        <v>Школа 1637</v>
      </c>
      <c r="F380" s="47" t="s">
        <v>1305</v>
      </c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</row>
    <row r="381">
      <c r="A381" s="43" t="s">
        <v>1306</v>
      </c>
      <c r="B381" s="44" t="s">
        <v>1307</v>
      </c>
      <c r="C381" s="48" t="s">
        <v>296</v>
      </c>
      <c r="D381" s="6"/>
      <c r="E381" s="44" t="str">
        <f>IFERROR(__xludf.DUMMYFUNCTION("""COMPUTED_VALUE"""),"Школа 1678")</f>
        <v>Школа 1678</v>
      </c>
      <c r="F381" s="47" t="s">
        <v>1308</v>
      </c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</row>
    <row r="382">
      <c r="A382" s="43" t="s">
        <v>1309</v>
      </c>
      <c r="B382" s="44" t="s">
        <v>1310</v>
      </c>
      <c r="C382" s="48" t="s">
        <v>721</v>
      </c>
      <c r="D382" s="6"/>
      <c r="E382" s="44" t="str">
        <f>IFERROR(__xludf.DUMMYFUNCTION("""COMPUTED_VALUE"""),"Школа 1679")</f>
        <v>Школа 1679</v>
      </c>
      <c r="F382" s="47" t="s">
        <v>1311</v>
      </c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</row>
    <row r="383">
      <c r="A383" s="43" t="s">
        <v>1312</v>
      </c>
      <c r="B383" s="44" t="s">
        <v>1313</v>
      </c>
      <c r="C383" s="48" t="s">
        <v>1314</v>
      </c>
      <c r="D383" s="6"/>
      <c r="E383" s="44" t="str">
        <f>IFERROR(__xludf.DUMMYFUNCTION("""COMPUTED_VALUE"""),"Школа 1694")</f>
        <v>Школа 1694</v>
      </c>
      <c r="F383" s="47" t="s">
        <v>1315</v>
      </c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</row>
    <row r="384">
      <c r="A384" s="43" t="s">
        <v>1316</v>
      </c>
      <c r="B384" s="44" t="s">
        <v>1317</v>
      </c>
      <c r="C384" s="48" t="s">
        <v>1318</v>
      </c>
      <c r="D384" s="6"/>
      <c r="E384" s="44" t="str">
        <f>IFERROR(__xludf.DUMMYFUNCTION("""COMPUTED_VALUE"""),"Школа 1741")</f>
        <v>Школа 1741</v>
      </c>
      <c r="F384" s="47" t="s">
        <v>1319</v>
      </c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</row>
    <row r="385">
      <c r="A385" s="43" t="s">
        <v>1320</v>
      </c>
      <c r="B385" s="44" t="s">
        <v>1321</v>
      </c>
      <c r="C385" s="48" t="s">
        <v>680</v>
      </c>
      <c r="D385" s="6"/>
      <c r="E385" s="44" t="str">
        <f>IFERROR(__xludf.DUMMYFUNCTION("""COMPUTED_VALUE"""),"Школа 1747")</f>
        <v>Школа 1747</v>
      </c>
      <c r="F385" s="47" t="s">
        <v>1322</v>
      </c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</row>
    <row r="386">
      <c r="A386" s="43" t="s">
        <v>1323</v>
      </c>
      <c r="B386" s="44" t="s">
        <v>1324</v>
      </c>
      <c r="C386" s="45"/>
      <c r="D386" s="6"/>
      <c r="E386" s="44" t="str">
        <f>IFERROR(__xludf.DUMMYFUNCTION("""COMPUTED_VALUE"""),"Школа 1748")</f>
        <v>Школа 1748</v>
      </c>
      <c r="F386" s="47" t="s">
        <v>1325</v>
      </c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</row>
    <row r="387">
      <c r="A387" s="43" t="s">
        <v>1326</v>
      </c>
      <c r="B387" s="44" t="s">
        <v>1327</v>
      </c>
      <c r="C387" s="45"/>
      <c r="D387" s="6"/>
      <c r="E387" s="44" t="str">
        <f>IFERROR(__xludf.DUMMYFUNCTION("""COMPUTED_VALUE"""),"Школа 1798")</f>
        <v>Школа 1798</v>
      </c>
      <c r="F387" s="47" t="s">
        <v>1328</v>
      </c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</row>
    <row r="388">
      <c r="A388" s="43" t="s">
        <v>1329</v>
      </c>
      <c r="B388" s="44" t="s">
        <v>1330</v>
      </c>
      <c r="C388" s="48" t="s">
        <v>1331</v>
      </c>
      <c r="D388" s="6"/>
      <c r="E388" s="44" t="str">
        <f>IFERROR(__xludf.DUMMYFUNCTION("""COMPUTED_VALUE"""),"Школа 1799")</f>
        <v>Школа 1799</v>
      </c>
      <c r="F388" s="47" t="s">
        <v>1332</v>
      </c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</row>
    <row r="389">
      <c r="A389" s="43" t="s">
        <v>1333</v>
      </c>
      <c r="B389" s="44" t="s">
        <v>1334</v>
      </c>
      <c r="C389" s="45"/>
      <c r="D389" s="6"/>
      <c r="E389" s="44" t="str">
        <f>IFERROR(__xludf.DUMMYFUNCTION("""COMPUTED_VALUE"""),"Школа 1811")</f>
        <v>Школа 1811</v>
      </c>
      <c r="F389" s="47" t="s">
        <v>1335</v>
      </c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</row>
    <row r="390">
      <c r="A390" s="43" t="s">
        <v>1336</v>
      </c>
      <c r="B390" s="44" t="s">
        <v>1337</v>
      </c>
      <c r="C390" s="45"/>
      <c r="D390" s="6"/>
      <c r="E390" s="44" t="str">
        <f>IFERROR(__xludf.DUMMYFUNCTION("""COMPUTED_VALUE"""),"Школа 1852")</f>
        <v>Школа 1852</v>
      </c>
      <c r="F390" s="47" t="s">
        <v>1338</v>
      </c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</row>
    <row r="391">
      <c r="A391" s="43" t="s">
        <v>1339</v>
      </c>
      <c r="B391" s="44" t="s">
        <v>1340</v>
      </c>
      <c r="C391" s="45"/>
      <c r="D391" s="6"/>
      <c r="E391" s="44" t="str">
        <f>IFERROR(__xludf.DUMMYFUNCTION("""COMPUTED_VALUE"""),"Школа 1861")</f>
        <v>Школа 1861</v>
      </c>
      <c r="F391" s="47" t="s">
        <v>1341</v>
      </c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</row>
    <row r="392">
      <c r="A392" s="43" t="s">
        <v>1342</v>
      </c>
      <c r="B392" s="44" t="s">
        <v>1343</v>
      </c>
      <c r="C392" s="45"/>
      <c r="D392" s="6"/>
      <c r="E392" s="44" t="str">
        <f>IFERROR(__xludf.DUMMYFUNCTION("""COMPUTED_VALUE"""),"Школа 1862")</f>
        <v>Школа 1862</v>
      </c>
      <c r="F392" s="47" t="s">
        <v>1344</v>
      </c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</row>
    <row r="393">
      <c r="A393" s="43" t="s">
        <v>1345</v>
      </c>
      <c r="B393" s="44" t="s">
        <v>1346</v>
      </c>
      <c r="C393" s="45"/>
      <c r="D393" s="6"/>
      <c r="E393" s="44" t="str">
        <f>IFERROR(__xludf.DUMMYFUNCTION("""COMPUTED_VALUE"""),"Школа 1874")</f>
        <v>Школа 1874</v>
      </c>
      <c r="F393" s="47" t="s">
        <v>1347</v>
      </c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</row>
    <row r="394">
      <c r="A394" s="43" t="s">
        <v>1348</v>
      </c>
      <c r="B394" s="44" t="s">
        <v>1349</v>
      </c>
      <c r="C394" s="45"/>
      <c r="D394" s="6"/>
      <c r="E394" s="44" t="str">
        <f>IFERROR(__xludf.DUMMYFUNCTION("""COMPUTED_VALUE"""),"Школа 1883")</f>
        <v>Школа 1883</v>
      </c>
      <c r="F394" s="47" t="s">
        <v>1350</v>
      </c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</row>
    <row r="395">
      <c r="A395" s="43" t="s">
        <v>1351</v>
      </c>
      <c r="B395" s="44" t="s">
        <v>1352</v>
      </c>
      <c r="C395" s="48" t="s">
        <v>1353</v>
      </c>
      <c r="D395" s="6"/>
      <c r="E395" s="44" t="str">
        <f>IFERROR(__xludf.DUMMYFUNCTION("""COMPUTED_VALUE"""),"Школа 1905")</f>
        <v>Школа 1905</v>
      </c>
      <c r="F395" s="47" t="s">
        <v>1354</v>
      </c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</row>
    <row r="396">
      <c r="A396" s="43" t="s">
        <v>1355</v>
      </c>
      <c r="B396" s="44" t="s">
        <v>1356</v>
      </c>
      <c r="C396" s="48" t="s">
        <v>687</v>
      </c>
      <c r="D396" s="6"/>
      <c r="E396" s="44" t="str">
        <f>IFERROR(__xludf.DUMMYFUNCTION("""COMPUTED_VALUE"""),"Школа 1912")</f>
        <v>Школа 1912</v>
      </c>
      <c r="F396" s="47" t="s">
        <v>1357</v>
      </c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</row>
    <row r="397">
      <c r="A397" s="43" t="s">
        <v>1358</v>
      </c>
      <c r="B397" s="44" t="s">
        <v>1359</v>
      </c>
      <c r="C397" s="45"/>
      <c r="D397" s="6"/>
      <c r="E397" s="44" t="str">
        <f>IFERROR(__xludf.DUMMYFUNCTION("""COMPUTED_VALUE"""),"Школа 1935")</f>
        <v>Школа 1935</v>
      </c>
      <c r="F397" s="47" t="s">
        <v>1360</v>
      </c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</row>
    <row r="398">
      <c r="A398" s="43" t="s">
        <v>1361</v>
      </c>
      <c r="B398" s="44" t="s">
        <v>1362</v>
      </c>
      <c r="C398" s="48" t="s">
        <v>1363</v>
      </c>
      <c r="D398" s="6"/>
      <c r="E398" s="44" t="str">
        <f>IFERROR(__xludf.DUMMYFUNCTION("""COMPUTED_VALUE"""),"Школа 1950")</f>
        <v>Школа 1950</v>
      </c>
      <c r="F398" s="47" t="s">
        <v>1364</v>
      </c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</row>
    <row r="399">
      <c r="A399" s="43" t="s">
        <v>1365</v>
      </c>
      <c r="B399" s="44" t="s">
        <v>1366</v>
      </c>
      <c r="C399" s="48" t="s">
        <v>1229</v>
      </c>
      <c r="D399" s="6"/>
      <c r="E399" s="44" t="str">
        <f>IFERROR(__xludf.DUMMYFUNCTION("""COMPUTED_VALUE"""),"Школа 2000")</f>
        <v>Школа 2000</v>
      </c>
      <c r="F399" s="47" t="s">
        <v>1367</v>
      </c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</row>
    <row r="400">
      <c r="A400" s="43" t="s">
        <v>1368</v>
      </c>
      <c r="B400" s="44" t="s">
        <v>1369</v>
      </c>
      <c r="C400" s="48" t="s">
        <v>1370</v>
      </c>
      <c r="D400" s="6"/>
      <c r="E400" s="44" t="str">
        <f>IFERROR(__xludf.DUMMYFUNCTION("""COMPUTED_VALUE"""),"Школа 2001")</f>
        <v>Школа 2001</v>
      </c>
      <c r="F400" s="47" t="s">
        <v>1371</v>
      </c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</row>
    <row r="401">
      <c r="A401" s="43" t="s">
        <v>1372</v>
      </c>
      <c r="B401" s="44" t="s">
        <v>1373</v>
      </c>
      <c r="C401" s="48" t="s">
        <v>1374</v>
      </c>
      <c r="D401" s="6"/>
      <c r="E401" s="44" t="str">
        <f>IFERROR(__xludf.DUMMYFUNCTION("""COMPUTED_VALUE"""),"Школа 2006")</f>
        <v>Школа 2006</v>
      </c>
      <c r="F401" s="47" t="s">
        <v>1375</v>
      </c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</row>
    <row r="402">
      <c r="A402" s="43" t="s">
        <v>1376</v>
      </c>
      <c r="B402" s="44" t="s">
        <v>1377</v>
      </c>
      <c r="C402" s="48" t="s">
        <v>1378</v>
      </c>
      <c r="D402" s="6"/>
      <c r="E402" s="44" t="str">
        <f>IFERROR(__xludf.DUMMYFUNCTION("""COMPUTED_VALUE"""),"Школа 2007")</f>
        <v>Школа 2007</v>
      </c>
      <c r="F402" s="47" t="s">
        <v>1379</v>
      </c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</row>
    <row r="403">
      <c r="A403" s="43" t="s">
        <v>1380</v>
      </c>
      <c r="B403" s="44" t="s">
        <v>1381</v>
      </c>
      <c r="C403" s="45"/>
      <c r="D403" s="6"/>
      <c r="E403" s="44" t="str">
        <f>IFERROR(__xludf.DUMMYFUNCTION("""COMPUTED_VALUE"""),"Школа 2009")</f>
        <v>Школа 2009</v>
      </c>
      <c r="F403" s="47" t="s">
        <v>1382</v>
      </c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</row>
    <row r="404">
      <c r="A404" s="43" t="s">
        <v>1383</v>
      </c>
      <c r="B404" s="44" t="s">
        <v>1384</v>
      </c>
      <c r="C404" s="48" t="s">
        <v>1385</v>
      </c>
      <c r="D404" s="6"/>
      <c r="E404" s="44" t="str">
        <f>IFERROR(__xludf.DUMMYFUNCTION("""COMPUTED_VALUE"""),"Школа 2025")</f>
        <v>Школа 2025</v>
      </c>
      <c r="F404" s="47" t="s">
        <v>1386</v>
      </c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</row>
    <row r="405">
      <c r="A405" s="43" t="s">
        <v>1387</v>
      </c>
      <c r="B405" s="44" t="s">
        <v>1388</v>
      </c>
      <c r="C405" s="45"/>
      <c r="D405" s="6"/>
      <c r="E405" s="44" t="str">
        <f>IFERROR(__xludf.DUMMYFUNCTION("""COMPUTED_VALUE"""),"Школа 2026")</f>
        <v>Школа 2026</v>
      </c>
      <c r="F405" s="47" t="s">
        <v>1389</v>
      </c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</row>
    <row r="406">
      <c r="A406" s="43" t="s">
        <v>1390</v>
      </c>
      <c r="B406" s="44" t="s">
        <v>1391</v>
      </c>
      <c r="C406" s="48" t="s">
        <v>1392</v>
      </c>
      <c r="D406" s="6"/>
      <c r="E406" s="44" t="str">
        <f>IFERROR(__xludf.DUMMYFUNCTION("""COMPUTED_VALUE"""),"Школа 2030")</f>
        <v>Школа 2030</v>
      </c>
      <c r="F406" s="47" t="s">
        <v>1393</v>
      </c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</row>
    <row r="407">
      <c r="A407" s="43" t="s">
        <v>1394</v>
      </c>
      <c r="B407" s="44" t="s">
        <v>1395</v>
      </c>
      <c r="C407" s="48" t="s">
        <v>1271</v>
      </c>
      <c r="D407" s="6"/>
      <c r="E407" s="44" t="str">
        <f>IFERROR(__xludf.DUMMYFUNCTION("""COMPUTED_VALUE"""),"Школа 2031")</f>
        <v>Школа 2031</v>
      </c>
      <c r="F407" s="47" t="s">
        <v>1396</v>
      </c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</row>
    <row r="408">
      <c r="A408" s="43" t="s">
        <v>1397</v>
      </c>
      <c r="B408" s="44" t="s">
        <v>1398</v>
      </c>
      <c r="C408" s="45"/>
      <c r="D408" s="6"/>
      <c r="E408" s="44" t="str">
        <f>IFERROR(__xludf.DUMMYFUNCTION("""COMPUTED_VALUE"""),"Школа 2033")</f>
        <v>Школа 2033</v>
      </c>
      <c r="F408" s="47" t="s">
        <v>1399</v>
      </c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</row>
    <row r="409">
      <c r="A409" s="43" t="s">
        <v>1400</v>
      </c>
      <c r="B409" s="44" t="s">
        <v>1401</v>
      </c>
      <c r="C409" s="48" t="s">
        <v>1402</v>
      </c>
      <c r="D409" s="6"/>
      <c r="E409" s="44" t="str">
        <f>IFERROR(__xludf.DUMMYFUNCTION("""COMPUTED_VALUE"""),"Школа 2045")</f>
        <v>Школа 2045</v>
      </c>
      <c r="F409" s="47" t="s">
        <v>1403</v>
      </c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</row>
    <row r="410">
      <c r="A410" s="43" t="s">
        <v>1404</v>
      </c>
      <c r="B410" s="44" t="s">
        <v>1405</v>
      </c>
      <c r="C410" s="45"/>
      <c r="D410" s="6"/>
      <c r="E410" s="44" t="str">
        <f>IFERROR(__xludf.DUMMYFUNCTION("""COMPUTED_VALUE"""),"Школа 2048")</f>
        <v>Школа 2048</v>
      </c>
      <c r="F410" s="47" t="s">
        <v>1406</v>
      </c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</row>
    <row r="411">
      <c r="A411" s="43" t="s">
        <v>1407</v>
      </c>
      <c r="B411" s="44" t="s">
        <v>1408</v>
      </c>
      <c r="C411" s="45"/>
      <c r="D411" s="6"/>
      <c r="E411" s="44" t="str">
        <f>IFERROR(__xludf.DUMMYFUNCTION("""COMPUTED_VALUE"""),"Школа 2051")</f>
        <v>Школа 2051</v>
      </c>
      <c r="F411" s="47" t="s">
        <v>1409</v>
      </c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</row>
    <row r="412">
      <c r="A412" s="43" t="s">
        <v>1410</v>
      </c>
      <c r="B412" s="44" t="s">
        <v>1411</v>
      </c>
      <c r="C412" s="48" t="s">
        <v>1392</v>
      </c>
      <c r="D412" s="6"/>
      <c r="E412" s="44" t="str">
        <f>IFERROR(__xludf.DUMMYFUNCTION("""COMPUTED_VALUE"""),"Школа 2055")</f>
        <v>Школа 2055</v>
      </c>
      <c r="F412" s="47" t="s">
        <v>1412</v>
      </c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</row>
    <row r="413">
      <c r="A413" s="43" t="s">
        <v>1413</v>
      </c>
      <c r="B413" s="44" t="s">
        <v>1414</v>
      </c>
      <c r="C413" s="48" t="s">
        <v>1415</v>
      </c>
      <c r="D413" s="6"/>
      <c r="E413" s="44" t="str">
        <f>IFERROR(__xludf.DUMMYFUNCTION("""COMPUTED_VALUE"""),"Школа 2070")</f>
        <v>Школа 2070</v>
      </c>
      <c r="F413" s="47" t="s">
        <v>1416</v>
      </c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</row>
    <row r="414">
      <c r="A414" s="43" t="s">
        <v>1417</v>
      </c>
      <c r="B414" s="44" t="s">
        <v>1418</v>
      </c>
      <c r="C414" s="48" t="s">
        <v>1419</v>
      </c>
      <c r="D414" s="6"/>
      <c r="E414" s="44" t="str">
        <f>IFERROR(__xludf.DUMMYFUNCTION("""COMPUTED_VALUE"""),"Школа 2072")</f>
        <v>Школа 2072</v>
      </c>
      <c r="F414" s="47" t="s">
        <v>1420</v>
      </c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</row>
    <row r="415">
      <c r="A415" s="43" t="s">
        <v>1421</v>
      </c>
      <c r="B415" s="44" t="s">
        <v>1422</v>
      </c>
      <c r="C415" s="45"/>
      <c r="D415" s="6"/>
      <c r="E415" s="44" t="str">
        <f>IFERROR(__xludf.DUMMYFUNCTION("""COMPUTED_VALUE"""),"Школа 2086")</f>
        <v>Школа 2086</v>
      </c>
      <c r="F415" s="47" t="s">
        <v>1423</v>
      </c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</row>
    <row r="416">
      <c r="A416" s="43" t="s">
        <v>1424</v>
      </c>
      <c r="B416" s="44" t="s">
        <v>1425</v>
      </c>
      <c r="C416" s="48" t="s">
        <v>1426</v>
      </c>
      <c r="D416" s="6"/>
      <c r="E416" s="44" t="str">
        <f>IFERROR(__xludf.DUMMYFUNCTION("""COMPUTED_VALUE"""),"Школа 2087")</f>
        <v>Школа 2087</v>
      </c>
      <c r="F416" s="47" t="s">
        <v>1427</v>
      </c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</row>
    <row r="417">
      <c r="A417" s="43" t="s">
        <v>1428</v>
      </c>
      <c r="B417" s="44" t="s">
        <v>1429</v>
      </c>
      <c r="C417" s="48" t="s">
        <v>1430</v>
      </c>
      <c r="D417" s="6"/>
      <c r="E417" s="44" t="str">
        <f>IFERROR(__xludf.DUMMYFUNCTION("""COMPUTED_VALUE"""),"Школа 2101")</f>
        <v>Школа 2101</v>
      </c>
      <c r="F417" s="47" t="s">
        <v>1431</v>
      </c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</row>
    <row r="418">
      <c r="A418" s="43" t="s">
        <v>1432</v>
      </c>
      <c r="B418" s="44" t="s">
        <v>1433</v>
      </c>
      <c r="C418" s="48" t="s">
        <v>1434</v>
      </c>
      <c r="D418" s="6"/>
      <c r="E418" s="44" t="str">
        <f>IFERROR(__xludf.DUMMYFUNCTION("""COMPUTED_VALUE"""),"Школа 2109")</f>
        <v>Школа 2109</v>
      </c>
      <c r="F418" s="47" t="s">
        <v>1435</v>
      </c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</row>
    <row r="419">
      <c r="A419" s="43" t="s">
        <v>1436</v>
      </c>
      <c r="B419" s="44" t="s">
        <v>1437</v>
      </c>
      <c r="C419" s="48" t="s">
        <v>1438</v>
      </c>
      <c r="D419" s="6"/>
      <c r="E419" s="44" t="str">
        <f>IFERROR(__xludf.DUMMYFUNCTION("""COMPUTED_VALUE"""),"Школа 2116")</f>
        <v>Школа 2116</v>
      </c>
      <c r="F419" s="47" t="s">
        <v>1439</v>
      </c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</row>
    <row r="420">
      <c r="A420" s="43" t="s">
        <v>1440</v>
      </c>
      <c r="B420" s="44" t="s">
        <v>1441</v>
      </c>
      <c r="C420" s="48" t="s">
        <v>1442</v>
      </c>
      <c r="D420" s="6"/>
      <c r="E420" s="44" t="str">
        <f>IFERROR(__xludf.DUMMYFUNCTION("""COMPUTED_VALUE"""),"Школа 2122")</f>
        <v>Школа 2122</v>
      </c>
      <c r="F420" s="47" t="s">
        <v>1443</v>
      </c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</row>
    <row r="421">
      <c r="A421" s="43" t="s">
        <v>1444</v>
      </c>
      <c r="B421" s="44" t="s">
        <v>1445</v>
      </c>
      <c r="C421" s="45"/>
      <c r="D421" s="6"/>
      <c r="E421" s="44" t="str">
        <f>IFERROR(__xludf.DUMMYFUNCTION("""COMPUTED_VALUE"""),"Школа 2123")</f>
        <v>Школа 2123</v>
      </c>
      <c r="F421" s="47" t="s">
        <v>1446</v>
      </c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</row>
    <row r="422">
      <c r="A422" s="43" t="s">
        <v>1447</v>
      </c>
      <c r="B422" s="44" t="s">
        <v>1448</v>
      </c>
      <c r="C422" s="48" t="s">
        <v>1263</v>
      </c>
      <c r="D422" s="6"/>
      <c r="E422" s="44" t="str">
        <f>IFERROR(__xludf.DUMMYFUNCTION("""COMPUTED_VALUE"""),"Школа 2127")</f>
        <v>Школа 2127</v>
      </c>
      <c r="F422" s="47" t="s">
        <v>1449</v>
      </c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</row>
    <row r="423">
      <c r="A423" s="43" t="s">
        <v>1450</v>
      </c>
      <c r="B423" s="44" t="s">
        <v>1451</v>
      </c>
      <c r="C423" s="48" t="s">
        <v>1452</v>
      </c>
      <c r="D423" s="6"/>
      <c r="E423" s="44" t="str">
        <f>IFERROR(__xludf.DUMMYFUNCTION("""COMPUTED_VALUE"""),"Школа 2200")</f>
        <v>Школа 2200</v>
      </c>
      <c r="F423" s="47" t="s">
        <v>1453</v>
      </c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</row>
    <row r="424">
      <c r="A424" s="43" t="s">
        <v>1454</v>
      </c>
      <c r="B424" s="44" t="s">
        <v>1455</v>
      </c>
      <c r="C424" s="45"/>
      <c r="D424" s="6"/>
      <c r="E424" s="44" t="str">
        <f>IFERROR(__xludf.DUMMYFUNCTION("""COMPUTED_VALUE"""),"Школа юных математиков")</f>
        <v>Школа юных математиков</v>
      </c>
      <c r="F424" s="47" t="s">
        <v>60</v>
      </c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</row>
    <row r="425">
      <c r="A425" s="43" t="s">
        <v>1456</v>
      </c>
      <c r="B425" s="44" t="s">
        <v>1457</v>
      </c>
      <c r="C425" s="48" t="s">
        <v>1458</v>
      </c>
      <c r="D425" s="6"/>
      <c r="E425" s="44" t="str">
        <f>IFERROR(__xludf.DUMMYFUNCTION("""COMPUTED_VALUE"""),"Медико-биологическая школа Vita")</f>
        <v>Медико-биологическая школа Vita</v>
      </c>
      <c r="F425" s="47" t="s">
        <v>1459</v>
      </c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</row>
    <row r="426">
      <c r="A426" s="43" t="s">
        <v>1460</v>
      </c>
      <c r="B426" s="44"/>
      <c r="C426" s="45"/>
      <c r="D426" s="6"/>
      <c r="E426" s="44" t="str">
        <f>IFERROR(__xludf.DUMMYFUNCTION("""COMPUTED_VALUE"""),"Академическая школа Гелан")</f>
        <v>Академическая школа Гелан</v>
      </c>
      <c r="F426" s="47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</row>
    <row r="427">
      <c r="A427" s="43" t="s">
        <v>1461</v>
      </c>
      <c r="B427" s="52"/>
      <c r="C427" s="45"/>
      <c r="D427" s="6"/>
      <c r="E427" s="52" t="str">
        <f>IFERROR(__xludf.DUMMYFUNCTION("""COMPUTED_VALUE"""),"Школа Академия Будущего")</f>
        <v>Школа Академия Будущего</v>
      </c>
      <c r="F427" s="47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</row>
    <row r="428">
      <c r="A428" s="43" t="s">
        <v>1462</v>
      </c>
      <c r="B428" s="52"/>
      <c r="C428" s="45"/>
      <c r="D428" s="6"/>
      <c r="E428" s="52" t="str">
        <f>IFERROR(__xludf.DUMMYFUNCTION("""COMPUTED_VALUE"""),"Американская школа Юджин Центр")</f>
        <v>Американская школа Юджин Центр</v>
      </c>
      <c r="F428" s="47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</row>
    <row r="429">
      <c r="A429" s="43" t="s">
        <v>1463</v>
      </c>
      <c r="B429" s="52"/>
      <c r="C429" s="45"/>
      <c r="D429" s="6"/>
      <c r="E429" s="52" t="str">
        <f>IFERROR(__xludf.DUMMYFUNCTION("""COMPUTED_VALUE"""),"Англо-американская школа")</f>
        <v>Англо-американская школа</v>
      </c>
      <c r="F429" s="47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</row>
    <row r="430">
      <c r="A430" s="43" t="s">
        <v>1464</v>
      </c>
      <c r="B430" s="52"/>
      <c r="C430" s="45"/>
      <c r="D430" s="6"/>
      <c r="E430" s="52" t="str">
        <f>IFERROR(__xludf.DUMMYFUNCTION("""COMPUTED_VALUE"""),"Англо-русская школа")</f>
        <v>Англо-русская школа</v>
      </c>
      <c r="F430" s="47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</row>
    <row r="431">
      <c r="A431" s="43" t="s">
        <v>1465</v>
      </c>
      <c r="B431" s="44" t="s">
        <v>1466</v>
      </c>
      <c r="C431" s="45"/>
      <c r="D431" s="6"/>
      <c r="E431" s="44" t="str">
        <f>IFERROR(__xludf.DUMMYFUNCTION("""COMPUTED_VALUE"""),"Армянская Воскресная школа")</f>
        <v>Армянская Воскресная школа</v>
      </c>
      <c r="F431" s="47" t="s">
        <v>1467</v>
      </c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</row>
    <row r="432">
      <c r="A432" s="43" t="s">
        <v>1468</v>
      </c>
      <c r="B432" s="52"/>
      <c r="C432" s="45"/>
      <c r="D432" s="6"/>
      <c r="E432" s="52" t="str">
        <f>IFERROR(__xludf.DUMMYFUNCTION("""COMPUTED_VALUE"""),"Британская Международная школа")</f>
        <v>Британская Международная школа</v>
      </c>
      <c r="F432" s="47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</row>
    <row r="433">
      <c r="A433" s="43" t="s">
        <v>1469</v>
      </c>
      <c r="B433" s="52"/>
      <c r="C433" s="45"/>
      <c r="D433" s="6"/>
      <c r="E433" s="52" t="str">
        <f>IFERROR(__xludf.DUMMYFUNCTION("""COMPUTED_VALUE"""),"Геологическая школа МГУ")</f>
        <v>Геологическая школа МГУ</v>
      </c>
      <c r="F433" s="47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</row>
    <row r="434">
      <c r="A434" s="43" t="s">
        <v>1470</v>
      </c>
      <c r="B434" s="44" t="s">
        <v>1471</v>
      </c>
      <c r="C434" s="48" t="s">
        <v>1472</v>
      </c>
      <c r="D434" s="6"/>
      <c r="E434" s="44" t="str">
        <f>IFERROR(__xludf.DUMMYFUNCTION("""COMPUTED_VALUE"""),"Спортивная школа")</f>
        <v>Спортивная школа</v>
      </c>
      <c r="F434" s="47" t="s">
        <v>1473</v>
      </c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</row>
    <row r="435">
      <c r="A435" s="43" t="s">
        <v>1474</v>
      </c>
      <c r="B435" s="44" t="s">
        <v>1475</v>
      </c>
      <c r="C435" s="48" t="s">
        <v>1020</v>
      </c>
      <c r="D435" s="6"/>
      <c r="E435" s="44" t="str">
        <f>IFERROR(__xludf.DUMMYFUNCTION("""COMPUTED_VALUE"""),"Детская академия искусств")</f>
        <v>Детская академия искусств</v>
      </c>
      <c r="F435" s="47" t="s">
        <v>1476</v>
      </c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</row>
    <row r="436">
      <c r="A436" s="43" t="s">
        <v>1477</v>
      </c>
      <c r="B436" s="44" t="s">
        <v>1478</v>
      </c>
      <c r="C436" s="48" t="s">
        <v>1479</v>
      </c>
      <c r="D436" s="6"/>
      <c r="E436" s="44" t="str">
        <f>IFERROR(__xludf.DUMMYFUNCTION("""COMPUTED_VALUE"""),"Детская академия Останкино")</f>
        <v>Детская академия Останкино</v>
      </c>
      <c r="F436" s="47" t="s">
        <v>1480</v>
      </c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</row>
    <row r="437">
      <c r="A437" s="43" t="s">
        <v>1481</v>
      </c>
      <c r="B437" s="44" t="s">
        <v>1482</v>
      </c>
      <c r="C437" s="48" t="s">
        <v>1483</v>
      </c>
      <c r="D437" s="6"/>
      <c r="E437" s="44" t="str">
        <f>IFERROR(__xludf.DUMMYFUNCTION("""COMPUTED_VALUE"""),"Еврейская школа Бет Егудит")</f>
        <v>Еврейская школа Бет Егудит</v>
      </c>
      <c r="F437" s="47" t="s">
        <v>1484</v>
      </c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</row>
    <row r="438">
      <c r="A438" s="43" t="s">
        <v>1485</v>
      </c>
      <c r="B438" s="44" t="s">
        <v>1486</v>
      </c>
      <c r="C438" s="48" t="s">
        <v>1024</v>
      </c>
      <c r="D438" s="6"/>
      <c r="E438" s="44" t="str">
        <f>IFERROR(__xludf.DUMMYFUNCTION("""COMPUTED_VALUE"""),"Еврейская школа Мигдал-Ор")</f>
        <v>Еврейская школа Мигдал-Ор</v>
      </c>
      <c r="F438" s="47" t="s">
        <v>1487</v>
      </c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</row>
    <row r="439">
      <c r="A439" s="43" t="s">
        <v>1488</v>
      </c>
      <c r="B439" s="44" t="s">
        <v>1489</v>
      </c>
      <c r="C439" s="45"/>
      <c r="D439" s="6"/>
      <c r="E439" s="44" t="str">
        <f>IFERROR(__xludf.DUMMYFUNCTION("""COMPUTED_VALUE"""),"Классический пансион МГУ им. М. В. Ломоносова")</f>
        <v>Классический пансион МГУ им. М. В. Ломоносова</v>
      </c>
      <c r="F439" s="47" t="s">
        <v>1256</v>
      </c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</row>
    <row r="440">
      <c r="A440" s="43" t="s">
        <v>1490</v>
      </c>
      <c r="B440" s="44" t="s">
        <v>1491</v>
      </c>
      <c r="C440" s="48" t="s">
        <v>1492</v>
      </c>
      <c r="D440" s="6"/>
      <c r="E440" s="44" t="str">
        <f>IFERROR(__xludf.DUMMYFUNCTION("""COMPUTED_VALUE"""),"Лингвистическая школа при Институте иностранных языков")</f>
        <v>Лингвистическая школа при Институте иностранных языков</v>
      </c>
      <c r="F440" s="47" t="s">
        <v>1493</v>
      </c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</row>
    <row r="441">
      <c r="A441" s="43" t="s">
        <v>1494</v>
      </c>
      <c r="B441" s="44" t="s">
        <v>1495</v>
      </c>
      <c r="C441" s="48" t="s">
        <v>1496</v>
      </c>
      <c r="D441" s="6"/>
      <c r="E441" s="44" t="str">
        <f>IFERROR(__xludf.DUMMYFUNCTION("""COMPUTED_VALUE"""),"Международная общеобразовательная частная школа Интеграция XXl век")</f>
        <v>Международная общеобразовательная частная школа Интеграция XXl век</v>
      </c>
      <c r="F441" s="47" t="s">
        <v>1497</v>
      </c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</row>
    <row r="442">
      <c r="A442" s="43" t="s">
        <v>1498</v>
      </c>
      <c r="B442" s="44" t="s">
        <v>1499</v>
      </c>
      <c r="C442" s="45"/>
      <c r="D442" s="6"/>
      <c r="E442" s="44" t="str">
        <f>IFERROR(__xludf.DUMMYFUNCTION("""COMPUTED_VALUE"""),"Международная школа Дом Филиппа")</f>
        <v>Международная школа Дом Филиппа</v>
      </c>
      <c r="F442" s="47" t="s">
        <v>1500</v>
      </c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</row>
    <row r="443">
      <c r="A443" s="43" t="s">
        <v>1501</v>
      </c>
      <c r="B443" s="44" t="s">
        <v>1502</v>
      </c>
      <c r="C443" s="45"/>
      <c r="D443" s="6"/>
      <c r="E443" s="44" t="str">
        <f>IFERROR(__xludf.DUMMYFUNCTION("""COMPUTED_VALUE"""),"Международный центр обучения")</f>
        <v>Международный центр обучения</v>
      </c>
      <c r="F443" s="47" t="s">
        <v>1503</v>
      </c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</row>
    <row r="444">
      <c r="A444" s="43" t="s">
        <v>1504</v>
      </c>
      <c r="B444" s="44" t="s">
        <v>1505</v>
      </c>
      <c r="C444" s="48" t="s">
        <v>1506</v>
      </c>
      <c r="D444" s="6"/>
      <c r="E444" s="44" t="str">
        <f>IFERROR(__xludf.DUMMYFUNCTION("""COMPUTED_VALUE"""),"Московская экономическая школа")</f>
        <v>Московская экономическая школа</v>
      </c>
      <c r="F444" s="47" t="s">
        <v>1507</v>
      </c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</row>
    <row r="445">
      <c r="A445" s="43" t="s">
        <v>1508</v>
      </c>
      <c r="B445" s="44" t="s">
        <v>1509</v>
      </c>
      <c r="C445" s="48" t="s">
        <v>346</v>
      </c>
      <c r="D445" s="6"/>
      <c r="E445" s="44" t="str">
        <f>IFERROR(__xludf.DUMMYFUNCTION("""COMPUTED_VALUE"""),"Музыкальный православный центр Воскресение")</f>
        <v>Музыкальный православный центр Воскресение</v>
      </c>
      <c r="F445" s="47" t="s">
        <v>1510</v>
      </c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</row>
    <row r="446">
      <c r="A446" s="43" t="s">
        <v>1511</v>
      </c>
      <c r="B446" s="44" t="s">
        <v>1512</v>
      </c>
      <c r="C446" s="45"/>
      <c r="D446" s="6"/>
      <c r="E446" s="44" t="str">
        <f>IFERROR(__xludf.DUMMYFUNCTION("""COMPUTED_VALUE"""),"Начальная и средняя школа Луч и Ко")</f>
        <v>Начальная и средняя школа Луч и Ко</v>
      </c>
      <c r="F446" s="47" t="s">
        <v>1513</v>
      </c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</row>
    <row r="447">
      <c r="A447" s="43" t="s">
        <v>1514</v>
      </c>
      <c r="B447" s="44" t="s">
        <v>1515</v>
      </c>
      <c r="C447" s="48" t="s">
        <v>1516</v>
      </c>
      <c r="D447" s="6"/>
      <c r="E447" s="44" t="str">
        <f>IFERROR(__xludf.DUMMYFUNCTION("""COMPUTED_VALUE"""),"Начальная школа Гулливер")</f>
        <v>Начальная школа Гулливер</v>
      </c>
      <c r="F447" s="47" t="s">
        <v>1517</v>
      </c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</row>
    <row r="448">
      <c r="A448" s="43" t="s">
        <v>1518</v>
      </c>
      <c r="B448" s="44" t="s">
        <v>1519</v>
      </c>
      <c r="C448" s="48" t="s">
        <v>985</v>
      </c>
      <c r="D448" s="6"/>
      <c r="E448" s="44" t="str">
        <f>IFERROR(__xludf.DUMMYFUNCTION("""COMPUTED_VALUE"""),"Начальная школа Магнолия")</f>
        <v>Начальная школа Магнолия</v>
      </c>
      <c r="F448" s="47" t="s">
        <v>1520</v>
      </c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</row>
    <row r="449">
      <c r="A449" s="43" t="s">
        <v>1521</v>
      </c>
      <c r="B449" s="44" t="s">
        <v>1522</v>
      </c>
      <c r="C449" s="48" t="s">
        <v>374</v>
      </c>
      <c r="D449" s="6"/>
      <c r="E449" s="44" t="str">
        <f>IFERROR(__xludf.DUMMYFUNCTION("""COMPUTED_VALUE"""),"Некоммерческое партнерство средняя общеобразовательная школа Лицей Столичный")</f>
        <v>Некоммерческое партнерство средняя общеобразовательная школа Лицей Столичный</v>
      </c>
      <c r="F449" s="47" t="s">
        <v>1523</v>
      </c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</row>
    <row r="450">
      <c r="A450" s="43" t="s">
        <v>1524</v>
      </c>
      <c r="B450" s="44" t="s">
        <v>1525</v>
      </c>
      <c r="C450" s="48" t="s">
        <v>1526</v>
      </c>
      <c r="D450" s="6"/>
      <c r="E450" s="44" t="str">
        <f>IFERROR(__xludf.DUMMYFUNCTION("""COMPUTED_VALUE"""),"Новая гуманитарная школа")</f>
        <v>Новая гуманитарная школа</v>
      </c>
      <c r="F450" s="47" t="s">
        <v>1527</v>
      </c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</row>
    <row r="451">
      <c r="A451" s="43" t="s">
        <v>1528</v>
      </c>
      <c r="B451" s="44" t="s">
        <v>1529</v>
      </c>
      <c r="C451" s="48" t="s">
        <v>1530</v>
      </c>
      <c r="D451" s="6"/>
      <c r="E451" s="44" t="str">
        <f>IFERROR(__xludf.DUMMYFUNCTION("""COMPUTED_VALUE"""),"Образовательный комплекс Пенаты")</f>
        <v>Образовательный комплекс Пенаты</v>
      </c>
      <c r="F451" s="47" t="s">
        <v>1531</v>
      </c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</row>
    <row r="452">
      <c r="A452" s="43" t="s">
        <v>1532</v>
      </c>
      <c r="B452" s="44" t="s">
        <v>1533</v>
      </c>
      <c r="C452" s="48" t="s">
        <v>1534</v>
      </c>
      <c r="D452" s="6"/>
      <c r="E452" s="44" t="str">
        <f>IFERROR(__xludf.DUMMYFUNCTION("""COMPUTED_VALUE"""),"Образовательный комплекс ЮМЛА")</f>
        <v>Образовательный комплекс ЮМЛА</v>
      </c>
      <c r="F452" s="47" t="s">
        <v>1535</v>
      </c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</row>
    <row r="453">
      <c r="A453" s="43" t="s">
        <v>1536</v>
      </c>
      <c r="B453" s="44" t="s">
        <v>1537</v>
      </c>
      <c r="C453" s="48" t="s">
        <v>1538</v>
      </c>
      <c r="D453" s="6"/>
      <c r="E453" s="44" t="str">
        <f>IFERROR(__xludf.DUMMYFUNCTION("""COMPUTED_VALUE"""),"Образовательный центр Белст")</f>
        <v>Образовательный центр Белст</v>
      </c>
      <c r="F453" s="47" t="s">
        <v>1539</v>
      </c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</row>
    <row r="454">
      <c r="A454" s="43" t="s">
        <v>1540</v>
      </c>
      <c r="B454" s="44" t="s">
        <v>1541</v>
      </c>
      <c r="C454" s="48" t="s">
        <v>1452</v>
      </c>
      <c r="D454" s="6"/>
      <c r="E454" s="44" t="str">
        <f>IFERROR(__xludf.DUMMYFUNCTION("""COMPUTED_VALUE"""),"Образовательный центр Колибри")</f>
        <v>Образовательный центр Колибри</v>
      </c>
      <c r="F454" s="47" t="s">
        <v>1542</v>
      </c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</row>
    <row r="455">
      <c r="A455" s="43" t="s">
        <v>1543</v>
      </c>
      <c r="B455" s="44" t="s">
        <v>1544</v>
      </c>
      <c r="C455" s="48" t="s">
        <v>1290</v>
      </c>
      <c r="D455" s="6"/>
      <c r="E455" s="44" t="str">
        <f>IFERROR(__xludf.DUMMYFUNCTION("""COMPUTED_VALUE"""),"Общеобразовательная Пироговская школа")</f>
        <v>Общеобразовательная Пироговская школа</v>
      </c>
      <c r="F455" s="47" t="s">
        <v>1545</v>
      </c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</row>
    <row r="456">
      <c r="A456" s="43" t="s">
        <v>1546</v>
      </c>
      <c r="B456" s="44" t="s">
        <v>1547</v>
      </c>
      <c r="C456" s="45"/>
      <c r="D456" s="6"/>
      <c r="E456" s="44" t="str">
        <f>IFERROR(__xludf.DUMMYFUNCTION("""COMPUTED_VALUE"""),"Общеобразовательная школа Карьера")</f>
        <v>Общеобразовательная школа Карьера</v>
      </c>
      <c r="F456" s="47" t="s">
        <v>1548</v>
      </c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</row>
    <row r="457">
      <c r="A457" s="43" t="s">
        <v>1549</v>
      </c>
      <c r="B457" s="44" t="s">
        <v>1550</v>
      </c>
      <c r="C457" s="48" t="s">
        <v>1551</v>
      </c>
      <c r="D457" s="6"/>
      <c r="E457" s="44" t="str">
        <f>IFERROR(__xludf.DUMMYFUNCTION("""COMPUTED_VALUE"""),"Православная школа искусств при Храме Преображения Господня")</f>
        <v>Православная школа искусств при Храме Преображения Господня</v>
      </c>
      <c r="F457" s="47" t="s">
        <v>1552</v>
      </c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</row>
    <row r="458">
      <c r="A458" s="43" t="s">
        <v>1553</v>
      </c>
      <c r="B458" s="44" t="s">
        <v>1554</v>
      </c>
      <c r="C458" s="45"/>
      <c r="D458" s="6"/>
      <c r="E458" s="44" t="str">
        <f>IFERROR(__xludf.DUMMYFUNCTION("""COMPUTED_VALUE"""),"Православная школа Димитрия Солунского")</f>
        <v>Православная школа Димитрия Солунского</v>
      </c>
      <c r="F458" s="47" t="s">
        <v>1555</v>
      </c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</row>
    <row r="459">
      <c r="A459" s="43" t="s">
        <v>1556</v>
      </c>
      <c r="B459" s="44"/>
      <c r="C459" s="45"/>
      <c r="D459" s="6"/>
      <c r="E459" s="44" t="str">
        <f>IFERROR(__xludf.DUMMYFUNCTION("""COMPUTED_VALUE"""),"Российско-норвежская старшая школа")</f>
        <v>Российско-норвежская старшая школа</v>
      </c>
      <c r="F459" s="47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</row>
    <row r="460">
      <c r="A460" s="43" t="s">
        <v>1557</v>
      </c>
      <c r="B460" s="44"/>
      <c r="C460" s="45"/>
      <c r="D460" s="6"/>
      <c r="E460" s="44" t="str">
        <f>IFERROR(__xludf.DUMMYFUNCTION("""COMPUTED_VALUE"""),"Школа 9")</f>
        <v>Школа 9</v>
      </c>
      <c r="F460" s="47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</row>
    <row r="461">
      <c r="A461" s="43" t="s">
        <v>1558</v>
      </c>
      <c r="B461" s="44"/>
      <c r="C461" s="45"/>
      <c r="D461" s="6"/>
      <c r="E461" s="44" t="str">
        <f>IFERROR(__xludf.DUMMYFUNCTION("""COMPUTED_VALUE"""),"Свято-Владимирская общеобразовательная православная школа")</f>
        <v>Свято-Владимирская общеобразовательная православная школа</v>
      </c>
      <c r="F461" s="47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</row>
    <row r="462">
      <c r="A462" s="43" t="s">
        <v>1559</v>
      </c>
      <c r="B462" s="44" t="s">
        <v>1560</v>
      </c>
      <c r="C462" s="48" t="s">
        <v>1255</v>
      </c>
      <c r="D462" s="6"/>
      <c r="E462" s="44" t="str">
        <f>IFERROR(__xludf.DUMMYFUNCTION("""COMPUTED_VALUE"""),"Специализированный учебно-научный центр МГУ школа им. А. Н. Колмогорова")</f>
        <v>Специализированный учебно-научный центр МГУ школа им. А. Н. Колмогорова</v>
      </c>
      <c r="F462" s="47" t="s">
        <v>1561</v>
      </c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</row>
    <row r="463">
      <c r="A463" s="43" t="s">
        <v>1562</v>
      </c>
      <c r="B463" s="44"/>
      <c r="C463" s="45"/>
      <c r="D463" s="6"/>
      <c r="E463" s="44" t="str">
        <f>IFERROR(__xludf.DUMMYFUNCTION("""COMPUTED_VALUE"""),"Специальная общеобразовательная школа для слепых и слабовидящих детей")</f>
        <v>Специальная общеобразовательная школа для слепых и слабовидящих детей</v>
      </c>
      <c r="F463" s="47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</row>
    <row r="464">
      <c r="A464" s="43" t="s">
        <v>1563</v>
      </c>
      <c r="B464" s="44" t="s">
        <v>1564</v>
      </c>
      <c r="C464" s="48" t="s">
        <v>1565</v>
      </c>
      <c r="D464" s="6"/>
      <c r="E464" s="44" t="str">
        <f>IFERROR(__xludf.DUMMYFUNCTION("""COMPUTED_VALUE"""),"Учебно-консультационный центр Генезис")</f>
        <v>Учебно-консультационный центр Генезис</v>
      </c>
      <c r="F464" s="47" t="s">
        <v>1566</v>
      </c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</row>
    <row r="465">
      <c r="A465" s="43" t="s">
        <v>1567</v>
      </c>
      <c r="B465" s="44" t="s">
        <v>1568</v>
      </c>
      <c r="C465" s="48" t="s">
        <v>1569</v>
      </c>
      <c r="D465" s="6"/>
      <c r="E465" s="44" t="str">
        <f>IFERROR(__xludf.DUMMYFUNCTION("""COMPUTED_VALUE"""),"Учебный центр Ник-элит")</f>
        <v>Учебный центр Ник-элит</v>
      </c>
      <c r="F465" s="47" t="s">
        <v>1570</v>
      </c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</row>
    <row r="466">
      <c r="A466" s="43" t="s">
        <v>1571</v>
      </c>
      <c r="B466" s="44" t="s">
        <v>1572</v>
      </c>
      <c r="C466" s="48" t="s">
        <v>1573</v>
      </c>
      <c r="D466" s="6"/>
      <c r="E466" s="44" t="str">
        <f>IFERROR(__xludf.DUMMYFUNCTION("""COMPUTED_VALUE"""),"Учебный центр Росинка")</f>
        <v>Учебный центр Росинка</v>
      </c>
      <c r="F466" s="47" t="s">
        <v>1574</v>
      </c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</row>
    <row r="467">
      <c r="A467" s="43" t="s">
        <v>1575</v>
      </c>
      <c r="B467" s="44" t="s">
        <v>1576</v>
      </c>
      <c r="C467" s="48" t="s">
        <v>1577</v>
      </c>
      <c r="D467" s="6"/>
      <c r="E467" s="44" t="str">
        <f>IFERROR(__xludf.DUMMYFUNCTION("""COMPUTED_VALUE"""),"Христианская школа им. Хинксона")</f>
        <v>Христианская школа им. Хинксона</v>
      </c>
      <c r="F467" s="47" t="s">
        <v>1578</v>
      </c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</row>
    <row r="468">
      <c r="A468" s="43" t="s">
        <v>1579</v>
      </c>
      <c r="B468" s="44" t="s">
        <v>1580</v>
      </c>
      <c r="C468" s="48" t="s">
        <v>1581</v>
      </c>
      <c r="D468" s="6"/>
      <c r="E468" s="44" t="str">
        <f>IFERROR(__xludf.DUMMYFUNCTION("""COMPUTED_VALUE"""),"Центр Творческий потенциал личности")</f>
        <v>Центр Творческий потенциал личности</v>
      </c>
      <c r="F468" s="47" t="s">
        <v>1582</v>
      </c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</row>
    <row r="469">
      <c r="A469" s="43" t="s">
        <v>1583</v>
      </c>
      <c r="B469" s="44" t="s">
        <v>1584</v>
      </c>
      <c r="C469" s="45"/>
      <c r="D469" s="6"/>
      <c r="E469" s="44" t="str">
        <f>IFERROR(__xludf.DUMMYFUNCTION("""COMPUTED_VALUE"""),"Центр дополнительного образования Президентская школа")</f>
        <v>Центр дополнительного образования Президентская школа</v>
      </c>
      <c r="F469" s="47" t="s">
        <v>1585</v>
      </c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</row>
    <row r="470">
      <c r="A470" s="43" t="s">
        <v>1586</v>
      </c>
      <c r="B470" s="44" t="s">
        <v>1587</v>
      </c>
      <c r="C470" s="48" t="s">
        <v>1588</v>
      </c>
      <c r="D470" s="6"/>
      <c r="E470" s="44" t="str">
        <f>IFERROR(__xludf.DUMMYFUNCTION("""COMPUTED_VALUE"""),"Школа 1998")</f>
        <v>Школа 1998</v>
      </c>
      <c r="F470" s="47" t="s">
        <v>60</v>
      </c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</row>
    <row r="471">
      <c r="A471" s="43" t="s">
        <v>1589</v>
      </c>
      <c r="B471" s="44" t="s">
        <v>1590</v>
      </c>
      <c r="C471" s="48" t="s">
        <v>1591</v>
      </c>
      <c r="D471" s="6"/>
      <c r="E471" s="44" t="str">
        <f>IFERROR(__xludf.DUMMYFUNCTION("""COMPUTED_VALUE"""),"Школа 70")</f>
        <v>Школа 70</v>
      </c>
      <c r="F471" s="47" t="s">
        <v>1592</v>
      </c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</row>
    <row r="472">
      <c r="A472" s="43" t="s">
        <v>1593</v>
      </c>
      <c r="B472" s="44" t="s">
        <v>1594</v>
      </c>
      <c r="C472" s="48" t="s">
        <v>1595</v>
      </c>
      <c r="D472" s="6"/>
      <c r="E472" s="44" t="str">
        <f>IFERROR(__xludf.DUMMYFUNCTION("""COMPUTED_VALUE"""),"Центр образования Юниор")</f>
        <v>Центр образования Юниор</v>
      </c>
      <c r="F472" s="47" t="s">
        <v>1596</v>
      </c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</row>
    <row r="473">
      <c r="A473" s="43" t="s">
        <v>1597</v>
      </c>
      <c r="B473" s="44" t="s">
        <v>1598</v>
      </c>
      <c r="C473" s="48" t="s">
        <v>1599</v>
      </c>
      <c r="D473" s="6"/>
      <c r="E473" s="44" t="str">
        <f>IFERROR(__xludf.DUMMYFUNCTION("""COMPUTED_VALUE"""),"Центр психолого-педагогической реабилитации и коррекции Рублево")</f>
        <v>Центр психолого-педагогической реабилитации и коррекции Рублево</v>
      </c>
      <c r="F473" s="47" t="s">
        <v>1600</v>
      </c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</row>
    <row r="474">
      <c r="A474" s="43" t="s">
        <v>1601</v>
      </c>
      <c r="B474" s="44" t="s">
        <v>1602</v>
      </c>
      <c r="C474" s="48" t="s">
        <v>1603</v>
      </c>
      <c r="D474" s="6"/>
      <c r="E474" s="44" t="str">
        <f>IFERROR(__xludf.DUMMYFUNCTION("""COMPUTED_VALUE"""),"Школа Академия языка")</f>
        <v>Школа Академия языка</v>
      </c>
      <c r="F474" s="47" t="s">
        <v>1604</v>
      </c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</row>
    <row r="475">
      <c r="A475" s="43" t="s">
        <v>1605</v>
      </c>
      <c r="B475" s="44" t="s">
        <v>1606</v>
      </c>
      <c r="C475" s="48" t="s">
        <v>992</v>
      </c>
      <c r="D475" s="6"/>
      <c r="E475" s="44" t="str">
        <f>IFERROR(__xludf.DUMMYFUNCTION("""COMPUTED_VALUE"""),"Школа Алеф")</f>
        <v>Школа Алеф</v>
      </c>
      <c r="F475" s="47" t="s">
        <v>1607</v>
      </c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</row>
    <row r="476">
      <c r="A476" s="43" t="s">
        <v>1608</v>
      </c>
      <c r="B476" s="44" t="s">
        <v>1609</v>
      </c>
      <c r="C476" s="48" t="s">
        <v>1038</v>
      </c>
      <c r="D476" s="6"/>
      <c r="E476" s="44" t="str">
        <f>IFERROR(__xludf.DUMMYFUNCTION("""COMPUTED_VALUE"""),"Школа Андромеда")</f>
        <v>Школа Андромеда</v>
      </c>
      <c r="F476" s="47" t="s">
        <v>1610</v>
      </c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</row>
    <row r="477">
      <c r="A477" s="43" t="s">
        <v>1611</v>
      </c>
      <c r="B477" s="44" t="s">
        <v>1612</v>
      </c>
      <c r="C477" s="48" t="s">
        <v>1613</v>
      </c>
      <c r="D477" s="6"/>
      <c r="E477" s="44" t="str">
        <f>IFERROR(__xludf.DUMMYFUNCTION("""COMPUTED_VALUE"""),"Школа Апогей")</f>
        <v>Школа Апогей</v>
      </c>
      <c r="F477" s="47" t="s">
        <v>1614</v>
      </c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</row>
    <row r="478">
      <c r="A478" s="43" t="s">
        <v>1615</v>
      </c>
      <c r="B478" s="44" t="s">
        <v>1616</v>
      </c>
      <c r="C478" s="48" t="s">
        <v>1617</v>
      </c>
      <c r="D478" s="6"/>
      <c r="E478" s="44" t="str">
        <f>IFERROR(__xludf.DUMMYFUNCTION("""COMPUTED_VALUE"""),"Школа Атлант")</f>
        <v>Школа Атлант</v>
      </c>
      <c r="F478" s="47" t="s">
        <v>1618</v>
      </c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</row>
    <row r="479">
      <c r="A479" s="43" t="s">
        <v>1619</v>
      </c>
      <c r="B479" s="44" t="s">
        <v>1620</v>
      </c>
      <c r="C479" s="48" t="s">
        <v>821</v>
      </c>
      <c r="D479" s="6"/>
      <c r="E479" s="44" t="str">
        <f>IFERROR(__xludf.DUMMYFUNCTION("""COMPUTED_VALUE"""),"Школа Афина")</f>
        <v>Школа Афина</v>
      </c>
      <c r="F479" s="47" t="s">
        <v>1621</v>
      </c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</row>
    <row r="480">
      <c r="A480" s="43" t="s">
        <v>1622</v>
      </c>
      <c r="B480" s="44" t="s">
        <v>1623</v>
      </c>
      <c r="C480" s="48" t="s">
        <v>1624</v>
      </c>
      <c r="D480" s="6"/>
      <c r="E480" s="44" t="str">
        <f>IFERROR(__xludf.DUMMYFUNCTION("""COMPUTED_VALUE"""),"Школа Бакалавр")</f>
        <v>Школа Бакалавр</v>
      </c>
      <c r="F480" s="47" t="s">
        <v>1625</v>
      </c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</row>
    <row r="481">
      <c r="A481" s="43" t="s">
        <v>1626</v>
      </c>
      <c r="B481" s="44" t="s">
        <v>1627</v>
      </c>
      <c r="C481" s="48" t="s">
        <v>1628</v>
      </c>
      <c r="D481" s="6"/>
      <c r="E481" s="44" t="str">
        <f>IFERROR(__xludf.DUMMYFUNCTION("""COMPUTED_VALUE"""),"Школа Будущее")</f>
        <v>Школа Будущее</v>
      </c>
      <c r="F481" s="47" t="s">
        <v>1629</v>
      </c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</row>
    <row r="482">
      <c r="A482" s="43" t="s">
        <v>1630</v>
      </c>
      <c r="B482" s="44" t="s">
        <v>1631</v>
      </c>
      <c r="C482" s="48" t="s">
        <v>803</v>
      </c>
      <c r="D482" s="6"/>
      <c r="E482" s="44" t="str">
        <f>IFERROR(__xludf.DUMMYFUNCTION("""COMPUTED_VALUE"""),"Школа Вдохновение")</f>
        <v>Школа Вдохновение</v>
      </c>
      <c r="F482" s="47" t="s">
        <v>1632</v>
      </c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</row>
    <row r="483">
      <c r="A483" s="43" t="s">
        <v>1633</v>
      </c>
      <c r="B483" s="44" t="s">
        <v>1634</v>
      </c>
      <c r="C483" s="48" t="s">
        <v>1138</v>
      </c>
      <c r="D483" s="6"/>
      <c r="E483" s="44" t="str">
        <f>IFERROR(__xludf.DUMMYFUNCTION("""COMPUTED_VALUE"""),"Школа ВиА")</f>
        <v>Школа ВиА</v>
      </c>
      <c r="F483" s="47" t="s">
        <v>1635</v>
      </c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</row>
    <row r="484">
      <c r="A484" s="43" t="s">
        <v>1636</v>
      </c>
      <c r="B484" s="44" t="s">
        <v>1637</v>
      </c>
      <c r="C484" s="48" t="s">
        <v>1638</v>
      </c>
      <c r="D484" s="6"/>
      <c r="E484" s="44" t="str">
        <f>IFERROR(__xludf.DUMMYFUNCTION("""COMPUTED_VALUE"""),"Школа Вступление")</f>
        <v>Школа Вступление</v>
      </c>
      <c r="F484" s="47" t="s">
        <v>1639</v>
      </c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</row>
    <row r="485">
      <c r="A485" s="43" t="s">
        <v>1640</v>
      </c>
      <c r="B485" s="44" t="s">
        <v>1641</v>
      </c>
      <c r="C485" s="48" t="s">
        <v>999</v>
      </c>
      <c r="D485" s="6"/>
      <c r="E485" s="44" t="str">
        <f>IFERROR(__xludf.DUMMYFUNCTION("""COMPUTED_VALUE"""),"Школа Выбор")</f>
        <v>Школа Выбор</v>
      </c>
      <c r="F485" s="47" t="s">
        <v>1642</v>
      </c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</row>
    <row r="486">
      <c r="A486" s="43" t="s">
        <v>1643</v>
      </c>
      <c r="B486" s="44" t="s">
        <v>1644</v>
      </c>
      <c r="C486" s="48" t="s">
        <v>1595</v>
      </c>
      <c r="D486" s="6"/>
      <c r="E486" s="44" t="str">
        <f>IFERROR(__xludf.DUMMYFUNCTION("""COMPUTED_VALUE"""),"Школа Гармония")</f>
        <v>Школа Гармония</v>
      </c>
      <c r="F486" s="47" t="s">
        <v>1645</v>
      </c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</row>
    <row r="487">
      <c r="A487" s="43" t="s">
        <v>1643</v>
      </c>
      <c r="B487" s="44" t="s">
        <v>1646</v>
      </c>
      <c r="C487" s="45"/>
      <c r="D487" s="6"/>
      <c r="E487" s="44" t="str">
        <f>IFERROR(__xludf.DUMMYFUNCTION("""COMPUTED_VALUE"""),"Школа Гармония")</f>
        <v>Школа Гармония</v>
      </c>
      <c r="F487" s="47" t="s">
        <v>1647</v>
      </c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</row>
    <row r="488">
      <c r="A488" s="43" t="s">
        <v>1648</v>
      </c>
      <c r="B488" s="44" t="s">
        <v>1649</v>
      </c>
      <c r="C488" s="48" t="s">
        <v>1650</v>
      </c>
      <c r="D488" s="6"/>
      <c r="E488" s="44" t="str">
        <f>IFERROR(__xludf.DUMMYFUNCTION("""COMPUTED_VALUE"""),"Школа Геркулес")</f>
        <v>Школа Геркулес</v>
      </c>
      <c r="F488" s="47" t="s">
        <v>1651</v>
      </c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</row>
    <row r="489">
      <c r="A489" s="43" t="s">
        <v>1652</v>
      </c>
      <c r="B489" s="44"/>
      <c r="C489" s="45"/>
      <c r="D489" s="6"/>
      <c r="E489" s="44" t="str">
        <f>IFERROR(__xludf.DUMMYFUNCTION("""COMPUTED_VALUE"""),"Школа им. Гнесиных")</f>
        <v>Школа им. Гнесиных</v>
      </c>
      <c r="F489" s="47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</row>
    <row r="490">
      <c r="A490" s="43" t="s">
        <v>1653</v>
      </c>
      <c r="B490" s="44"/>
      <c r="C490" s="45"/>
      <c r="D490" s="6"/>
      <c r="E490" s="44" t="str">
        <f>IFERROR(__xludf.DUMMYFUNCTION("""COMPUTED_VALUE"""),"Школа Город солнца")</f>
        <v>Школа Город солнца</v>
      </c>
      <c r="F490" s="47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</row>
    <row r="491">
      <c r="A491" s="43" t="s">
        <v>1654</v>
      </c>
      <c r="B491" s="44" t="s">
        <v>1655</v>
      </c>
      <c r="C491" s="48" t="s">
        <v>741</v>
      </c>
      <c r="D491" s="6"/>
      <c r="E491" s="44" t="str">
        <f>IFERROR(__xludf.DUMMYFUNCTION("""COMPUTED_VALUE"""),"Школа Дельта")</f>
        <v>Школа Дельта</v>
      </c>
      <c r="F491" s="47" t="s">
        <v>1656</v>
      </c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</row>
    <row r="492">
      <c r="A492" s="43" t="s">
        <v>1657</v>
      </c>
      <c r="B492" s="44" t="s">
        <v>1658</v>
      </c>
      <c r="C492" s="48" t="s">
        <v>1659</v>
      </c>
      <c r="D492" s="6"/>
      <c r="E492" s="44" t="str">
        <f>IFERROR(__xludf.DUMMYFUNCTION("""COMPUTED_VALUE"""),"Школа Дельта-Прометей")</f>
        <v>Школа Дельта-Прометей</v>
      </c>
      <c r="F492" s="47" t="s">
        <v>1660</v>
      </c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</row>
    <row r="493">
      <c r="A493" s="43" t="s">
        <v>1661</v>
      </c>
      <c r="B493" s="44" t="s">
        <v>1662</v>
      </c>
      <c r="C493" s="48" t="s">
        <v>813</v>
      </c>
      <c r="D493" s="6"/>
      <c r="E493" s="44" t="str">
        <f>IFERROR(__xludf.DUMMYFUNCTION("""COMPUTED_VALUE"""),"Европейская гимназия")</f>
        <v>Европейская гимназия</v>
      </c>
      <c r="F493" s="47" t="s">
        <v>1663</v>
      </c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</row>
    <row r="494">
      <c r="A494" s="43" t="s">
        <v>1664</v>
      </c>
      <c r="B494" s="44" t="s">
        <v>1665</v>
      </c>
      <c r="C494" s="48" t="s">
        <v>721</v>
      </c>
      <c r="D494" s="6"/>
      <c r="E494" s="44" t="str">
        <f>IFERROR(__xludf.DUMMYFUNCTION("""COMPUTED_VALUE"""),"Школа Знайка")</f>
        <v>Школа Знайка</v>
      </c>
      <c r="F494" s="47" t="s">
        <v>1666</v>
      </c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</row>
    <row r="495">
      <c r="A495" s="43" t="s">
        <v>1667</v>
      </c>
      <c r="B495" s="44" t="s">
        <v>1668</v>
      </c>
      <c r="C495" s="48" t="s">
        <v>1669</v>
      </c>
      <c r="D495" s="6"/>
      <c r="E495" s="44" t="str">
        <f>IFERROR(__xludf.DUMMYFUNCTION("""COMPUTED_VALUE"""),"Школа Золотое сечение")</f>
        <v>Школа Золотое сечение</v>
      </c>
      <c r="F495" s="47" t="s">
        <v>1670</v>
      </c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</row>
    <row r="496">
      <c r="A496" s="43" t="s">
        <v>1671</v>
      </c>
      <c r="B496" s="44" t="s">
        <v>1672</v>
      </c>
      <c r="C496" s="48" t="s">
        <v>1673</v>
      </c>
      <c r="D496" s="6"/>
      <c r="E496" s="44" t="str">
        <f>IFERROR(__xludf.DUMMYFUNCTION("""COMPUTED_VALUE"""),"Школа Имя")</f>
        <v>Школа Имя</v>
      </c>
      <c r="F496" s="47" t="s">
        <v>1674</v>
      </c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</row>
    <row r="497">
      <c r="A497" s="43" t="s">
        <v>1675</v>
      </c>
      <c r="B497" s="44" t="s">
        <v>1676</v>
      </c>
      <c r="C497" s="48" t="s">
        <v>1677</v>
      </c>
      <c r="D497" s="6"/>
      <c r="E497" s="44" t="str">
        <f>IFERROR(__xludf.DUMMYFUNCTION("""COMPUTED_VALUE"""),"Школа Интеграл")</f>
        <v>Школа Интеграл</v>
      </c>
      <c r="F497" s="47" t="s">
        <v>1678</v>
      </c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</row>
    <row r="498">
      <c r="A498" s="43" t="s">
        <v>1679</v>
      </c>
      <c r="B498" s="44" t="s">
        <v>1680</v>
      </c>
      <c r="C498" s="48" t="s">
        <v>1247</v>
      </c>
      <c r="D498" s="6"/>
      <c r="E498" s="44" t="str">
        <f>IFERROR(__xludf.DUMMYFUNCTION("""COMPUTED_VALUE"""),"Школа Интеграция")</f>
        <v>Школа Интеграция</v>
      </c>
      <c r="F498" s="47" t="s">
        <v>1681</v>
      </c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</row>
    <row r="499">
      <c r="A499" s="43" t="s">
        <v>100</v>
      </c>
      <c r="B499" s="44" t="s">
        <v>1682</v>
      </c>
      <c r="C499" s="48" t="s">
        <v>1613</v>
      </c>
      <c r="D499" s="6"/>
      <c r="E499" s="44" t="str">
        <f>IFERROR(__xludf.DUMMYFUNCTION("""COMPUTED_VALUE"""),"Школа Интеллектуал")</f>
        <v>Школа Интеллектуал</v>
      </c>
      <c r="F499" s="47" t="s">
        <v>1683</v>
      </c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</row>
    <row r="500">
      <c r="A500" s="43" t="s">
        <v>1684</v>
      </c>
      <c r="B500" s="44" t="s">
        <v>1685</v>
      </c>
      <c r="C500" s="48" t="s">
        <v>1686</v>
      </c>
      <c r="D500" s="6"/>
      <c r="E500" s="44" t="str">
        <f>IFERROR(__xludf.DUMMYFUNCTION("""COMPUTED_VALUE"""),"Школа Интеллект-XXI")</f>
        <v>Школа Интеллект-XXI</v>
      </c>
      <c r="F500" s="47" t="s">
        <v>1687</v>
      </c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</row>
    <row r="501">
      <c r="A501" s="43" t="s">
        <v>1688</v>
      </c>
      <c r="B501" s="44" t="s">
        <v>1689</v>
      </c>
      <c r="C501" s="45"/>
      <c r="D501" s="6"/>
      <c r="E501" s="44" t="str">
        <f>IFERROR(__xludf.DUMMYFUNCTION("""COMPUTED_VALUE"""),"Школа Интенсив")</f>
        <v>Школа Интенсив</v>
      </c>
      <c r="F501" s="47" t="s">
        <v>1690</v>
      </c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</row>
    <row r="502">
      <c r="A502" s="43" t="s">
        <v>1691</v>
      </c>
      <c r="B502" s="44" t="s">
        <v>1692</v>
      </c>
      <c r="C502" s="48" t="s">
        <v>1693</v>
      </c>
      <c r="D502" s="6"/>
      <c r="E502" s="44" t="str">
        <f>IFERROR(__xludf.DUMMYFUNCTION("""COMPUTED_VALUE"""),"Школа Ирида")</f>
        <v>Школа Ирида</v>
      </c>
      <c r="F502" s="47" t="s">
        <v>1694</v>
      </c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</row>
    <row r="503">
      <c r="A503" s="43" t="s">
        <v>1695</v>
      </c>
      <c r="B503" s="44" t="s">
        <v>1696</v>
      </c>
      <c r="C503" s="48" t="s">
        <v>1697</v>
      </c>
      <c r="D503" s="6"/>
      <c r="E503" s="44" t="str">
        <f>IFERROR(__xludf.DUMMYFUNCTION("""COMPUTED_VALUE"""),"Школа Ирмос")</f>
        <v>Школа Ирмос</v>
      </c>
      <c r="F503" s="47" t="s">
        <v>1698</v>
      </c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</row>
    <row r="504">
      <c r="A504" s="43" t="s">
        <v>1699</v>
      </c>
      <c r="B504" s="44" t="s">
        <v>1700</v>
      </c>
      <c r="C504" s="48" t="s">
        <v>1701</v>
      </c>
      <c r="D504" s="6"/>
      <c r="E504" s="44" t="str">
        <f>IFERROR(__xludf.DUMMYFUNCTION("""COMPUTED_VALUE"""),"Школа Исток")</f>
        <v>Школа Исток</v>
      </c>
      <c r="F504" s="47" t="s">
        <v>1702</v>
      </c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</row>
    <row r="505">
      <c r="A505" s="43" t="s">
        <v>1703</v>
      </c>
      <c r="B505" s="44" t="s">
        <v>1704</v>
      </c>
      <c r="C505" s="48" t="s">
        <v>1705</v>
      </c>
      <c r="D505" s="6"/>
      <c r="E505" s="44" t="str">
        <f>IFERROR(__xludf.DUMMYFUNCTION("""COMPUTED_VALUE"""),"Школа Киприда")</f>
        <v>Школа Киприда</v>
      </c>
      <c r="F505" s="47" t="s">
        <v>1706</v>
      </c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</row>
    <row r="506">
      <c r="A506" s="43" t="s">
        <v>1707</v>
      </c>
      <c r="B506" s="44" t="s">
        <v>1708</v>
      </c>
      <c r="C506" s="48" t="s">
        <v>1138</v>
      </c>
      <c r="D506" s="6"/>
      <c r="E506" s="44" t="str">
        <f>IFERROR(__xludf.DUMMYFUNCTION("""COMPUTED_VALUE"""),"Школа Ключ")</f>
        <v>Школа Ключ</v>
      </c>
      <c r="F506" s="47" t="s">
        <v>1709</v>
      </c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</row>
    <row r="507">
      <c r="A507" s="43" t="s">
        <v>1710</v>
      </c>
      <c r="B507" s="44" t="s">
        <v>1711</v>
      </c>
      <c r="C507" s="48" t="s">
        <v>1159</v>
      </c>
      <c r="D507" s="6"/>
      <c r="E507" s="44" t="str">
        <f>IFERROR(__xludf.DUMMYFUNCTION("""COMPUTED_VALUE"""),"Школа Колледж-XXI")</f>
        <v>Школа Колледж-XXI</v>
      </c>
      <c r="F507" s="47" t="s">
        <v>1712</v>
      </c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</row>
    <row r="508">
      <c r="A508" s="43" t="s">
        <v>1713</v>
      </c>
      <c r="B508" s="44" t="s">
        <v>1714</v>
      </c>
      <c r="C508" s="48" t="s">
        <v>1024</v>
      </c>
      <c r="D508" s="6"/>
      <c r="E508" s="44" t="str">
        <f>IFERROR(__xludf.DUMMYFUNCTION("""COMPUTED_VALUE"""),"Школа Колледж-Ромашка")</f>
        <v>Школа Колледж-Ромашка</v>
      </c>
      <c r="F508" s="47" t="s">
        <v>1715</v>
      </c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</row>
    <row r="509">
      <c r="A509" s="43" t="s">
        <v>1716</v>
      </c>
      <c r="B509" s="44" t="s">
        <v>1717</v>
      </c>
      <c r="C509" s="48" t="s">
        <v>1718</v>
      </c>
      <c r="D509" s="6"/>
      <c r="E509" s="44" t="str">
        <f>IFERROR(__xludf.DUMMYFUNCTION("""COMPUTED_VALUE"""),"Школа Констанца Винчи")</f>
        <v>Школа Констанца Винчи</v>
      </c>
      <c r="F509" s="47" t="s">
        <v>1719</v>
      </c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</row>
    <row r="510">
      <c r="A510" s="43" t="s">
        <v>1720</v>
      </c>
      <c r="B510" s="44" t="s">
        <v>1721</v>
      </c>
      <c r="C510" s="48" t="s">
        <v>1722</v>
      </c>
      <c r="D510" s="6"/>
      <c r="E510" s="44" t="str">
        <f>IFERROR(__xludf.DUMMYFUNCTION("""COMPUTED_VALUE"""),"Школа Континент")</f>
        <v>Школа Континент</v>
      </c>
      <c r="F510" s="47" t="s">
        <v>1723</v>
      </c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</row>
    <row r="511">
      <c r="A511" s="43" t="s">
        <v>1724</v>
      </c>
      <c r="B511" s="44" t="s">
        <v>1725</v>
      </c>
      <c r="C511" s="48" t="s">
        <v>1726</v>
      </c>
      <c r="D511" s="6"/>
      <c r="E511" s="44" t="str">
        <f>IFERROR(__xludf.DUMMYFUNCTION("""COMPUTED_VALUE"""),"Школа Лад")</f>
        <v>Школа Лад</v>
      </c>
      <c r="F511" s="47" t="s">
        <v>1727</v>
      </c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</row>
    <row r="512">
      <c r="A512" s="43" t="s">
        <v>1728</v>
      </c>
      <c r="B512" s="44" t="s">
        <v>1729</v>
      </c>
      <c r="C512" s="48" t="s">
        <v>977</v>
      </c>
      <c r="D512" s="6"/>
      <c r="E512" s="44" t="str">
        <f>IFERROR(__xludf.DUMMYFUNCTION("""COMPUTED_VALUE"""),"Школа Лицей Троице-Лыково")</f>
        <v>Школа Лицей Троице-Лыково</v>
      </c>
      <c r="F512" s="47" t="s">
        <v>1730</v>
      </c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</row>
    <row r="513">
      <c r="A513" s="43" t="s">
        <v>1731</v>
      </c>
      <c r="B513" s="44" t="s">
        <v>1732</v>
      </c>
      <c r="C513" s="48" t="s">
        <v>1733</v>
      </c>
      <c r="D513" s="6"/>
      <c r="E513" s="44" t="str">
        <f>IFERROR(__xludf.DUMMYFUNCTION("""COMPUTED_VALUE"""),"Школа Личность")</f>
        <v>Школа Личность</v>
      </c>
      <c r="F513" s="47" t="s">
        <v>1734</v>
      </c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</row>
    <row r="514">
      <c r="A514" s="43" t="s">
        <v>1735</v>
      </c>
      <c r="B514" s="44" t="s">
        <v>1736</v>
      </c>
      <c r="C514" s="48" t="s">
        <v>1737</v>
      </c>
      <c r="D514" s="6"/>
      <c r="E514" s="44" t="str">
        <f>IFERROR(__xludf.DUMMYFUNCTION("""COMPUTED_VALUE"""),"Школа Логос")</f>
        <v>Школа Логос</v>
      </c>
      <c r="F514" s="47" t="s">
        <v>1738</v>
      </c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</row>
    <row r="515">
      <c r="A515" s="43" t="s">
        <v>1739</v>
      </c>
      <c r="B515" s="44" t="s">
        <v>1740</v>
      </c>
      <c r="C515" s="45"/>
      <c r="D515" s="6"/>
      <c r="E515" s="44" t="str">
        <f>IFERROR(__xludf.DUMMYFUNCTION("""COMPUTED_VALUE"""),"Школа Ломоносовская школа")</f>
        <v>Школа Ломоносовская школа</v>
      </c>
      <c r="F515" s="47" t="s">
        <v>1585</v>
      </c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</row>
    <row r="516">
      <c r="A516" s="43" t="s">
        <v>1741</v>
      </c>
      <c r="B516" s="44" t="s">
        <v>1742</v>
      </c>
      <c r="C516" s="48" t="s">
        <v>1743</v>
      </c>
      <c r="D516" s="6"/>
      <c r="E516" s="44" t="str">
        <f>IFERROR(__xludf.DUMMYFUNCTION("""COMPUTED_VALUE"""),"Школа Лотос")</f>
        <v>Школа Лотос</v>
      </c>
      <c r="F516" s="47" t="s">
        <v>1744</v>
      </c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</row>
    <row r="517">
      <c r="A517" s="43" t="s">
        <v>1745</v>
      </c>
      <c r="B517" s="44" t="s">
        <v>1746</v>
      </c>
      <c r="C517" s="45"/>
      <c r="D517" s="6"/>
      <c r="E517" s="44" t="str">
        <f>IFERROR(__xludf.DUMMYFUNCTION("""COMPUTED_VALUE"""),"Школа Малая школа")</f>
        <v>Школа Малая школа</v>
      </c>
      <c r="F517" s="47" t="s">
        <v>1747</v>
      </c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</row>
    <row r="518">
      <c r="A518" s="43" t="s">
        <v>1748</v>
      </c>
      <c r="B518" s="44" t="s">
        <v>1749</v>
      </c>
      <c r="C518" s="48" t="s">
        <v>1750</v>
      </c>
      <c r="D518" s="6"/>
      <c r="E518" s="44" t="str">
        <f>IFERROR(__xludf.DUMMYFUNCTION("""COMPUTED_VALUE"""),"Школа Маленький принц")</f>
        <v>Школа Маленький принц</v>
      </c>
      <c r="F518" s="47" t="s">
        <v>1751</v>
      </c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</row>
    <row r="519">
      <c r="A519" s="43" t="s">
        <v>1752</v>
      </c>
      <c r="B519" s="44" t="s">
        <v>1753</v>
      </c>
      <c r="C519" s="48" t="s">
        <v>1754</v>
      </c>
      <c r="D519" s="6"/>
      <c r="E519" s="44" t="str">
        <f>IFERROR(__xludf.DUMMYFUNCTION("""COMPUTED_VALUE"""),"Школа Марина")</f>
        <v>Школа Марина</v>
      </c>
      <c r="F519" s="47" t="s">
        <v>1755</v>
      </c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</row>
    <row r="520">
      <c r="A520" s="43" t="s">
        <v>1756</v>
      </c>
      <c r="B520" s="44" t="s">
        <v>1757</v>
      </c>
      <c r="C520" s="48" t="s">
        <v>1758</v>
      </c>
      <c r="D520" s="6"/>
      <c r="E520" s="44" t="str">
        <f>IFERROR(__xludf.DUMMYFUNCTION("""COMPUTED_VALUE"""),"Школа Международная школа завтрашнего дня")</f>
        <v>Школа Международная школа завтрашнего дня</v>
      </c>
      <c r="F520" s="47" t="s">
        <v>1759</v>
      </c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</row>
    <row r="521">
      <c r="A521" s="43" t="s">
        <v>1760</v>
      </c>
      <c r="B521" s="44" t="s">
        <v>1761</v>
      </c>
      <c r="C521" s="48" t="s">
        <v>1762</v>
      </c>
      <c r="D521" s="6"/>
      <c r="E521" s="44" t="str">
        <f>IFERROR(__xludf.DUMMYFUNCTION("""COMPUTED_VALUE"""),"Школа Мини-школа")</f>
        <v>Школа Мини-школа</v>
      </c>
      <c r="F521" s="47" t="s">
        <v>1763</v>
      </c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</row>
    <row r="522">
      <c r="A522" s="43" t="s">
        <v>1764</v>
      </c>
      <c r="B522" s="44" t="s">
        <v>1765</v>
      </c>
      <c r="C522" s="48" t="s">
        <v>1458</v>
      </c>
      <c r="D522" s="6"/>
      <c r="E522" s="44" t="str">
        <f>IFERROR(__xludf.DUMMYFUNCTION("""COMPUTED_VALUE"""),"Школа Мир знаний")</f>
        <v>Школа Мир знаний</v>
      </c>
      <c r="F522" s="47" t="s">
        <v>1766</v>
      </c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</row>
    <row r="523">
      <c r="A523" s="43" t="s">
        <v>1767</v>
      </c>
      <c r="B523" s="44" t="s">
        <v>1768</v>
      </c>
      <c r="C523" s="48" t="s">
        <v>1718</v>
      </c>
      <c r="D523" s="6"/>
      <c r="E523" s="44" t="str">
        <f>IFERROR(__xludf.DUMMYFUNCTION("""COMPUTED_VALUE"""),"Школа Московиты")</f>
        <v>Школа Московиты</v>
      </c>
      <c r="F523" s="47" t="s">
        <v>1769</v>
      </c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</row>
    <row r="524">
      <c r="A524" s="43" t="s">
        <v>1770</v>
      </c>
      <c r="B524" s="44" t="s">
        <v>1771</v>
      </c>
      <c r="C524" s="48" t="s">
        <v>775</v>
      </c>
      <c r="D524" s="6"/>
      <c r="E524" s="44" t="str">
        <f>IFERROR(__xludf.DUMMYFUNCTION("""COMPUTED_VALUE"""),"Школа Муми Тролль")</f>
        <v>Школа Муми Тролль</v>
      </c>
      <c r="F524" s="47" t="s">
        <v>1772</v>
      </c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</row>
    <row r="525">
      <c r="A525" s="43" t="s">
        <v>1773</v>
      </c>
      <c r="B525" s="44" t="s">
        <v>1774</v>
      </c>
      <c r="C525" s="48" t="s">
        <v>1775</v>
      </c>
      <c r="D525" s="6"/>
      <c r="E525" s="44" t="str">
        <f>IFERROR(__xludf.DUMMYFUNCTION("""COMPUTED_VALUE"""),"Школа Мыслитель")</f>
        <v>Школа Мыслитель</v>
      </c>
      <c r="F525" s="47" t="s">
        <v>1776</v>
      </c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</row>
    <row r="526">
      <c r="A526" s="43" t="s">
        <v>1777</v>
      </c>
      <c r="B526" s="44" t="s">
        <v>1778</v>
      </c>
      <c r="C526" s="48" t="s">
        <v>992</v>
      </c>
      <c r="D526" s="6"/>
      <c r="E526" s="44" t="str">
        <f>IFERROR(__xludf.DUMMYFUNCTION("""COMPUTED_VALUE"""),"Школа На Осенней")</f>
        <v>Школа На Осенней</v>
      </c>
      <c r="F526" s="47" t="s">
        <v>1779</v>
      </c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</row>
    <row r="527">
      <c r="A527" s="43" t="s">
        <v>1780</v>
      </c>
      <c r="B527" s="44" t="s">
        <v>1781</v>
      </c>
      <c r="C527" s="48" t="s">
        <v>1782</v>
      </c>
      <c r="D527" s="6"/>
      <c r="E527" s="44" t="str">
        <f>IFERROR(__xludf.DUMMYFUNCTION("""COMPUTED_VALUE"""),"Школа Надежда")</f>
        <v>Школа Надежда</v>
      </c>
      <c r="F527" s="47" t="s">
        <v>1783</v>
      </c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</row>
    <row r="528">
      <c r="A528" s="43" t="s">
        <v>1784</v>
      </c>
      <c r="B528" s="44" t="s">
        <v>1785</v>
      </c>
      <c r="C528" s="48" t="s">
        <v>1786</v>
      </c>
      <c r="D528" s="6"/>
      <c r="E528" s="44" t="str">
        <f>IFERROR(__xludf.DUMMYFUNCTION("""COMPUTED_VALUE"""),"Школа Наука-сервис")</f>
        <v>Школа Наука-сервис</v>
      </c>
      <c r="F528" s="47" t="s">
        <v>1787</v>
      </c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</row>
    <row r="529">
      <c r="A529" s="43" t="s">
        <v>1788</v>
      </c>
      <c r="B529" s="44" t="s">
        <v>1789</v>
      </c>
      <c r="C529" s="48" t="s">
        <v>1790</v>
      </c>
      <c r="D529" s="6"/>
      <c r="E529" s="44" t="str">
        <f>IFERROR(__xludf.DUMMYFUNCTION("""COMPUTED_VALUE"""),"Школа Новое образование")</f>
        <v>Школа Новое образование</v>
      </c>
      <c r="F529" s="47" t="s">
        <v>1791</v>
      </c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</row>
    <row r="530">
      <c r="A530" s="43" t="s">
        <v>1792</v>
      </c>
      <c r="B530" s="44" t="s">
        <v>1793</v>
      </c>
      <c r="C530" s="48" t="s">
        <v>1726</v>
      </c>
      <c r="D530" s="6"/>
      <c r="E530" s="44" t="str">
        <f>IFERROR(__xludf.DUMMYFUNCTION("""COMPUTED_VALUE"""),"Школа Новый век")</f>
        <v>Школа Новый век</v>
      </c>
      <c r="F530" s="47" t="s">
        <v>1794</v>
      </c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</row>
    <row r="531">
      <c r="A531" s="43" t="s">
        <v>1795</v>
      </c>
      <c r="B531" s="44" t="s">
        <v>1796</v>
      </c>
      <c r="C531" s="45"/>
      <c r="D531" s="6"/>
      <c r="E531" s="44" t="str">
        <f>IFERROR(__xludf.DUMMYFUNCTION("""COMPUTED_VALUE"""),"Школа Образ")</f>
        <v>Школа Образ</v>
      </c>
      <c r="F531" s="47" t="s">
        <v>1797</v>
      </c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</row>
    <row r="532">
      <c r="A532" s="43" t="s">
        <v>1798</v>
      </c>
      <c r="B532" s="44" t="s">
        <v>1799</v>
      </c>
      <c r="C532" s="48" t="s">
        <v>1800</v>
      </c>
      <c r="D532" s="6"/>
      <c r="E532" s="44" t="str">
        <f>IFERROR(__xludf.DUMMYFUNCTION("""COMPUTED_VALUE"""),"Школа 1")</f>
        <v>Школа 1</v>
      </c>
      <c r="F532" s="47" t="s">
        <v>1801</v>
      </c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</row>
    <row r="533">
      <c r="A533" s="43" t="s">
        <v>1802</v>
      </c>
      <c r="B533" s="44" t="s">
        <v>1803</v>
      </c>
      <c r="C533" s="48" t="s">
        <v>1804</v>
      </c>
      <c r="D533" s="6"/>
      <c r="E533" s="44" t="str">
        <f>IFERROR(__xludf.DUMMYFUNCTION("""COMPUTED_VALUE"""),"Школа Олимп-плюс")</f>
        <v>Школа Олимп-плюс</v>
      </c>
      <c r="F533" s="47" t="s">
        <v>1805</v>
      </c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</row>
    <row r="534">
      <c r="A534" s="43" t="s">
        <v>1806</v>
      </c>
      <c r="B534" s="44" t="s">
        <v>1807</v>
      </c>
      <c r="C534" s="48" t="s">
        <v>1808</v>
      </c>
      <c r="D534" s="6"/>
      <c r="E534" s="44" t="str">
        <f>IFERROR(__xludf.DUMMYFUNCTION("""COMPUTED_VALUE"""),"Школа Откровение")</f>
        <v>Школа Откровение</v>
      </c>
      <c r="F534" s="47" t="s">
        <v>1809</v>
      </c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</row>
    <row r="535">
      <c r="A535" s="43" t="s">
        <v>1810</v>
      </c>
      <c r="B535" s="44"/>
      <c r="C535" s="45"/>
      <c r="D535" s="6"/>
      <c r="E535" s="44" t="str">
        <f>IFERROR(__xludf.DUMMYFUNCTION("""COMPUTED_VALUE"""),"Школа Открытая русская школа")</f>
        <v>Школа Открытая русская школа</v>
      </c>
      <c r="F535" s="47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</row>
    <row r="536">
      <c r="A536" s="43" t="s">
        <v>1811</v>
      </c>
      <c r="B536" s="44" t="s">
        <v>1812</v>
      </c>
      <c r="C536" s="48" t="s">
        <v>1813</v>
      </c>
      <c r="D536" s="6"/>
      <c r="E536" s="44" t="str">
        <f>IFERROR(__xludf.DUMMYFUNCTION("""COMPUTED_VALUE"""),"Школа Первая школа начальная школа")</f>
        <v>Школа Первая школа начальная школа</v>
      </c>
      <c r="F536" s="47" t="s">
        <v>1814</v>
      </c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</row>
    <row r="537">
      <c r="A537" s="43" t="s">
        <v>1815</v>
      </c>
      <c r="B537" s="44" t="s">
        <v>1816</v>
      </c>
      <c r="C537" s="48" t="s">
        <v>1817</v>
      </c>
      <c r="D537" s="6"/>
      <c r="E537" s="44" t="str">
        <f>IFERROR(__xludf.DUMMYFUNCTION("""COMPUTED_VALUE"""),"Школа Первая школа средняя школа")</f>
        <v>Школа Первая школа средняя школа</v>
      </c>
      <c r="F537" s="47" t="s">
        <v>1818</v>
      </c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</row>
    <row r="538">
      <c r="A538" s="43" t="s">
        <v>1819</v>
      </c>
      <c r="B538" s="44" t="s">
        <v>1820</v>
      </c>
      <c r="C538" s="48" t="s">
        <v>1617</v>
      </c>
      <c r="D538" s="6"/>
      <c r="E538" s="44" t="str">
        <f>IFERROR(__xludf.DUMMYFUNCTION("""COMPUTED_VALUE"""),"Школа Перспектива")</f>
        <v>Школа Перспектива</v>
      </c>
      <c r="F538" s="47" t="s">
        <v>1821</v>
      </c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</row>
    <row r="539">
      <c r="A539" s="43" t="s">
        <v>1822</v>
      </c>
      <c r="B539" s="44" t="s">
        <v>1823</v>
      </c>
      <c r="C539" s="48" t="s">
        <v>1526</v>
      </c>
      <c r="D539" s="6"/>
      <c r="E539" s="44" t="str">
        <f>IFERROR(__xludf.DUMMYFUNCTION("""COMPUTED_VALUE"""),"Школа Петровская школа")</f>
        <v>Школа Петровская школа</v>
      </c>
      <c r="F539" s="47" t="s">
        <v>1824</v>
      </c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</row>
    <row r="540">
      <c r="A540" s="43" t="s">
        <v>1825</v>
      </c>
      <c r="B540" s="44" t="s">
        <v>1826</v>
      </c>
      <c r="C540" s="48" t="s">
        <v>1827</v>
      </c>
      <c r="D540" s="6"/>
      <c r="E540" s="44" t="str">
        <f>IFERROR(__xludf.DUMMYFUNCTION("""COMPUTED_VALUE"""),"Школа Пионер")</f>
        <v>Школа Пионер</v>
      </c>
      <c r="F540" s="47" t="s">
        <v>1828</v>
      </c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</row>
    <row r="541">
      <c r="A541" s="43" t="s">
        <v>1829</v>
      </c>
      <c r="B541" s="44" t="s">
        <v>1830</v>
      </c>
      <c r="C541" s="48" t="s">
        <v>1831</v>
      </c>
      <c r="D541" s="6"/>
      <c r="E541" s="44" t="str">
        <f>IFERROR(__xludf.DUMMYFUNCTION("""COMPUTED_VALUE"""),"Школа Планета")</f>
        <v>Школа Планета</v>
      </c>
      <c r="F541" s="47" t="s">
        <v>1832</v>
      </c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</row>
    <row r="542">
      <c r="A542" s="43" t="s">
        <v>1833</v>
      </c>
      <c r="B542" s="44" t="s">
        <v>1834</v>
      </c>
      <c r="C542" s="48" t="s">
        <v>1057</v>
      </c>
      <c r="D542" s="6"/>
      <c r="E542" s="44" t="str">
        <f>IFERROR(__xludf.DUMMYFUNCTION("""COMPUTED_VALUE"""),"Школа Познание")</f>
        <v>Школа Познание</v>
      </c>
      <c r="F542" s="47" t="s">
        <v>1835</v>
      </c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</row>
    <row r="543">
      <c r="A543" s="43" t="s">
        <v>1836</v>
      </c>
      <c r="B543" s="44" t="s">
        <v>1837</v>
      </c>
      <c r="C543" s="48" t="s">
        <v>288</v>
      </c>
      <c r="D543" s="6"/>
      <c r="E543" s="44" t="str">
        <f>IFERROR(__xludf.DUMMYFUNCTION("""COMPUTED_VALUE"""),"Школа Полярная звезда")</f>
        <v>Школа Полярная звезда</v>
      </c>
      <c r="F543" s="47" t="s">
        <v>222</v>
      </c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</row>
    <row r="544">
      <c r="A544" s="43" t="s">
        <v>1838</v>
      </c>
      <c r="B544" s="44" t="s">
        <v>1839</v>
      </c>
      <c r="C544" s="48" t="s">
        <v>1840</v>
      </c>
      <c r="D544" s="6"/>
      <c r="E544" s="44" t="str">
        <f>IFERROR(__xludf.DUMMYFUNCTION("""COMPUTED_VALUE"""),"Школа Премьер")</f>
        <v>Школа Премьер</v>
      </c>
      <c r="F544" s="47" t="s">
        <v>1841</v>
      </c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</row>
    <row r="545">
      <c r="A545" s="43" t="s">
        <v>1842</v>
      </c>
      <c r="B545" s="44" t="s">
        <v>1843</v>
      </c>
      <c r="C545" s="48" t="s">
        <v>1844</v>
      </c>
      <c r="D545" s="6"/>
      <c r="E545" s="44" t="str">
        <f>IFERROR(__xludf.DUMMYFUNCTION("""COMPUTED_VALUE"""),"Школа ПромоМ")</f>
        <v>Школа ПромоМ</v>
      </c>
      <c r="F545" s="47" t="s">
        <v>1845</v>
      </c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</row>
    <row r="546">
      <c r="A546" s="43" t="s">
        <v>1846</v>
      </c>
      <c r="B546" s="44" t="s">
        <v>1847</v>
      </c>
      <c r="C546" s="48" t="s">
        <v>1064</v>
      </c>
      <c r="D546" s="6"/>
      <c r="E546" s="44" t="str">
        <f>IFERROR(__xludf.DUMMYFUNCTION("""COMPUTED_VALUE"""),"Школа Просвещение")</f>
        <v>Школа Просвещение</v>
      </c>
      <c r="F546" s="47" t="s">
        <v>1848</v>
      </c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</row>
    <row r="547">
      <c r="A547" s="43" t="s">
        <v>1849</v>
      </c>
      <c r="B547" s="44"/>
      <c r="C547" s="45"/>
      <c r="D547" s="6"/>
      <c r="E547" s="44" t="str">
        <f>IFERROR(__xludf.DUMMYFUNCTION("""COMPUTED_VALUE"""),"Школа Путь зерна")</f>
        <v>Школа Путь зерна</v>
      </c>
      <c r="F547" s="47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</row>
    <row r="548">
      <c r="A548" s="43" t="s">
        <v>1850</v>
      </c>
      <c r="B548" s="44" t="s">
        <v>1851</v>
      </c>
      <c r="C548" s="48" t="s">
        <v>1852</v>
      </c>
      <c r="D548" s="6"/>
      <c r="E548" s="44" t="str">
        <f>IFERROR(__xludf.DUMMYFUNCTION("""COMPUTED_VALUE"""),"Школа Разум-Л")</f>
        <v>Школа Разум-Л</v>
      </c>
      <c r="F548" s="47" t="s">
        <v>1853</v>
      </c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</row>
    <row r="549">
      <c r="A549" s="43" t="s">
        <v>1854</v>
      </c>
      <c r="B549" s="44"/>
      <c r="C549" s="45"/>
      <c r="D549" s="6"/>
      <c r="E549" s="44" t="str">
        <f>IFERROR(__xludf.DUMMYFUNCTION("""COMPUTED_VALUE"""),"Школа 3")</f>
        <v>Школа 3</v>
      </c>
      <c r="F549" s="47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</row>
    <row r="550">
      <c r="A550" s="43" t="s">
        <v>1855</v>
      </c>
      <c r="B550" s="44" t="s">
        <v>1856</v>
      </c>
      <c r="C550" s="48" t="s">
        <v>821</v>
      </c>
      <c r="D550" s="6"/>
      <c r="E550" s="44" t="str">
        <f>IFERROR(__xludf.DUMMYFUNCTION("""COMPUTED_VALUE"""),"Школа Риск")</f>
        <v>Школа Риск</v>
      </c>
      <c r="F550" s="47" t="s">
        <v>1857</v>
      </c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</row>
    <row r="551">
      <c r="A551" s="43" t="s">
        <v>1858</v>
      </c>
      <c r="B551" s="44" t="s">
        <v>1859</v>
      </c>
      <c r="C551" s="48" t="s">
        <v>1860</v>
      </c>
      <c r="D551" s="6"/>
      <c r="E551" s="44" t="str">
        <f>IFERROR(__xludf.DUMMYFUNCTION("""COMPUTED_VALUE"""),"Школа Рольф")</f>
        <v>Школа Рольф</v>
      </c>
      <c r="F551" s="47" t="s">
        <v>1861</v>
      </c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</row>
    <row r="552">
      <c r="A552" s="43" t="s">
        <v>1862</v>
      </c>
      <c r="B552" s="44" t="s">
        <v>1863</v>
      </c>
      <c r="C552" s="48" t="s">
        <v>292</v>
      </c>
      <c r="D552" s="6"/>
      <c r="E552" s="44" t="str">
        <f>IFERROR(__xludf.DUMMYFUNCTION("""COMPUTED_VALUE"""),"Школа РОШ-Образование")</f>
        <v>Школа РОШ-Образование</v>
      </c>
      <c r="F552" s="47" t="s">
        <v>1864</v>
      </c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</row>
    <row r="553">
      <c r="A553" s="43" t="s">
        <v>1865</v>
      </c>
      <c r="B553" s="44" t="s">
        <v>1866</v>
      </c>
      <c r="C553" s="48" t="s">
        <v>374</v>
      </c>
      <c r="D553" s="6"/>
      <c r="E553" s="44" t="str">
        <f>IFERROR(__xludf.DUMMYFUNCTION("""COMPUTED_VALUE"""),"Школа Самсон")</f>
        <v>Школа Самсон</v>
      </c>
      <c r="F553" s="47" t="s">
        <v>1867</v>
      </c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</row>
    <row r="554">
      <c r="A554" s="43" t="s">
        <v>1868</v>
      </c>
      <c r="B554" s="44" t="s">
        <v>1869</v>
      </c>
      <c r="C554" s="48" t="s">
        <v>1870</v>
      </c>
      <c r="D554" s="6"/>
      <c r="E554" s="44" t="str">
        <f>IFERROR(__xludf.DUMMYFUNCTION("""COMPUTED_VALUE"""),"Школа Светоч Арс")</f>
        <v>Школа Светоч Арс</v>
      </c>
      <c r="F554" s="47" t="s">
        <v>1871</v>
      </c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</row>
    <row r="555">
      <c r="A555" s="43" t="s">
        <v>1872</v>
      </c>
      <c r="B555" s="44" t="s">
        <v>1873</v>
      </c>
      <c r="C555" s="48" t="s">
        <v>1086</v>
      </c>
      <c r="D555" s="6"/>
      <c r="E555" s="44" t="str">
        <f>IFERROR(__xludf.DUMMYFUNCTION("""COMPUTED_VALUE"""),"Школа Семейный Лад")</f>
        <v>Школа Семейный Лад</v>
      </c>
      <c r="F555" s="47" t="s">
        <v>1874</v>
      </c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</row>
    <row r="556">
      <c r="A556" s="43" t="s">
        <v>1875</v>
      </c>
      <c r="B556" s="44" t="s">
        <v>1876</v>
      </c>
      <c r="C556" s="48" t="s">
        <v>817</v>
      </c>
      <c r="D556" s="6"/>
      <c r="E556" s="44" t="str">
        <f>IFERROR(__xludf.DUMMYFUNCTION("""COMPUTED_VALUE"""),"Школа Современное образование")</f>
        <v>Школа Современное образование</v>
      </c>
      <c r="F556" s="47" t="s">
        <v>1877</v>
      </c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</row>
    <row r="557">
      <c r="A557" s="43" t="s">
        <v>1878</v>
      </c>
      <c r="B557" s="44" t="s">
        <v>1879</v>
      </c>
      <c r="C557" s="48" t="s">
        <v>1880</v>
      </c>
      <c r="D557" s="6"/>
      <c r="E557" s="44" t="str">
        <f>IFERROR(__xludf.DUMMYFUNCTION("""COMPUTED_VALUE"""),"Школа Союз")</f>
        <v>Школа Союз</v>
      </c>
      <c r="F557" s="47" t="s">
        <v>1881</v>
      </c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</row>
    <row r="558">
      <c r="A558" s="43" t="s">
        <v>1882</v>
      </c>
      <c r="B558" s="44" t="s">
        <v>1883</v>
      </c>
      <c r="C558" s="48" t="s">
        <v>1884</v>
      </c>
      <c r="D558" s="6"/>
      <c r="E558" s="44" t="str">
        <f>IFERROR(__xludf.DUMMYFUNCTION("""COMPUTED_VALUE"""),"Школа Сподвижник")</f>
        <v>Школа Сподвижник</v>
      </c>
      <c r="F558" s="47" t="s">
        <v>1885</v>
      </c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</row>
    <row r="559">
      <c r="A559" s="43" t="s">
        <v>1886</v>
      </c>
      <c r="B559" s="44" t="s">
        <v>1887</v>
      </c>
      <c r="C559" s="48" t="s">
        <v>1888</v>
      </c>
      <c r="D559" s="6"/>
      <c r="E559" s="44" t="str">
        <f>IFERROR(__xludf.DUMMYFUNCTION("""COMPUTED_VALUE"""),"Школа Столичный-КИТ")</f>
        <v>Школа Столичный-КИТ</v>
      </c>
      <c r="F559" s="47" t="s">
        <v>1889</v>
      </c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</row>
    <row r="560">
      <c r="A560" s="43" t="s">
        <v>1890</v>
      </c>
      <c r="B560" s="44" t="s">
        <v>1891</v>
      </c>
      <c r="C560" s="48" t="s">
        <v>1697</v>
      </c>
      <c r="D560" s="6"/>
      <c r="E560" s="44" t="str">
        <f>IFERROR(__xludf.DUMMYFUNCTION("""COMPUTED_VALUE"""),"Школа Талисман")</f>
        <v>Школа Талисман</v>
      </c>
      <c r="F560" s="47" t="s">
        <v>1892</v>
      </c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</row>
    <row r="561">
      <c r="A561" s="43" t="s">
        <v>1893</v>
      </c>
      <c r="B561" s="44"/>
      <c r="C561" s="45"/>
      <c r="D561" s="6"/>
      <c r="E561" s="44" t="str">
        <f>IFERROR(__xludf.DUMMYFUNCTION("""COMPUTED_VALUE"""),"Школа Технологии обучения")</f>
        <v>Школа Технологии обучения</v>
      </c>
      <c r="F561" s="47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</row>
    <row r="562">
      <c r="A562" s="43" t="s">
        <v>1894</v>
      </c>
      <c r="B562" s="44" t="s">
        <v>1895</v>
      </c>
      <c r="C562" s="48" t="s">
        <v>1896</v>
      </c>
      <c r="D562" s="6"/>
      <c r="E562" s="44" t="str">
        <f>IFERROR(__xludf.DUMMYFUNCTION("""COMPUTED_VALUE"""),"Школа Традиционная гимназия")</f>
        <v>Школа Традиционная гимназия</v>
      </c>
      <c r="F562" s="47" t="s">
        <v>1897</v>
      </c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</row>
    <row r="563">
      <c r="A563" s="43" t="s">
        <v>1898</v>
      </c>
      <c r="B563" s="44" t="s">
        <v>1899</v>
      </c>
      <c r="C563" s="48" t="s">
        <v>1900</v>
      </c>
      <c r="D563" s="6"/>
      <c r="E563" s="44" t="str">
        <f>IFERROR(__xludf.DUMMYFUNCTION("""COMPUTED_VALUE"""),"Школа Уна")</f>
        <v>Школа Уна</v>
      </c>
      <c r="F563" s="47" t="s">
        <v>1901</v>
      </c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</row>
    <row r="564">
      <c r="A564" s="43" t="s">
        <v>1902</v>
      </c>
      <c r="B564" s="44" t="s">
        <v>1903</v>
      </c>
      <c r="C564" s="48" t="s">
        <v>1279</v>
      </c>
      <c r="D564" s="6"/>
      <c r="E564" s="44" t="str">
        <f>IFERROR(__xludf.DUMMYFUNCTION("""COMPUTED_VALUE"""),"Школа Феникс")</f>
        <v>Школа Феникс</v>
      </c>
      <c r="F564" s="47" t="s">
        <v>1904</v>
      </c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</row>
    <row r="565">
      <c r="A565" s="43" t="s">
        <v>1905</v>
      </c>
      <c r="B565" s="44" t="s">
        <v>1906</v>
      </c>
      <c r="C565" s="48" t="s">
        <v>1907</v>
      </c>
      <c r="D565" s="6"/>
      <c r="E565" s="44" t="str">
        <f>IFERROR(__xludf.DUMMYFUNCTION("""COMPUTED_VALUE"""),"Школа Феникс-ВБ")</f>
        <v>Школа Феникс-ВБ</v>
      </c>
      <c r="F565" s="47" t="s">
        <v>1908</v>
      </c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</row>
    <row r="566">
      <c r="A566" s="43" t="s">
        <v>1909</v>
      </c>
      <c r="B566" s="44" t="s">
        <v>1910</v>
      </c>
      <c r="C566" s="48" t="s">
        <v>1911</v>
      </c>
      <c r="D566" s="6"/>
      <c r="E566" s="44" t="str">
        <f>IFERROR(__xludf.DUMMYFUNCTION("""COMPUTED_VALUE"""),"Школа Филипповская школа")</f>
        <v>Школа Филипповская школа</v>
      </c>
      <c r="F566" s="47" t="s">
        <v>1912</v>
      </c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</row>
    <row r="567">
      <c r="A567" s="43" t="s">
        <v>1913</v>
      </c>
      <c r="B567" s="44" t="s">
        <v>1914</v>
      </c>
      <c r="C567" s="48" t="s">
        <v>1915</v>
      </c>
      <c r="D567" s="6"/>
      <c r="E567" s="44" t="str">
        <f>IFERROR(__xludf.DUMMYFUNCTION("""COMPUTED_VALUE"""),"Школа Центр ЮССТ")</f>
        <v>Школа Центр ЮССТ</v>
      </c>
      <c r="F567" s="47" t="s">
        <v>1916</v>
      </c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</row>
    <row r="568">
      <c r="A568" s="43" t="s">
        <v>1917</v>
      </c>
      <c r="B568" s="44" t="s">
        <v>1918</v>
      </c>
      <c r="C568" s="48" t="s">
        <v>1919</v>
      </c>
      <c r="D568" s="6"/>
      <c r="E568" s="44" t="str">
        <f>IFERROR(__xludf.DUMMYFUNCTION("""COMPUTED_VALUE"""),"Школа на Знаменке")</f>
        <v>Школа на Знаменке</v>
      </c>
      <c r="F568" s="47" t="s">
        <v>1920</v>
      </c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</row>
    <row r="569">
      <c r="A569" s="43" t="s">
        <v>1921</v>
      </c>
      <c r="B569" s="44" t="s">
        <v>1922</v>
      </c>
      <c r="C569" s="48" t="s">
        <v>1923</v>
      </c>
      <c r="D569" s="6"/>
      <c r="E569" s="44" t="str">
        <f>IFERROR(__xludf.DUMMYFUNCTION("""COMPUTED_VALUE"""),"Школа Святого Георгия")</f>
        <v>Школа Святого Георгия</v>
      </c>
      <c r="F569" s="47" t="s">
        <v>1924</v>
      </c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</row>
    <row r="570">
      <c r="A570" s="43" t="s">
        <v>1925</v>
      </c>
      <c r="B570" s="44" t="s">
        <v>1926</v>
      </c>
      <c r="C570" s="48" t="s">
        <v>1750</v>
      </c>
      <c r="D570" s="6"/>
      <c r="E570" s="44" t="str">
        <f>IFERROR(__xludf.DUMMYFUNCTION("""COMPUTED_VALUE"""),"Школа Ясенево")</f>
        <v>Школа Ясенево</v>
      </c>
      <c r="F570" s="47" t="s">
        <v>1927</v>
      </c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</row>
    <row r="571">
      <c r="A571" s="43" t="s">
        <v>1928</v>
      </c>
      <c r="B571" s="44" t="s">
        <v>1929</v>
      </c>
      <c r="C571" s="45"/>
      <c r="D571" s="6"/>
      <c r="E571" s="44" t="str">
        <f>IFERROR(__xludf.DUMMYFUNCTION("""COMPUTED_VALUE"""),"Школа Школьная академия")</f>
        <v>Школа Школьная академия</v>
      </c>
      <c r="F571" s="47" t="s">
        <v>1930</v>
      </c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</row>
    <row r="572">
      <c r="A572" s="43" t="s">
        <v>1931</v>
      </c>
      <c r="B572" s="44" t="s">
        <v>1932</v>
      </c>
      <c r="C572" s="48" t="s">
        <v>1933</v>
      </c>
      <c r="D572" s="6"/>
      <c r="E572" s="44" t="str">
        <f>IFERROR(__xludf.DUMMYFUNCTION("""COMPUTED_VALUE"""),"Школа Эдвайс")</f>
        <v>Школа Эдвайс</v>
      </c>
      <c r="F572" s="47" t="s">
        <v>1934</v>
      </c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</row>
    <row r="573">
      <c r="A573" s="43" t="s">
        <v>1935</v>
      </c>
      <c r="B573" s="44" t="s">
        <v>1936</v>
      </c>
      <c r="C573" s="48" t="s">
        <v>1516</v>
      </c>
      <c r="D573" s="6"/>
      <c r="E573" s="44" t="str">
        <f>IFERROR(__xludf.DUMMYFUNCTION("""COMPUTED_VALUE"""),"Школа Эллада")</f>
        <v>Школа Эллада</v>
      </c>
      <c r="F573" s="47" t="s">
        <v>1937</v>
      </c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</row>
    <row r="574">
      <c r="A574" s="43" t="s">
        <v>1938</v>
      </c>
      <c r="B574" s="44" t="s">
        <v>1939</v>
      </c>
      <c r="C574" s="48" t="s">
        <v>1940</v>
      </c>
      <c r="D574" s="6"/>
      <c r="E574" s="44" t="str">
        <f>IFERROR(__xludf.DUMMYFUNCTION("""COMPUTED_VALUE"""),"Школа Эпос")</f>
        <v>Школа Эпос</v>
      </c>
      <c r="F574" s="47" t="s">
        <v>1941</v>
      </c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</row>
    <row r="575">
      <c r="A575" s="43" t="s">
        <v>1942</v>
      </c>
      <c r="B575" s="44" t="s">
        <v>1943</v>
      </c>
      <c r="C575" s="48" t="s">
        <v>1944</v>
      </c>
      <c r="D575" s="6"/>
      <c r="E575" s="44" t="str">
        <f>IFERROR(__xludf.DUMMYFUNCTION("""COMPUTED_VALUE"""),"Школа Эрудит")</f>
        <v>Школа Эрудит</v>
      </c>
      <c r="F575" s="47" t="s">
        <v>1945</v>
      </c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</row>
    <row r="576">
      <c r="A576" s="43" t="s">
        <v>1946</v>
      </c>
      <c r="B576" s="44" t="s">
        <v>1947</v>
      </c>
      <c r="C576" s="48" t="s">
        <v>961</v>
      </c>
      <c r="D576" s="6"/>
      <c r="E576" s="44" t="str">
        <f>IFERROR(__xludf.DUMMYFUNCTION("""COMPUTED_VALUE"""),"Школа Эрудит")</f>
        <v>Школа Эрудит</v>
      </c>
      <c r="F576" s="47" t="s">
        <v>1948</v>
      </c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</row>
    <row r="577">
      <c r="A577" s="43" t="s">
        <v>1949</v>
      </c>
      <c r="B577" s="44" t="s">
        <v>1950</v>
      </c>
      <c r="C577" s="48" t="s">
        <v>1951</v>
      </c>
      <c r="D577" s="6"/>
      <c r="E577" s="44" t="str">
        <f>IFERROR(__xludf.DUMMYFUNCTION("""COMPUTED_VALUE"""),"Школа 2")</f>
        <v>Школа 2</v>
      </c>
      <c r="F577" s="47" t="s">
        <v>1952</v>
      </c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</row>
    <row r="578">
      <c r="A578" s="43" t="s">
        <v>1953</v>
      </c>
      <c r="B578" s="44" t="s">
        <v>1954</v>
      </c>
      <c r="C578" s="48" t="s">
        <v>1955</v>
      </c>
      <c r="D578" s="6"/>
      <c r="E578" s="44" t="str">
        <f>IFERROR(__xludf.DUMMYFUNCTION("""COMPUTED_VALUE"""),"Школа Ювенес")</f>
        <v>Школа Ювенес</v>
      </c>
      <c r="F578" s="47" t="s">
        <v>1956</v>
      </c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</row>
    <row r="579">
      <c r="A579" s="43" t="s">
        <v>1957</v>
      </c>
      <c r="B579" s="44" t="s">
        <v>1958</v>
      </c>
      <c r="C579" s="48" t="s">
        <v>296</v>
      </c>
      <c r="D579" s="6"/>
      <c r="E579" s="44" t="str">
        <f>IFERROR(__xludf.DUMMYFUNCTION("""COMPUTED_VALUE"""),"Школа Юность")</f>
        <v>Школа Юность</v>
      </c>
      <c r="F579" s="47" t="s">
        <v>1959</v>
      </c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</row>
    <row r="580">
      <c r="A580" s="43" t="s">
        <v>1960</v>
      </c>
      <c r="B580" s="44"/>
      <c r="C580" s="45"/>
      <c r="D580" s="6"/>
      <c r="E580" s="44" t="str">
        <f>IFERROR(__xludf.DUMMYFUNCTION("""COMPUTED_VALUE"""),"Школа будущего Радуга")</f>
        <v>Школа будущего Радуга</v>
      </c>
      <c r="F580" s="47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</row>
    <row r="581">
      <c r="A581" s="43" t="s">
        <v>1961</v>
      </c>
      <c r="B581" s="44"/>
      <c r="C581" s="45"/>
      <c r="D581" s="6"/>
      <c r="E581" s="44" t="str">
        <f>IFERROR(__xludf.DUMMYFUNCTION("""COMPUTED_VALUE"""),"Школа во имя апостола и евангелиста Иоанна Богослова")</f>
        <v>Школа во имя апостола и евангелиста Иоанна Богослова</v>
      </c>
      <c r="F581" s="47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</row>
    <row r="582">
      <c r="A582" s="43" t="s">
        <v>1962</v>
      </c>
      <c r="B582" s="44"/>
      <c r="C582" s="45"/>
      <c r="D582" s="6"/>
      <c r="E582" s="44" t="str">
        <f>IFERROR(__xludf.DUMMYFUNCTION("""COMPUTED_VALUE"""),"Школа во имя Святого благоверного князя Александра Невского")</f>
        <v>Школа во имя Святого благоверного князя Александра Невского</v>
      </c>
      <c r="F582" s="47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</row>
    <row r="583">
      <c r="A583" s="43" t="s">
        <v>1963</v>
      </c>
      <c r="B583" s="44" t="s">
        <v>1964</v>
      </c>
      <c r="C583" s="48" t="s">
        <v>1965</v>
      </c>
      <c r="D583" s="6"/>
      <c r="E583" s="44" t="str">
        <f>IFERROR(__xludf.DUMMYFUNCTION("""COMPUTED_VALUE"""),"Школа-детский сад Ирис")</f>
        <v>Школа-детский сад Ирис</v>
      </c>
      <c r="F583" s="47" t="s">
        <v>1966</v>
      </c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</row>
    <row r="584">
      <c r="A584" s="43" t="s">
        <v>1967</v>
      </c>
      <c r="B584" s="44"/>
      <c r="C584" s="45"/>
      <c r="D584" s="6"/>
      <c r="E584" s="44" t="str">
        <f>IFERROR(__xludf.DUMMYFUNCTION("""COMPUTED_VALUE"""),"Школа Института Международной торговли и права")</f>
        <v>Школа Института Международной торговли и права</v>
      </c>
      <c r="F584" s="47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</row>
    <row r="585">
      <c r="A585" s="43" t="s">
        <v>1968</v>
      </c>
      <c r="B585" s="44"/>
      <c r="C585" s="45"/>
      <c r="D585" s="6"/>
      <c r="E585" s="44" t="str">
        <f>IFERROR(__xludf.DUMMYFUNCTION("""COMPUTED_VALUE"""),"Школа искусств Гармония")</f>
        <v>Школа искусств Гармония</v>
      </c>
      <c r="F585" s="47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</row>
    <row r="586">
      <c r="A586" s="43" t="s">
        <v>1969</v>
      </c>
      <c r="B586" s="44"/>
      <c r="C586" s="45"/>
      <c r="D586" s="6"/>
      <c r="E586" s="44" t="str">
        <f>IFERROR(__xludf.DUMMYFUNCTION("""COMPUTED_VALUE"""),"Школа классического танца")</f>
        <v>Школа классического танца</v>
      </c>
      <c r="F586" s="47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</row>
    <row r="587">
      <c r="A587" s="43" t="s">
        <v>1970</v>
      </c>
      <c r="B587" s="44"/>
      <c r="C587" s="45"/>
      <c r="D587" s="6"/>
      <c r="E587" s="44" t="str">
        <f>IFERROR(__xludf.DUMMYFUNCTION("""COMPUTED_VALUE"""),"Школа менеджеров Ямис")</f>
        <v>Школа менеджеров Ямис</v>
      </c>
      <c r="F587" s="47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</row>
    <row r="588">
      <c r="A588" s="43" t="s">
        <v>1971</v>
      </c>
      <c r="B588" s="44"/>
      <c r="C588" s="45"/>
      <c r="D588" s="6"/>
      <c r="E588" s="44" t="str">
        <f>IFERROR(__xludf.DUMMYFUNCTION("""COMPUTED_VALUE"""),"Школа молодых предпринимателей")</f>
        <v>Школа молодых предпринимателей</v>
      </c>
      <c r="F588" s="47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</row>
    <row r="589">
      <c r="A589" s="43" t="s">
        <v>1972</v>
      </c>
      <c r="B589" s="44"/>
      <c r="C589" s="45"/>
      <c r="D589" s="6"/>
      <c r="E589" s="44" t="str">
        <f>IFERROR(__xludf.DUMMYFUNCTION("""COMPUTED_VALUE"""),"Школа Натальи Нестеровой")</f>
        <v>Школа Натальи Нестеровой</v>
      </c>
      <c r="F589" s="47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</row>
    <row r="590">
      <c r="A590" s="43" t="s">
        <v>1973</v>
      </c>
      <c r="B590" s="44"/>
      <c r="C590" s="45"/>
      <c r="D590" s="6"/>
      <c r="E590" s="44" t="str">
        <f>IFERROR(__xludf.DUMMYFUNCTION("""COMPUTED_VALUE"""),"Школа пансион НОП ЦЕНТР")</f>
        <v>Школа пансион НОП ЦЕНТР</v>
      </c>
      <c r="F590" s="47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</row>
    <row r="591">
      <c r="A591" s="43" t="s">
        <v>1974</v>
      </c>
      <c r="B591" s="44"/>
      <c r="C591" s="45"/>
      <c r="D591" s="6"/>
      <c r="E591" s="44" t="str">
        <f>IFERROR(__xludf.DUMMYFUNCTION("""COMPUTED_VALUE"""),"Школа полного дня Ника")</f>
        <v>Школа полного дня Ника</v>
      </c>
      <c r="F591" s="47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</row>
    <row r="592">
      <c r="A592" s="43" t="s">
        <v>1975</v>
      </c>
      <c r="B592" s="44"/>
      <c r="C592" s="45"/>
      <c r="D592" s="6"/>
      <c r="E592" s="44" t="str">
        <f>IFERROR(__xludf.DUMMYFUNCTION("""COMPUTED_VALUE"""),"Школа полного дня Радуга+")</f>
        <v>Школа полного дня Радуга+</v>
      </c>
      <c r="F592" s="47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</row>
    <row r="593">
      <c r="A593" s="43" t="s">
        <v>1976</v>
      </c>
      <c r="B593" s="44"/>
      <c r="C593" s="45"/>
      <c r="D593" s="6"/>
      <c r="E593" s="44" t="str">
        <f>IFERROR(__xludf.DUMMYFUNCTION("""COMPUTED_VALUE"""),"Школа при Андреевском монастыре")</f>
        <v>Школа при Андреевском монастыре</v>
      </c>
      <c r="F593" s="47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</row>
    <row r="594">
      <c r="A594" s="43" t="s">
        <v>1977</v>
      </c>
      <c r="B594" s="44"/>
      <c r="C594" s="45"/>
      <c r="D594" s="6"/>
      <c r="E594" s="44" t="str">
        <f>IFERROR(__xludf.DUMMYFUNCTION("""COMPUTED_VALUE"""),"Школа Св. Георгия Победоносца")</f>
        <v>Школа Св. Георгия Победоносца</v>
      </c>
      <c r="F594" s="47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</row>
    <row r="595">
      <c r="A595" s="43" t="s">
        <v>1978</v>
      </c>
      <c r="B595" s="44"/>
      <c r="C595" s="45"/>
      <c r="D595" s="6"/>
      <c r="E595" s="44" t="str">
        <f>IFERROR(__xludf.DUMMYFUNCTION("""COMPUTED_VALUE"""),"Школа Сотрудничества")</f>
        <v>Школа Сотрудничества</v>
      </c>
      <c r="F595" s="47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</row>
    <row r="596">
      <c r="A596" s="43" t="s">
        <v>1979</v>
      </c>
      <c r="B596" s="44" t="s">
        <v>1980</v>
      </c>
      <c r="C596" s="48" t="s">
        <v>1981</v>
      </c>
      <c r="D596" s="6"/>
      <c r="E596" s="44" t="str">
        <f>IFERROR(__xludf.DUMMYFUNCTION("""COMPUTED_VALUE"""),"Школа УМЦ ВОГ")</f>
        <v>Школа УМЦ ВОГ</v>
      </c>
      <c r="F596" s="47" t="s">
        <v>1982</v>
      </c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</row>
    <row r="597">
      <c r="A597" s="43" t="s">
        <v>1983</v>
      </c>
      <c r="B597" s="44" t="s">
        <v>1984</v>
      </c>
      <c r="C597" s="48" t="s">
        <v>1617</v>
      </c>
      <c r="D597" s="6"/>
      <c r="E597" s="44" t="str">
        <f>IFERROR(__xludf.DUMMYFUNCTION("""COMPUTED_VALUE"""),"Школа УСК Чертаново")</f>
        <v>Школа УСК Чертаново</v>
      </c>
      <c r="F597" s="47" t="s">
        <v>1985</v>
      </c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</row>
    <row r="598">
      <c r="A598" s="43" t="s">
        <v>1986</v>
      </c>
      <c r="B598" s="44"/>
      <c r="C598" s="45"/>
      <c r="D598" s="6"/>
      <c r="E598" s="44" t="str">
        <f>IFERROR(__xludf.DUMMYFUNCTION("""COMPUTED_VALUE"""),"Школа этикета и всестороннего развития")</f>
        <v>Школа этикета и всестороннего развития</v>
      </c>
      <c r="F598" s="47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</row>
    <row r="599">
      <c r="A599" s="43" t="s">
        <v>1987</v>
      </c>
      <c r="B599" s="44" t="s">
        <v>1988</v>
      </c>
      <c r="C599" s="48" t="s">
        <v>1989</v>
      </c>
      <c r="D599" s="6"/>
      <c r="E599" s="44" t="str">
        <f>IFERROR(__xludf.DUMMYFUNCTION("""COMPUTED_VALUE"""),"Школа-лицей Запад-восток")</f>
        <v>Школа-лицей Запад-восток</v>
      </c>
      <c r="F599" s="47" t="s">
        <v>1990</v>
      </c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</row>
    <row r="600">
      <c r="A600" s="43" t="s">
        <v>1991</v>
      </c>
      <c r="B600" s="44" t="s">
        <v>1992</v>
      </c>
      <c r="C600" s="48" t="s">
        <v>1243</v>
      </c>
      <c r="D600" s="6"/>
      <c r="E600" s="44" t="str">
        <f>IFERROR(__xludf.DUMMYFUNCTION("""COMPUTED_VALUE"""),"Школа-интернат")</f>
        <v>Школа-интернат</v>
      </c>
      <c r="F600" s="47" t="s">
        <v>1993</v>
      </c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</row>
    <row r="601">
      <c r="A601" s="43" t="s">
        <v>1994</v>
      </c>
      <c r="B601" s="44" t="s">
        <v>1995</v>
      </c>
      <c r="C601" s="48" t="s">
        <v>1669</v>
      </c>
      <c r="D601" s="6"/>
      <c r="E601" s="44" t="str">
        <f>IFERROR(__xludf.DUMMYFUNCTION("""COMPUTED_VALUE"""),"Школа-интернат для детей с нарушениями речи и слуха РАО")</f>
        <v>Школа-интернат для детей с нарушениями речи и слуха РАО</v>
      </c>
      <c r="F601" s="47" t="s">
        <v>1996</v>
      </c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</row>
    <row r="602">
      <c r="A602" s="43" t="s">
        <v>1997</v>
      </c>
      <c r="B602" s="44" t="s">
        <v>1998</v>
      </c>
      <c r="C602" s="45"/>
      <c r="D602" s="6"/>
      <c r="E602" s="44" t="str">
        <f>IFERROR(__xludf.DUMMYFUNCTION("""COMPUTED_VALUE"""),"Школа-пансион Росинка Фонда развития Международного университета")</f>
        <v>Школа-пансион Росинка Фонда развития Международного университета</v>
      </c>
      <c r="F602" s="47" t="s">
        <v>1999</v>
      </c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</row>
    <row r="603">
      <c r="A603" s="43" t="s">
        <v>2000</v>
      </c>
      <c r="B603" s="44" t="s">
        <v>2001</v>
      </c>
      <c r="C603" s="48" t="s">
        <v>2002</v>
      </c>
      <c r="D603" s="6"/>
      <c r="E603" s="44" t="str">
        <f>IFERROR(__xludf.DUMMYFUNCTION("""COMPUTED_VALUE"""),"Школа-Университет в Сокольниках")</f>
        <v>Школа-Университет в Сокольниках</v>
      </c>
      <c r="F603" s="47" t="s">
        <v>2003</v>
      </c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</row>
    <row r="604">
      <c r="A604" s="43" t="s">
        <v>2004</v>
      </c>
      <c r="B604" s="44"/>
      <c r="C604" s="45"/>
      <c r="D604" s="6"/>
      <c r="E604" s="44" t="str">
        <f>IFERROR(__xludf.DUMMYFUNCTION("""COMPUTED_VALUE"""),"Экономико-Математическая школа при экономическом факультете МГУ им. М. В. Ломоносова")</f>
        <v>Экономико-Математическая школа при экономическом факультете МГУ им. М. В. Ломоносова</v>
      </c>
      <c r="F604" s="47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</row>
    <row r="605">
      <c r="A605" s="43" t="s">
        <v>2005</v>
      </c>
      <c r="B605" s="44"/>
      <c r="C605" s="45"/>
      <c r="D605" s="6"/>
      <c r="E605" s="44" t="str">
        <f>IFERROR(__xludf.DUMMYFUNCTION("""COMPUTED_VALUE"""),"Экономико-правовая школа Потенциал")</f>
        <v>Экономико-правовая школа Потенциал</v>
      </c>
      <c r="F605" s="47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</row>
    <row r="606">
      <c r="A606" s="43" t="s">
        <v>2006</v>
      </c>
      <c r="B606" s="44"/>
      <c r="C606" s="45"/>
      <c r="D606" s="6"/>
      <c r="E606" s="44" t="str">
        <f>IFERROR(__xludf.DUMMYFUNCTION("""COMPUTED_VALUE"""),"Экономическая школа-лицей")</f>
        <v>Экономическая школа-лицей</v>
      </c>
      <c r="F606" s="47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</row>
    <row r="607">
      <c r="A607" s="43" t="s">
        <v>2007</v>
      </c>
      <c r="B607" s="44" t="s">
        <v>2008</v>
      </c>
      <c r="C607" s="48" t="s">
        <v>2009</v>
      </c>
      <c r="D607" s="6"/>
      <c r="E607" s="44" t="str">
        <f>IFERROR(__xludf.DUMMYFUNCTION("""COMPUTED_VALUE"""),"Школа 1")</f>
        <v>Школа 1</v>
      </c>
      <c r="F607" s="47" t="s">
        <v>2010</v>
      </c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</row>
    <row r="608">
      <c r="A608" s="43" t="s">
        <v>2011</v>
      </c>
      <c r="B608" s="44" t="s">
        <v>2012</v>
      </c>
      <c r="C608" s="48" t="s">
        <v>2013</v>
      </c>
      <c r="D608" s="6"/>
      <c r="E608" s="44" t="str">
        <f>IFERROR(__xludf.DUMMYFUNCTION("""COMPUTED_VALUE"""),"Школа 5")</f>
        <v>Школа 5</v>
      </c>
      <c r="F608" s="47" t="s">
        <v>2014</v>
      </c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</row>
    <row r="609">
      <c r="A609" s="43" t="s">
        <v>2015</v>
      </c>
      <c r="B609" s="44" t="s">
        <v>2016</v>
      </c>
      <c r="C609" s="48" t="s">
        <v>2017</v>
      </c>
      <c r="D609" s="6"/>
      <c r="E609" s="44" t="str">
        <f>IFERROR(__xludf.DUMMYFUNCTION("""COMPUTED_VALUE"""),"Первый Московский кадетский корпус Кадетская школа государственных воспитанниц")</f>
        <v>Первый Московский кадетский корпус Кадетская школа государственных воспитанниц</v>
      </c>
      <c r="F609" s="47" t="s">
        <v>2018</v>
      </c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</row>
    <row r="610">
      <c r="A610" s="43" t="s">
        <v>2019</v>
      </c>
      <c r="B610" s="44" t="s">
        <v>2020</v>
      </c>
      <c r="C610" s="48" t="s">
        <v>1804</v>
      </c>
      <c r="D610" s="6"/>
      <c r="E610" s="44" t="str">
        <f>IFERROR(__xludf.DUMMYFUNCTION("""COMPUTED_VALUE"""),"Школа 11")</f>
        <v>Школа 11</v>
      </c>
      <c r="F610" s="47" t="s">
        <v>2021</v>
      </c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</row>
    <row r="611">
      <c r="A611" s="43" t="s">
        <v>2022</v>
      </c>
      <c r="B611" s="44" t="s">
        <v>2023</v>
      </c>
      <c r="C611" s="48" t="s">
        <v>1940</v>
      </c>
      <c r="D611" s="6"/>
      <c r="E611" s="44" t="str">
        <f>IFERROR(__xludf.DUMMYFUNCTION("""COMPUTED_VALUE"""),"Школа 1770")</f>
        <v>Школа 1770</v>
      </c>
      <c r="F611" s="47" t="s">
        <v>2024</v>
      </c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</row>
    <row r="612">
      <c r="A612" s="43" t="s">
        <v>2025</v>
      </c>
      <c r="B612" s="44" t="s">
        <v>2026</v>
      </c>
      <c r="C612" s="48" t="s">
        <v>2027</v>
      </c>
      <c r="D612" s="6"/>
      <c r="E612" s="44" t="str">
        <f>IFERROR(__xludf.DUMMYFUNCTION("""COMPUTED_VALUE"""),"Первый Московский кадетский корпус Навигацкая школа")</f>
        <v>Первый Московский кадетский корпус Навигацкая школа</v>
      </c>
      <c r="F612" s="47" t="s">
        <v>2028</v>
      </c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</row>
    <row r="613">
      <c r="A613" s="43" t="s">
        <v>2029</v>
      </c>
      <c r="B613" s="44" t="s">
        <v>2030</v>
      </c>
      <c r="C613" s="48" t="s">
        <v>2031</v>
      </c>
      <c r="D613" s="6"/>
      <c r="E613" s="44" t="str">
        <f>IFERROR(__xludf.DUMMYFUNCTION("""COMPUTED_VALUE"""),"Школа 1784")</f>
        <v>Школа 1784</v>
      </c>
      <c r="F613" s="47" t="s">
        <v>2032</v>
      </c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</row>
    <row r="614">
      <c r="A614" s="43" t="s">
        <v>2033</v>
      </c>
      <c r="B614" s="44" t="s">
        <v>2034</v>
      </c>
      <c r="C614" s="48" t="s">
        <v>2035</v>
      </c>
      <c r="D614" s="6"/>
      <c r="E614" s="44" t="str">
        <f>IFERROR(__xludf.DUMMYFUNCTION("""COMPUTED_VALUE"""),"Частное общеобразовательная школа Личность")</f>
        <v>Частное общеобразовательная школа Личность</v>
      </c>
      <c r="F614" s="47" t="s">
        <v>2036</v>
      </c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</row>
    <row r="615">
      <c r="A615" s="43" t="s">
        <v>2037</v>
      </c>
      <c r="B615" s="44" t="s">
        <v>2038</v>
      </c>
      <c r="C615" s="48" t="s">
        <v>813</v>
      </c>
      <c r="D615" s="6"/>
      <c r="E615" s="44" t="str">
        <f>IFERROR(__xludf.DUMMYFUNCTION("""COMPUTED_VALUE"""),"Частная школа-детский сад АНО Академическая Гимназия")</f>
        <v>Частная школа-детский сад АНО Академическая Гимназия</v>
      </c>
      <c r="F615" s="47" t="s">
        <v>2039</v>
      </c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</row>
    <row r="616">
      <c r="A616" s="43" t="s">
        <v>2040</v>
      </c>
      <c r="B616" s="44" t="s">
        <v>2041</v>
      </c>
      <c r="C616" s="48" t="s">
        <v>1385</v>
      </c>
      <c r="D616" s="6"/>
      <c r="E616" s="44" t="str">
        <f>IFERROR(__xludf.DUMMYFUNCTION("""COMPUTED_VALUE"""),"Частная школа Ступени")</f>
        <v>Частная школа Ступени</v>
      </c>
      <c r="F616" s="47" t="s">
        <v>2042</v>
      </c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</row>
    <row r="617">
      <c r="A617" s="43" t="s">
        <v>2043</v>
      </c>
      <c r="B617" s="44" t="s">
        <v>2044</v>
      </c>
      <c r="C617" s="50"/>
      <c r="D617" s="6"/>
      <c r="E617" s="44" t="str">
        <f>IFERROR(__xludf.DUMMYFUNCTION("""COMPUTED_VALUE"""),"частное Образовательный центр им. С. Н. Олехника")</f>
        <v>частное Образовательный центр им. С. Н. Олехника</v>
      </c>
      <c r="F617" s="47" t="s">
        <v>2045</v>
      </c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</row>
    <row r="618">
      <c r="A618" s="43" t="s">
        <v>2046</v>
      </c>
      <c r="B618" s="44" t="s">
        <v>2047</v>
      </c>
      <c r="C618" s="48" t="s">
        <v>2048</v>
      </c>
      <c r="D618" s="6"/>
      <c r="E618" s="44" t="str">
        <f>IFERROR(__xludf.DUMMYFUNCTION("""COMPUTED_VALUE"""),"Частная образовательная школа Данко")</f>
        <v>Частная образовательная школа Данко</v>
      </c>
      <c r="F618" s="47" t="s">
        <v>2049</v>
      </c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</row>
    <row r="619">
      <c r="A619" s="43" t="s">
        <v>2050</v>
      </c>
      <c r="B619" s="44"/>
      <c r="C619" s="45"/>
      <c r="D619" s="6"/>
      <c r="E619" s="44" t="str">
        <f>IFERROR(__xludf.DUMMYFUNCTION("""COMPUTED_VALUE"""),"Школа 1")</f>
        <v>Школа 1</v>
      </c>
      <c r="F619" s="47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</row>
    <row r="620">
      <c r="A620" s="43" t="s">
        <v>2051</v>
      </c>
      <c r="B620" s="44" t="s">
        <v>2052</v>
      </c>
      <c r="C620" s="45"/>
      <c r="D620" s="6"/>
      <c r="E620" s="44" t="str">
        <f>IFERROR(__xludf.DUMMYFUNCTION("""COMPUTED_VALUE"""),"Частная школа Венда")</f>
        <v>Частная школа Венда</v>
      </c>
      <c r="F620" s="47" t="s">
        <v>2053</v>
      </c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</row>
    <row r="621">
      <c r="A621" s="43" t="s">
        <v>2054</v>
      </c>
      <c r="B621" s="44" t="s">
        <v>2055</v>
      </c>
      <c r="C621" s="48" t="s">
        <v>1804</v>
      </c>
      <c r="D621" s="6"/>
      <c r="E621" s="44" t="str">
        <f>IFERROR(__xludf.DUMMYFUNCTION("""COMPUTED_VALUE"""),"Частная школа Интеграция")</f>
        <v>Частная школа Интеграция</v>
      </c>
      <c r="F621" s="47" t="s">
        <v>1681</v>
      </c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</row>
    <row r="622">
      <c r="A622" s="43" t="s">
        <v>2056</v>
      </c>
      <c r="B622" s="44" t="s">
        <v>2057</v>
      </c>
      <c r="C622" s="48" t="s">
        <v>2058</v>
      </c>
      <c r="D622" s="6"/>
      <c r="E622" s="44" t="str">
        <f>IFERROR(__xludf.DUMMYFUNCTION("""COMPUTED_VALUE"""),"Частная школа Кладезь")</f>
        <v>Частная школа Кладезь</v>
      </c>
      <c r="F622" s="47" t="s">
        <v>2059</v>
      </c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</row>
    <row r="623">
      <c r="A623" s="43" t="s">
        <v>2060</v>
      </c>
      <c r="B623" s="44" t="s">
        <v>2061</v>
      </c>
      <c r="C623" s="45"/>
      <c r="D623" s="6"/>
      <c r="E623" s="44" t="str">
        <f>IFERROR(__xludf.DUMMYFUNCTION("""COMPUTED_VALUE"""),"Частная школа Международная Ломоносовская гимназия")</f>
        <v>Частная школа Международная Ломоносовская гимназия</v>
      </c>
      <c r="F623" s="47" t="s">
        <v>2062</v>
      </c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</row>
    <row r="624">
      <c r="A624" s="43" t="s">
        <v>2063</v>
      </c>
      <c r="B624" s="44" t="s">
        <v>2064</v>
      </c>
      <c r="C624" s="48" t="s">
        <v>2065</v>
      </c>
      <c r="D624" s="6"/>
      <c r="E624" s="44" t="str">
        <f>IFERROR(__xludf.DUMMYFUNCTION("""COMPUTED_VALUE"""),"Частная школа Наследник")</f>
        <v>Частная школа Наследник</v>
      </c>
      <c r="F624" s="47" t="s">
        <v>2066</v>
      </c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</row>
    <row r="625">
      <c r="A625" s="43" t="s">
        <v>2067</v>
      </c>
      <c r="B625" s="44" t="s">
        <v>2068</v>
      </c>
      <c r="C625" s="48" t="s">
        <v>2069</v>
      </c>
      <c r="D625" s="6"/>
      <c r="E625" s="44" t="str">
        <f>IFERROR(__xludf.DUMMYFUNCTION("""COMPUTED_VALUE"""),"Школа олимпийского резерва Юг")</f>
        <v>Школа олимпийского резерва Юг</v>
      </c>
      <c r="F625" s="47" t="s">
        <v>2070</v>
      </c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</row>
    <row r="626">
      <c r="A626" s="43" t="s">
        <v>2071</v>
      </c>
      <c r="B626" s="44" t="s">
        <v>2072</v>
      </c>
      <c r="C626" s="48" t="s">
        <v>841</v>
      </c>
      <c r="D626" s="6"/>
      <c r="E626" s="44" t="str">
        <f>IFERROR(__xludf.DUMMYFUNCTION("""COMPUTED_VALUE"""),"Частная школа Ретро")</f>
        <v>Частная школа Ретро</v>
      </c>
      <c r="F626" s="47" t="s">
        <v>2073</v>
      </c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</row>
    <row r="627">
      <c r="A627" s="43" t="s">
        <v>2074</v>
      </c>
      <c r="B627" s="44" t="s">
        <v>2075</v>
      </c>
      <c r="C627" s="45"/>
      <c r="D627" s="6"/>
      <c r="E627" s="44" t="str">
        <f>IFERROR(__xludf.DUMMYFUNCTION("""COMPUTED_VALUE"""),"Частная школа Сотрудничество")</f>
        <v>Частная школа Сотрудничество</v>
      </c>
      <c r="F627" s="47" t="s">
        <v>2076</v>
      </c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</row>
    <row r="628">
      <c r="A628" s="43" t="s">
        <v>2077</v>
      </c>
      <c r="B628" s="44" t="s">
        <v>2078</v>
      </c>
      <c r="C628" s="48" t="s">
        <v>1538</v>
      </c>
      <c r="D628" s="6"/>
      <c r="E628" s="44" t="str">
        <f>IFERROR(__xludf.DUMMYFUNCTION("""COMPUTED_VALUE"""),"Частная школа Финансово-экономическая школа")</f>
        <v>Частная школа Финансово-экономическая школа</v>
      </c>
      <c r="F628" s="47" t="s">
        <v>2079</v>
      </c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</row>
    <row r="629">
      <c r="A629" s="43" t="s">
        <v>2080</v>
      </c>
      <c r="B629" s="44" t="s">
        <v>1950</v>
      </c>
      <c r="C629" s="48" t="s">
        <v>1923</v>
      </c>
      <c r="D629" s="6"/>
      <c r="E629" s="44" t="str">
        <f>IFERROR(__xludf.DUMMYFUNCTION("""COMPUTED_VALUE"""),"Школа 2")</f>
        <v>Школа 2</v>
      </c>
      <c r="F629" s="47" t="s">
        <v>1952</v>
      </c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</row>
    <row r="630">
      <c r="A630" s="43" t="s">
        <v>2081</v>
      </c>
      <c r="B630" s="44" t="s">
        <v>2082</v>
      </c>
      <c r="C630" s="48" t="s">
        <v>1591</v>
      </c>
      <c r="D630" s="6"/>
      <c r="E630" s="44" t="str">
        <f>IFERROR(__xludf.DUMMYFUNCTION("""COMPUTED_VALUE"""),"Частная школа детский сад Солнечный ветер")</f>
        <v>Частная школа детский сад Солнечный ветер</v>
      </c>
      <c r="F630" s="47" t="s">
        <v>2083</v>
      </c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</row>
    <row r="631">
      <c r="A631" s="43" t="s">
        <v>2084</v>
      </c>
      <c r="B631" s="44" t="s">
        <v>2085</v>
      </c>
      <c r="C631" s="48" t="s">
        <v>2086</v>
      </c>
      <c r="D631" s="6"/>
      <c r="E631" s="44" t="str">
        <f>IFERROR(__xludf.DUMMYFUNCTION("""COMPUTED_VALUE"""),"Частная школа-детский сад Татьянинская частная школа")</f>
        <v>Частная школа-детский сад Татьянинская частная школа</v>
      </c>
      <c r="F631" s="47" t="s">
        <v>2087</v>
      </c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</row>
    <row r="632">
      <c r="A632" s="43" t="s">
        <v>2088</v>
      </c>
      <c r="B632" s="44" t="s">
        <v>2089</v>
      </c>
      <c r="C632" s="48" t="s">
        <v>2090</v>
      </c>
      <c r="D632" s="6"/>
      <c r="E632" s="44" t="str">
        <f>IFERROR(__xludf.DUMMYFUNCTION("""COMPUTED_VALUE"""),"Частная школа-детский сад Ника")</f>
        <v>Частная школа-детский сад Ника</v>
      </c>
      <c r="F632" s="47" t="s">
        <v>2091</v>
      </c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</row>
    <row r="633">
      <c r="A633" s="43" t="s">
        <v>2092</v>
      </c>
      <c r="B633" s="44" t="s">
        <v>2093</v>
      </c>
      <c r="C633" s="48" t="s">
        <v>2094</v>
      </c>
      <c r="D633" s="6"/>
      <c r="E633" s="44" t="str">
        <f>IFERROR(__xludf.DUMMYFUNCTION("""COMPUTED_VALUE"""),"Частная школа-детский сад ОО Мшсо")</f>
        <v>Частная школа-детский сад ОО Мшсо</v>
      </c>
      <c r="F633" s="47" t="s">
        <v>2095</v>
      </c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</row>
    <row r="634">
      <c r="A634" s="43" t="s">
        <v>2096</v>
      </c>
      <c r="B634" s="26"/>
      <c r="C634" s="48" t="s">
        <v>2097</v>
      </c>
      <c r="D634" s="6"/>
      <c r="E634" s="26" t="str">
        <f>IFERROR(__xludf.DUMMYFUNCTION("""COMPUTED_VALUE"""),"Школа 16")</f>
        <v>Школа 16</v>
      </c>
      <c r="F634" s="47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</row>
    <row r="635">
      <c r="A635" s="43" t="s">
        <v>2098</v>
      </c>
      <c r="B635" s="44" t="s">
        <v>2099</v>
      </c>
      <c r="C635" s="45"/>
      <c r="D635" s="6"/>
      <c r="E635" s="44" t="str">
        <f>IFERROR(__xludf.DUMMYFUNCTION("""COMPUTED_VALUE"""),"Школа ЦПМ")</f>
        <v>Школа ЦПМ</v>
      </c>
      <c r="F635" s="47" t="s">
        <v>2100</v>
      </c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</row>
    <row r="636">
      <c r="A636" s="43" t="s">
        <v>2101</v>
      </c>
      <c r="B636" s="44" t="s">
        <v>2102</v>
      </c>
      <c r="C636" s="48" t="s">
        <v>1279</v>
      </c>
      <c r="D636" s="6"/>
      <c r="E636" s="44" t="str">
        <f>IFERROR(__xludf.DUMMYFUNCTION("""COMPUTED_VALUE"""),"Частная школа АНО Феникс с углубленным изучением английского языка")</f>
        <v>Частная школа АНО Феникс с углубленным изучением английского языка</v>
      </c>
      <c r="F636" s="47" t="s">
        <v>1904</v>
      </c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</row>
    <row r="637">
      <c r="A637" s="43" t="s">
        <v>2103</v>
      </c>
      <c r="B637" s="44" t="s">
        <v>2104</v>
      </c>
      <c r="C637" s="48" t="s">
        <v>2105</v>
      </c>
      <c r="D637" s="6"/>
      <c r="E637" s="44" t="str">
        <f>IFERROR(__xludf.DUMMYFUNCTION("""COMPUTED_VALUE"""),"Частная школа Макарун")</f>
        <v>Частная школа Макарун</v>
      </c>
      <c r="F637" s="47" t="s">
        <v>2106</v>
      </c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</row>
    <row r="638">
      <c r="A638" s="43" t="s">
        <v>2107</v>
      </c>
      <c r="B638" s="49" t="s">
        <v>2108</v>
      </c>
      <c r="C638" s="45"/>
      <c r="D638" s="6"/>
      <c r="E638" s="44" t="str">
        <f>IFERROR(__xludf.DUMMYFUNCTION("""COMPUTED_VALUE"""),"Школа 1995")</f>
        <v>Школа 1995</v>
      </c>
      <c r="F638" s="47" t="s">
        <v>2109</v>
      </c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</row>
    <row r="639">
      <c r="A639" s="43" t="s">
        <v>598</v>
      </c>
      <c r="B639" s="44"/>
      <c r="C639" s="45"/>
      <c r="D639" s="6"/>
      <c r="E639" s="44" t="str">
        <f>IFERROR(__xludf.DUMMYFUNCTION("""COMPUTED_VALUE"""),"Школа 962")</f>
        <v>Школа 962</v>
      </c>
      <c r="F639" s="47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</row>
    <row r="640">
      <c r="A640" s="43" t="s">
        <v>685</v>
      </c>
      <c r="B640" s="44"/>
      <c r="C640" s="45"/>
      <c r="D640" s="6"/>
      <c r="E640" s="44" t="str">
        <f>IFERROR(__xludf.DUMMYFUNCTION("""COMPUTED_VALUE"""),"Школа 1194")</f>
        <v>Школа 1194</v>
      </c>
      <c r="F640" s="47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</row>
    <row r="641">
      <c r="A641" s="43" t="s">
        <v>394</v>
      </c>
      <c r="B641" s="44"/>
      <c r="C641" s="45"/>
      <c r="D641" s="6"/>
      <c r="E641" s="44" t="str">
        <f>IFERROR(__xludf.DUMMYFUNCTION("""COMPUTED_VALUE"""),"Школа 507")</f>
        <v>Школа 507</v>
      </c>
      <c r="F641" s="47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</row>
    <row r="642">
      <c r="A642" s="43" t="s">
        <v>1320</v>
      </c>
      <c r="B642" s="44"/>
      <c r="C642" s="45"/>
      <c r="D642" s="6"/>
      <c r="E642" s="44" t="str">
        <f>IFERROR(__xludf.DUMMYFUNCTION("""COMPUTED_VALUE"""),"Школа 1747")</f>
        <v>Школа 1747</v>
      </c>
      <c r="F642" s="47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</row>
    <row r="643">
      <c r="A643" s="43" t="s">
        <v>2110</v>
      </c>
      <c r="B643" s="44"/>
      <c r="C643" s="45"/>
      <c r="D643" s="6"/>
      <c r="E643" s="44" t="str">
        <f>IFERROR(__xludf.DUMMYFUNCTION("""COMPUTED_VALUE"""),"Школа 1560")</f>
        <v>Школа 1560</v>
      </c>
      <c r="F643" s="47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</row>
    <row r="644">
      <c r="A644" s="43" t="s">
        <v>2111</v>
      </c>
      <c r="B644" s="44" t="s">
        <v>2112</v>
      </c>
      <c r="C644" s="45"/>
      <c r="D644" s="6"/>
      <c r="E644" s="44" t="str">
        <f>IFERROR(__xludf.DUMMYFUNCTION("""COMPUTED_VALUE"""),"Школа 1306")</f>
        <v>Школа 1306</v>
      </c>
      <c r="F644" s="47" t="s">
        <v>2113</v>
      </c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</row>
    <row r="645">
      <c r="A645" s="43" t="s">
        <v>2114</v>
      </c>
      <c r="B645" s="44"/>
      <c r="C645" s="45"/>
      <c r="D645" s="6"/>
      <c r="E645" s="44" t="str">
        <f>IFERROR(__xludf.DUMMYFUNCTION("""COMPUTED_VALUE"""),"Частные общеобразовательные учреждения")</f>
        <v>Частные общеобразовательные учреждения</v>
      </c>
      <c r="F645" s="47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</row>
    <row r="646">
      <c r="A646" s="43" t="s">
        <v>2115</v>
      </c>
      <c r="B646" s="44" t="s">
        <v>2116</v>
      </c>
      <c r="C646" s="45"/>
      <c r="D646" s="6"/>
      <c r="E646" s="44" t="str">
        <f>IFERROR(__xludf.DUMMYFUNCTION("""COMPUTED_VALUE"""),"Московский лицей Ступени")</f>
        <v>Московский лицей Ступени</v>
      </c>
      <c r="F646" s="47" t="s">
        <v>2117</v>
      </c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</row>
    <row r="647">
      <c r="A647" s="43" t="s">
        <v>2118</v>
      </c>
      <c r="B647" s="44"/>
      <c r="C647" s="45"/>
      <c r="D647" s="6"/>
      <c r="E647" s="44" t="str">
        <f>IFERROR(__xludf.DUMMYFUNCTION("""COMPUTED_VALUE"""),"Государственные автономные профессиональные образовательные учреждения")</f>
        <v>Государственные автономные профессиональные образовательные учреждения</v>
      </c>
      <c r="F647" s="47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</row>
    <row r="648">
      <c r="A648" s="43" t="s">
        <v>2119</v>
      </c>
      <c r="B648" s="44" t="s">
        <v>2120</v>
      </c>
      <c r="C648" s="45"/>
      <c r="D648" s="6"/>
      <c r="E648" s="44" t="str">
        <f>IFERROR(__xludf.DUMMYFUNCTION("""COMPUTED_VALUE"""),"Московский государственный образовательный комплекс")</f>
        <v>Московский государственный образовательный комплекс</v>
      </c>
      <c r="F648" s="47" t="s">
        <v>2121</v>
      </c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</row>
    <row r="649">
      <c r="A649" s="43" t="s">
        <v>2122</v>
      </c>
      <c r="B649" s="44" t="s">
        <v>2123</v>
      </c>
      <c r="C649" s="45"/>
      <c r="D649" s="6"/>
      <c r="E649" s="44" t="str">
        <f>IFERROR(__xludf.DUMMYFUNCTION("""COMPUTED_VALUE"""),"Московский образовательный комплекс им. Виктора Талалихина")</f>
        <v>Московский образовательный комплекс им. Виктора Талалихина</v>
      </c>
      <c r="F649" s="47" t="s">
        <v>2124</v>
      </c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</row>
    <row r="650">
      <c r="A650" s="43" t="s">
        <v>2125</v>
      </c>
      <c r="B650" s="44"/>
      <c r="C650" s="45"/>
      <c r="D650" s="6"/>
      <c r="E650" s="44" t="str">
        <f>IFERROR(__xludf.DUMMYFUNCTION("""COMPUTED_VALUE"""),"Государственные бюджетные профессиональные образовательные учреждения")</f>
        <v>Государственные бюджетные профессиональные образовательные учреждения</v>
      </c>
      <c r="F650" s="47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</row>
    <row r="651">
      <c r="A651" s="43" t="s">
        <v>2126</v>
      </c>
      <c r="B651" s="44" t="s">
        <v>2127</v>
      </c>
      <c r="C651" s="45"/>
      <c r="D651" s="6"/>
      <c r="E651" s="44" t="str">
        <f>IFERROR(__xludf.DUMMYFUNCTION("""COMPUTED_VALUE"""),"Западный комплекс непрерывного образования")</f>
        <v>Западный комплекс непрерывного образования</v>
      </c>
      <c r="F651" s="47" t="s">
        <v>2128</v>
      </c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</row>
    <row r="652">
      <c r="A652" s="43" t="s">
        <v>2129</v>
      </c>
      <c r="B652" s="44" t="s">
        <v>2130</v>
      </c>
      <c r="C652" s="45"/>
      <c r="D652" s="6"/>
      <c r="E652" s="44" t="str">
        <f>IFERROR(__xludf.DUMMYFUNCTION("""COMPUTED_VALUE"""),"Школа 23")</f>
        <v>Школа 23</v>
      </c>
      <c r="F652" s="47" t="s">
        <v>2131</v>
      </c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</row>
    <row r="653">
      <c r="A653" s="43" t="s">
        <v>2132</v>
      </c>
      <c r="B653" s="44" t="s">
        <v>2133</v>
      </c>
      <c r="C653" s="45"/>
      <c r="D653" s="6"/>
      <c r="E653" s="44" t="str">
        <f>IFERROR(__xludf.DUMMYFUNCTION("""COMPUTED_VALUE"""),"Школа 4")</f>
        <v>Школа 4</v>
      </c>
      <c r="F653" s="47" t="s">
        <v>2134</v>
      </c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</row>
    <row r="654">
      <c r="A654" s="43" t="s">
        <v>2135</v>
      </c>
      <c r="B654" s="44" t="s">
        <v>1708</v>
      </c>
      <c r="C654" s="45"/>
      <c r="D654" s="6"/>
      <c r="E654" s="44" t="str">
        <f>IFERROR(__xludf.DUMMYFUNCTION("""COMPUTED_VALUE"""),"Образовательный комплекс дизайна и технологий")</f>
        <v>Образовательный комплекс дизайна и технологий</v>
      </c>
      <c r="F654" s="47" t="s">
        <v>1709</v>
      </c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</row>
    <row r="655">
      <c r="A655" s="43" t="s">
        <v>2136</v>
      </c>
      <c r="B655" s="44" t="s">
        <v>2137</v>
      </c>
      <c r="C655" s="45"/>
      <c r="D655" s="6"/>
      <c r="E655" s="44" t="str">
        <f>IFERROR(__xludf.DUMMYFUNCTION("""COMPUTED_VALUE"""),"Политехнический колледж им. Н. Н. Годовикова")</f>
        <v>Политехнический колледж им. Н. Н. Годовикова</v>
      </c>
      <c r="F655" s="47" t="s">
        <v>2138</v>
      </c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</row>
    <row r="656">
      <c r="A656" s="43" t="s">
        <v>2139</v>
      </c>
      <c r="B656" s="44" t="s">
        <v>2140</v>
      </c>
      <c r="C656" s="45"/>
      <c r="D656" s="6"/>
      <c r="E656" s="44" t="str">
        <f>IFERROR(__xludf.DUMMYFUNCTION("""COMPUTED_VALUE"""),"Школа 40")</f>
        <v>Школа 40</v>
      </c>
      <c r="F656" s="47" t="s">
        <v>2141</v>
      </c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</row>
    <row r="657">
      <c r="A657" s="43" t="s">
        <v>2142</v>
      </c>
      <c r="B657" s="44" t="s">
        <v>2143</v>
      </c>
      <c r="C657" s="45"/>
      <c r="D657" s="6"/>
      <c r="E657" s="44" t="str">
        <f>IFERROR(__xludf.DUMMYFUNCTION("""COMPUTED_VALUE"""),"Лицей НИУ ВШЭ")</f>
        <v>Лицей НИУ ВШЭ</v>
      </c>
      <c r="F657" s="47" t="s">
        <v>2144</v>
      </c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</row>
    <row r="658">
      <c r="A658" s="43" t="s">
        <v>2145</v>
      </c>
      <c r="B658" s="44" t="s">
        <v>2146</v>
      </c>
      <c r="C658" s="48" t="s">
        <v>2147</v>
      </c>
      <c r="D658" s="6"/>
      <c r="E658" s="44" t="str">
        <f>IFERROR(__xludf.DUMMYFUNCTION("""COMPUTED_VALUE"""),"Гуманитарный лицей при Международном университете бизнеса и управления")</f>
        <v>Гуманитарный лицей при Международном университете бизнеса и управления</v>
      </c>
      <c r="F658" s="47" t="s">
        <v>2148</v>
      </c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</row>
    <row r="659">
      <c r="A659" s="43" t="s">
        <v>2149</v>
      </c>
      <c r="B659" s="44" t="s">
        <v>2150</v>
      </c>
      <c r="C659" s="48" t="s">
        <v>2151</v>
      </c>
      <c r="D659" s="6"/>
      <c r="E659" s="44" t="str">
        <f>IFERROR(__xludf.DUMMYFUNCTION("""COMPUTED_VALUE"""),"Лицей Авогадро")</f>
        <v>Лицей Авогадро</v>
      </c>
      <c r="F659" s="47" t="s">
        <v>2152</v>
      </c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</row>
    <row r="660">
      <c r="A660" s="43" t="s">
        <v>2153</v>
      </c>
      <c r="B660" s="44" t="s">
        <v>2154</v>
      </c>
      <c r="C660" s="48" t="s">
        <v>2155</v>
      </c>
      <c r="D660" s="6"/>
      <c r="E660" s="44" t="str">
        <f>IFERROR(__xludf.DUMMYFUNCTION("""COMPUTED_VALUE"""),"Лицей Возрождение")</f>
        <v>Лицей Возрождение</v>
      </c>
      <c r="F660" s="47" t="s">
        <v>2156</v>
      </c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</row>
    <row r="661">
      <c r="A661" s="43" t="s">
        <v>2157</v>
      </c>
      <c r="B661" s="44" t="s">
        <v>2158</v>
      </c>
      <c r="C661" s="48" t="s">
        <v>350</v>
      </c>
      <c r="D661" s="6"/>
      <c r="E661" s="44" t="str">
        <f>IFERROR(__xludf.DUMMYFUNCTION("""COMPUTED_VALUE"""),"Лицей Камелия +")</f>
        <v>Лицей Камелия +</v>
      </c>
      <c r="F661" s="47" t="s">
        <v>2159</v>
      </c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</row>
    <row r="662">
      <c r="A662" s="43" t="s">
        <v>2160</v>
      </c>
      <c r="B662" s="44" t="s">
        <v>1887</v>
      </c>
      <c r="C662" s="48" t="s">
        <v>1888</v>
      </c>
      <c r="D662" s="6"/>
      <c r="E662" s="44" t="str">
        <f>IFERROR(__xludf.DUMMYFUNCTION("""COMPUTED_VALUE"""),"Лицей Столичный")</f>
        <v>Лицей Столичный</v>
      </c>
      <c r="F662" s="47" t="s">
        <v>1889</v>
      </c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</row>
    <row r="663">
      <c r="A663" s="43" t="s">
        <v>2161</v>
      </c>
      <c r="B663" s="44" t="s">
        <v>2162</v>
      </c>
      <c r="C663" s="48" t="s">
        <v>1286</v>
      </c>
      <c r="D663" s="6"/>
      <c r="E663" s="44" t="str">
        <f>IFERROR(__xludf.DUMMYFUNCTION("""COMPUTED_VALUE"""),"Лицей Эверест")</f>
        <v>Лицей Эверест</v>
      </c>
      <c r="F663" s="47" t="s">
        <v>2163</v>
      </c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</row>
    <row r="664">
      <c r="A664" s="43" t="s">
        <v>2164</v>
      </c>
      <c r="B664" s="44" t="s">
        <v>2165</v>
      </c>
      <c r="C664" s="48" t="s">
        <v>2031</v>
      </c>
      <c r="D664" s="6"/>
      <c r="E664" s="44" t="str">
        <f>IFERROR(__xludf.DUMMYFUNCTION("""COMPUTED_VALUE"""),"Лицей Международного университета")</f>
        <v>Лицей Международного университета</v>
      </c>
      <c r="F664" s="47" t="s">
        <v>2166</v>
      </c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</row>
    <row r="665">
      <c r="A665" s="43" t="s">
        <v>2167</v>
      </c>
      <c r="B665" s="44"/>
      <c r="C665" s="45"/>
      <c r="D665" s="6"/>
      <c r="E665" s="44" t="str">
        <f>IFERROR(__xludf.DUMMYFUNCTION("""COMPUTED_VALUE"""),"Московский академический художественный лицей")</f>
        <v>Московский академический художественный лицей</v>
      </c>
      <c r="F665" s="47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</row>
    <row r="666">
      <c r="A666" s="53" t="s">
        <v>2168</v>
      </c>
      <c r="B666" s="54" t="s">
        <v>2169</v>
      </c>
      <c r="C666" s="55" t="s">
        <v>1057</v>
      </c>
      <c r="D666" s="6"/>
      <c r="E666" s="44" t="str">
        <f>IFERROR(__xludf.DUMMYFUNCTION("""COMPUTED_VALUE"""),"Православный лицей духовной культуры во имя преподобного Серафима Саровского")</f>
        <v>Православный лицей духовной культуры во имя преподобного Серафима Саровского</v>
      </c>
      <c r="F666" s="47" t="s">
        <v>2170</v>
      </c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</row>
    <row r="667">
      <c r="A667" s="56" t="s">
        <v>2171</v>
      </c>
      <c r="D667" s="6"/>
      <c r="E667" s="51"/>
      <c r="F667" s="47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</row>
    <row r="668">
      <c r="A668" s="51" t="str">
        <f>IFERROR(__xludf.DUMMYFUNCTION("IF(E668="""","""",IFERROR(
  INDEX(FILTER('2023-2024'!C:C,'2023-2024'!E:E=E668),1),
  IFERROR(
    INDEX(FILTER('2024-2025'!C:C,'2024-2025'!E:E=E668),1),
    IFERROR(
      INDEX(FILTER('2025-2026'!C:C,'2025-2026'!H:H=E668),1),
      """"
    )
  )
))"),"Государственное бюджетное общеобразовательное учреждение города Москвы ""Школа № 403 имени Героя Советского Союза Д.Н.Медведева""")</f>
        <v>Государственное бюджетное общеобразовательное учреждение города Москвы "Школа № 403 имени Героя Советского Союза Д.Н.Медведева"</v>
      </c>
      <c r="B668" s="57" t="s">
        <v>2172</v>
      </c>
      <c r="C668" s="39"/>
      <c r="D668" s="58"/>
      <c r="E668" s="51" t="s">
        <v>2173</v>
      </c>
      <c r="F668" s="47" t="s">
        <v>2174</v>
      </c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</row>
    <row r="669">
      <c r="A669" s="51" t="str">
        <f>IFERROR(__xludf.DUMMYFUNCTION("IF(E669="""","""",IFERROR(
  INDEX(FILTER('2023-2024'!C:C,'2023-2024'!E:E=E669),1),
  IFERROR(
    INDEX(FILTER('2024-2025'!C:C,'2024-2025'!E:E=E669),1),
    IFERROR(
      INDEX(FILTER('2025-2026'!C:C,'2025-2026'!H:H=E669),1),
      """"
    )
  )
))"),"Государственное бюджетное общеобразовательное учреждение города Москвы ""Школа № 467""")</f>
        <v>Государственное бюджетное общеобразовательное учреждение города Москвы "Школа № 467"</v>
      </c>
      <c r="B669" s="57" t="s">
        <v>2175</v>
      </c>
      <c r="C669" s="39"/>
      <c r="D669" s="58"/>
      <c r="E669" s="51" t="s">
        <v>2176</v>
      </c>
      <c r="F669" s="47" t="s">
        <v>2177</v>
      </c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</row>
    <row r="670">
      <c r="A670" s="51" t="str">
        <f>IFERROR(__xludf.DUMMYFUNCTION("IF(E670="""","""",IFERROR(
  INDEX(FILTER('2023-2024'!C:C,'2023-2024'!E:E=E670),1),
  IFERROR(
    INDEX(FILTER('2024-2025'!C:C,'2024-2025'!E:E=E670),1),
    IFERROR(
      INDEX(FILTER('2025-2026'!C:C,'2025-2026'!H:H=E670),1),
      """"
    )
  )
))"),"Государственное бюджетное общеобразовательное учреждение города Москвы ""Школа 1245""")</f>
        <v>Государственное бюджетное общеобразовательное учреждение города Москвы "Школа 1245"</v>
      </c>
      <c r="B670" s="57" t="s">
        <v>2178</v>
      </c>
      <c r="C670" s="51"/>
      <c r="D670" s="58"/>
      <c r="E670" s="51" t="s">
        <v>2179</v>
      </c>
      <c r="F670" s="47" t="s">
        <v>2180</v>
      </c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</row>
    <row r="671">
      <c r="A671" s="51" t="str">
        <f>IFERROR(__xludf.DUMMYFUNCTION("IF(E671="""","""",IFERROR(
  INDEX(FILTER('2023-2024'!C:C,'2023-2024'!E:E=E671),1),
  IFERROR(
    INDEX(FILTER('2024-2025'!C:C,'2024-2025'!E:E=E671),1),
    IFERROR(
      INDEX(FILTER('2025-2026'!C:C,'2025-2026'!H:H=E671),1),
      """"
    )
  )
))"),"Государственное бюджетное общеобразовательное учреждение города Москвы ""Школа № 1293""")</f>
        <v>Государственное бюджетное общеобразовательное учреждение города Москвы "Школа № 1293"</v>
      </c>
      <c r="B671" s="57" t="s">
        <v>2181</v>
      </c>
      <c r="C671" s="39"/>
      <c r="D671" s="58"/>
      <c r="E671" s="51" t="s">
        <v>2182</v>
      </c>
      <c r="F671" s="47" t="s">
        <v>2183</v>
      </c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</row>
    <row r="672">
      <c r="A672" s="51" t="str">
        <f>IFERROR(__xludf.DUMMYFUNCTION("IF(E672="""","""",IFERROR(
  INDEX(FILTER('2023-2024'!C:C,'2023-2024'!E:E=E672),1),
  IFERROR(
    INDEX(FILTER('2024-2025'!C:C,'2024-2025'!E:E=E672),1),
    IFERROR(
      INDEX(FILTER('2025-2026'!C:C,'2025-2026'!H:H=E672),1),
      """"
    )
  )
))"),"Государственное бюджетное общеобразовательное учреждение города Москвы ""Школа № 1298 ""Профиль Куркино""")</f>
        <v>Государственное бюджетное общеобразовательное учреждение города Москвы "Школа № 1298 "Профиль Куркино"</v>
      </c>
      <c r="B672" s="57" t="s">
        <v>2184</v>
      </c>
      <c r="C672" s="39"/>
      <c r="D672" s="58"/>
      <c r="E672" s="51" t="s">
        <v>2185</v>
      </c>
      <c r="F672" s="47" t="s">
        <v>2186</v>
      </c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</row>
    <row r="673">
      <c r="A673" s="51" t="str">
        <f>IFERROR(__xludf.DUMMYFUNCTION("IF(E673="""","""",IFERROR(
  INDEX(FILTER('2023-2024'!C:C,'2023-2024'!E:E=E673),1),
  IFERROR(
    INDEX(FILTER('2024-2025'!C:C,'2024-2025'!E:E=E673),1),
    IFERROR(
      INDEX(FILTER('2025-2026'!C:C,'2025-2026'!H:H=E673),1),
      """"
    )
  )
))"),"Государственное бюджетное общеобразовательное учреждение города Москвы ""Школа № 1359 имени авиаконструктора М.Л. Миля""")</f>
        <v>Государственное бюджетное общеобразовательное учреждение города Москвы "Школа № 1359 имени авиаконструктора М.Л. Миля"</v>
      </c>
      <c r="B673" s="57" t="s">
        <v>2187</v>
      </c>
      <c r="C673" s="39"/>
      <c r="D673" s="58"/>
      <c r="E673" s="51" t="s">
        <v>2188</v>
      </c>
      <c r="F673" s="47" t="s">
        <v>2189</v>
      </c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</row>
    <row r="674">
      <c r="A674" s="51" t="str">
        <f>IFERROR(__xludf.DUMMYFUNCTION("IF(E674="""","""",IFERROR(
  INDEX(FILTER('2023-2024'!C:C,'2023-2024'!E:E=E674),1),
  IFERROR(
    INDEX(FILTER('2024-2025'!C:C,'2024-2025'!E:E=E674),1),
    IFERROR(
      INDEX(FILTER('2025-2026'!C:C,'2025-2026'!H:H=E674),1),
      """"
    )
  )
))"),"Государственное бюджетное общеобразовательное учреждение города Москвы ""Школа № 1362""")</f>
        <v>Государственное бюджетное общеобразовательное учреждение города Москвы "Школа № 1362"</v>
      </c>
      <c r="B674" s="57" t="s">
        <v>2190</v>
      </c>
      <c r="C674" s="39"/>
      <c r="D674" s="58"/>
      <c r="E674" s="51" t="s">
        <v>2191</v>
      </c>
      <c r="F674" s="47" t="s">
        <v>2192</v>
      </c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</row>
    <row r="675">
      <c r="A675" s="51" t="str">
        <f>IFERROR(__xludf.DUMMYFUNCTION("IF(E675="""","""",IFERROR(
  INDEX(FILTER('2023-2024'!C:C,'2023-2024'!E:E=E675),1),
  IFERROR(
    INDEX(FILTER('2024-2025'!C:C,'2024-2025'!E:E=E675),1),
    IFERROR(
      INDEX(FILTER('2025-2026'!C:C,'2025-2026'!H:H=E675),1),
      """"
    )
  )
))"),"Государственное бюджетное общеобразовательное учреждение города Москвы ""Школа N 1367""")</f>
        <v>Государственное бюджетное общеобразовательное учреждение города Москвы "Школа N 1367"</v>
      </c>
      <c r="B675" s="57" t="s">
        <v>2193</v>
      </c>
      <c r="C675" s="39"/>
      <c r="D675" s="58"/>
      <c r="E675" s="51" t="s">
        <v>2194</v>
      </c>
      <c r="F675" s="47" t="s">
        <v>2195</v>
      </c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</row>
    <row r="676">
      <c r="A676" s="51" t="str">
        <f>IFERROR(__xludf.DUMMYFUNCTION("IF(E676="""","""",IFERROR(
  INDEX(FILTER('2023-2024'!C:C,'2023-2024'!E:E=E676),1),
  IFERROR(
    INDEX(FILTER('2024-2025'!C:C,'2024-2025'!E:E=E676),1),
    IFERROR(
      INDEX(FILTER('2025-2026'!C:C,'2025-2026'!H:H=E676),1),
      """"
    )
  )
))"),"Государственное бюджетное общеобразовательное учреждение Москвы ""Школа N 1370""")</f>
        <v>Государственное бюджетное общеобразовательное учреждение Москвы "Школа N 1370"</v>
      </c>
      <c r="B676" s="57" t="s">
        <v>2196</v>
      </c>
      <c r="C676" s="39"/>
      <c r="D676" s="58"/>
      <c r="E676" s="51" t="s">
        <v>2197</v>
      </c>
      <c r="F676" s="47" t="s">
        <v>2198</v>
      </c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</row>
    <row r="677">
      <c r="A677" s="51" t="str">
        <f>IFERROR(__xludf.DUMMYFUNCTION("IF(E677="""","""",IFERROR(
  INDEX(FILTER('2023-2024'!C:C,'2023-2024'!E:E=E677),1),
  IFERROR(
    INDEX(FILTER('2024-2025'!C:C,'2024-2025'!E:E=E677),1),
    IFERROR(
      INDEX(FILTER('2025-2026'!C:C,'2025-2026'!H:H=E677),1),
      """"
    )
  )
))"),"Государственное бюджетное общеобразовательное учреждение города Москвы ""Школа № 1371 ""Крылатское""")</f>
        <v>Государственное бюджетное общеобразовательное учреждение города Москвы "Школа № 1371 "Крылатское"</v>
      </c>
      <c r="B677" s="57" t="s">
        <v>2199</v>
      </c>
      <c r="C677" s="39"/>
      <c r="D677" s="58"/>
      <c r="E677" s="51" t="s">
        <v>2200</v>
      </c>
      <c r="F677" s="47" t="s">
        <v>2201</v>
      </c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</row>
    <row r="678">
      <c r="A678" s="51" t="str">
        <f>IFERROR(__xludf.DUMMYFUNCTION("IF(E678="""","""",IFERROR(
  INDEX(FILTER('2023-2024'!C:C,'2023-2024'!E:E=E678),1),
  IFERROR(
    INDEX(FILTER('2024-2025'!C:C,'2024-2025'!E:E=E678),1),
    IFERROR(
      INDEX(FILTER('2025-2026'!C:C,'2025-2026'!H:H=E678),1),
      """"
    )
  )
))"),"Государственное бюджетное общеобразовательное учреждение города Москвы ""Школа № 1374""")</f>
        <v>Государственное бюджетное общеобразовательное учреждение города Москвы "Школа № 1374"</v>
      </c>
      <c r="B678" s="57" t="s">
        <v>2202</v>
      </c>
      <c r="C678" s="39"/>
      <c r="D678" s="58"/>
      <c r="E678" s="51" t="s">
        <v>2203</v>
      </c>
      <c r="F678" s="47" t="s">
        <v>2204</v>
      </c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</row>
    <row r="679">
      <c r="A679" s="51" t="str">
        <f>IFERROR(__xludf.DUMMYFUNCTION("IF(E679="""","""",IFERROR(
  INDEX(FILTER('2023-2024'!C:C,'2023-2024'!E:E=E679),1),
  IFERROR(
    INDEX(FILTER('2024-2025'!C:C,'2024-2025'!E:E=E679),1),
    IFERROR(
      INDEX(FILTER('2025-2026'!C:C,'2025-2026'!H:H=E679),1),
      """"
    )
  )
))"),"Государственное бюджетное общеобразовательное учреждение города Москвы ""Школа № 1430 имени Героя Социалистического Труда Г.В. Кисунько""")</f>
        <v>Государственное бюджетное общеобразовательное учреждение города Москвы "Школа № 1430 имени Героя Социалистического Труда Г.В. Кисунько"</v>
      </c>
      <c r="B679" s="57" t="s">
        <v>2205</v>
      </c>
      <c r="C679" s="51"/>
      <c r="D679" s="58"/>
      <c r="E679" s="51" t="s">
        <v>2206</v>
      </c>
      <c r="F679" s="47" t="s">
        <v>2207</v>
      </c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</row>
    <row r="680">
      <c r="A680" s="51" t="str">
        <f>IFERROR(__xludf.DUMMYFUNCTION("IF(E680="""","""",IFERROR(
  INDEX(FILTER('2023-2024'!C:C,'2023-2024'!E:E=E680),1),
  IFERROR(
    INDEX(FILTER('2024-2025'!C:C,'2024-2025'!E:E=E680),1),
    IFERROR(
      INDEX(FILTER('2025-2026'!C:C,'2025-2026'!H:H=E680),1),
      """"
    )
  )
))"),"Государственное бюджетное общеобразовательное учреждение города Москвы ""Школа № 1434 ""Раменки""")</f>
        <v>Государственное бюджетное общеобразовательное учреждение города Москвы "Школа № 1434 "Раменки"</v>
      </c>
      <c r="B680" s="57" t="s">
        <v>2208</v>
      </c>
      <c r="C680" s="39"/>
      <c r="D680" s="58"/>
      <c r="E680" s="51" t="s">
        <v>2209</v>
      </c>
      <c r="F680" s="47" t="s">
        <v>2210</v>
      </c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</row>
    <row r="681">
      <c r="A681" s="51" t="str">
        <f>IFERROR(__xludf.DUMMYFUNCTION("IF(E681="""","""",IFERROR(
  INDEX(FILTER('2023-2024'!C:C,'2023-2024'!E:E=E681),1),
  IFERROR(
    INDEX(FILTER('2024-2025'!C:C,'2024-2025'!E:E=E681),1),
    IFERROR(
      INDEX(FILTER('2025-2026'!C:C,'2025-2026'!H:H=E681),1),
      """"
    )
  )
))"),"Государственное бюджетное общеобразовательное учреждение города Москвы ""Школа № 1449 имени Героя Советского Союза М.В. Водопьянова""")</f>
        <v>Государственное бюджетное общеобразовательное учреждение города Москвы "Школа № 1449 имени Героя Советского Союза М.В. Водопьянова"</v>
      </c>
      <c r="B681" s="57" t="s">
        <v>2211</v>
      </c>
      <c r="C681" s="39"/>
      <c r="D681" s="58"/>
      <c r="E681" s="51" t="s">
        <v>2212</v>
      </c>
      <c r="F681" s="47" t="s">
        <v>2213</v>
      </c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</row>
    <row r="682">
      <c r="A682" s="51" t="str">
        <f>IFERROR(__xludf.DUMMYFUNCTION("IF(E682="""","""",IFERROR(
  INDEX(FILTER('2023-2024'!C:C,'2023-2024'!E:E=E682),1),
  IFERROR(
    INDEX(FILTER('2024-2025'!C:C,'2024-2025'!E:E=E682),1),
    IFERROR(
      INDEX(FILTER('2025-2026'!C:C,'2025-2026'!H:H=E682),1),
      """"
    )
  )
))"),"Государственное Бюджетное общеобразовательное учреждение города Москвы ""Школа № 1465 имени адмирала Н.Г. Кузнецова""")</f>
        <v>Государственное Бюджетное общеобразовательное учреждение города Москвы "Школа № 1465 имени адмирала Н.Г. Кузнецова"</v>
      </c>
      <c r="B682" s="57" t="s">
        <v>2214</v>
      </c>
      <c r="C682" s="39"/>
      <c r="D682" s="58"/>
      <c r="E682" s="51" t="s">
        <v>2215</v>
      </c>
      <c r="F682" s="47" t="s">
        <v>2216</v>
      </c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</row>
    <row r="683">
      <c r="A683" s="51" t="str">
        <f>IFERROR(__xludf.DUMMYFUNCTION("IF(E683="""","""",IFERROR(
  INDEX(FILTER('2023-2024'!C:C,'2023-2024'!E:E=E683),1),
  IFERROR(
    INDEX(FILTER('2024-2025'!C:C,'2024-2025'!E:E=E683),1),
    IFERROR(
      INDEX(FILTER('2025-2026'!C:C,'2025-2026'!H:H=E683),1),
      """"
    )
  )
))"),"Государственное бюджетное общеобразовательное учреждение города Москвы ""Школа № 1492""")</f>
        <v>Государственное бюджетное общеобразовательное учреждение города Москвы "Школа № 1492"</v>
      </c>
      <c r="B683" s="57" t="s">
        <v>2217</v>
      </c>
      <c r="C683" s="39"/>
      <c r="D683" s="58"/>
      <c r="E683" s="51" t="s">
        <v>2218</v>
      </c>
      <c r="F683" s="47" t="s">
        <v>2219</v>
      </c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</row>
    <row r="684">
      <c r="A684" s="51" t="str">
        <f>IFERROR(__xludf.DUMMYFUNCTION("IF(E684="""","""",IFERROR(
  INDEX(FILTER('2023-2024'!C:C,'2023-2024'!E:E=E684),1),
  IFERROR(
    INDEX(FILTER('2024-2025'!C:C,'2024-2025'!E:E=E684),1),
    IFERROR(
      INDEX(FILTER('2025-2026'!C:C,'2025-2026'!H:H=E684),1),
      """"
    )
  )
))"),"Государственное бюджетное общеобразовательное учреждение города Москвы ""Школа № 1494""")</f>
        <v>Государственное бюджетное общеобразовательное учреждение города Москвы "Школа № 1494"</v>
      </c>
      <c r="B684" s="57" t="s">
        <v>2220</v>
      </c>
      <c r="C684" s="39"/>
      <c r="D684" s="58"/>
      <c r="E684" s="51" t="s">
        <v>2221</v>
      </c>
      <c r="F684" s="47" t="s">
        <v>2222</v>
      </c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</row>
    <row r="685">
      <c r="A685" s="51" t="str">
        <f>IFERROR(__xludf.DUMMYFUNCTION("IF(E685="""","""",IFERROR(
  INDEX(FILTER('2023-2024'!C:C,'2023-2024'!E:E=E685),1),
  IFERROR(
    INDEX(FILTER('2024-2025'!C:C,'2024-2025'!E:E=E685),1),
    IFERROR(
      INDEX(FILTER('2025-2026'!C:C,'2025-2026'!H:H=E685),1),
      """"
    )
  )
))"),"Государственное бюджетное общеобразовательное учреждение города Москвы ""Школа № 1564 имени Героя Советского Союза А.П. Белобородова""")</f>
        <v>Государственное бюджетное общеобразовательное учреждение города Москвы "Школа № 1564 имени Героя Советского Союза А.П. Белобородова"</v>
      </c>
      <c r="B685" s="57" t="s">
        <v>2223</v>
      </c>
      <c r="C685" s="39"/>
      <c r="D685" s="58"/>
      <c r="E685" s="51" t="s">
        <v>2224</v>
      </c>
      <c r="F685" s="47" t="s">
        <v>2225</v>
      </c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</row>
    <row r="686">
      <c r="A686" s="51" t="str">
        <f>IFERROR(__xludf.DUMMYFUNCTION("IF(E686="""","""",IFERROR(
  INDEX(FILTER('2023-2024'!C:C,'2023-2024'!E:E=E686),1),
  IFERROR(
    INDEX(FILTER('2024-2025'!C:C,'2024-2025'!E:E=E686),1),
    IFERROR(
      INDEX(FILTER('2025-2026'!C:C,'2025-2026'!H:H=E686),1),
      """"
    )
  )
))"),"Государственное бюджетное общеобразовательное учреждение города Москвы ""Школа № 1571""")</f>
        <v>Государственное бюджетное общеобразовательное учреждение города Москвы "Школа № 1571"</v>
      </c>
      <c r="B686" s="57" t="s">
        <v>2226</v>
      </c>
      <c r="C686" s="39"/>
      <c r="D686" s="58"/>
      <c r="E686" s="51" t="s">
        <v>2227</v>
      </c>
      <c r="F686" s="47" t="s">
        <v>2228</v>
      </c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</row>
    <row r="687">
      <c r="A687" s="51" t="str">
        <f>IFERROR(__xludf.DUMMYFUNCTION("IF(E687="""","""",IFERROR(
  INDEX(FILTER('2023-2024'!C:C,'2023-2024'!E:E=E687),1),
  IFERROR(
    INDEX(FILTER('2024-2025'!C:C,'2024-2025'!E:E=E687),1),
    IFERROR(
      INDEX(FILTER('2025-2026'!C:C,'2025-2026'!H:H=E687),1),
      """"
    )
  )
))"),"Государственное бюджетное общеобразовательное учреждение города Москвы ""Школа № 1575""")</f>
        <v>Государственное бюджетное общеобразовательное учреждение города Москвы "Школа № 1575"</v>
      </c>
      <c r="B687" s="57" t="s">
        <v>2229</v>
      </c>
      <c r="C687" s="39"/>
      <c r="D687" s="58"/>
      <c r="E687" s="51" t="s">
        <v>2230</v>
      </c>
      <c r="F687" s="47" t="s">
        <v>2231</v>
      </c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</row>
    <row r="688">
      <c r="A688" s="51" t="str">
        <f>IFERROR(__xludf.DUMMYFUNCTION("IF(E688="""","""",IFERROR(
  INDEX(FILTER('2023-2024'!C:C,'2023-2024'!E:E=E688),1),
  IFERROR(
    INDEX(FILTER('2024-2025'!C:C,'2024-2025'!E:E=E688),1),
    IFERROR(
      INDEX(FILTER('2025-2026'!C:C,'2025-2026'!H:H=E688),1),
      """"
    )
  )
))"),"Государственное бюджетное общеобразовательное учреждение города Москвы ""Школа № 1577""")</f>
        <v>Государственное бюджетное общеобразовательное учреждение города Москвы "Школа № 1577"</v>
      </c>
      <c r="B688" s="57" t="s">
        <v>2232</v>
      </c>
      <c r="C688" s="39"/>
      <c r="D688" s="58"/>
      <c r="E688" s="51" t="s">
        <v>2233</v>
      </c>
      <c r="F688" s="47" t="s">
        <v>2234</v>
      </c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</row>
    <row r="689">
      <c r="A689" s="51" t="str">
        <f>IFERROR(__xludf.DUMMYFUNCTION("IF(E689="""","""",IFERROR(
  INDEX(FILTER('2023-2024'!C:C,'2023-2024'!E:E=E689),1),
  IFERROR(
    INDEX(FILTER('2024-2025'!C:C,'2024-2025'!E:E=E689),1),
    IFERROR(
      INDEX(FILTER('2025-2026'!C:C,'2025-2026'!H:H=E689),1),
      """"
    )
  )
))"),"Государственное бюджетное общеобразовательное учреждение города Москвы ""Школа № 1593""")</f>
        <v>Государственное бюджетное общеобразовательное учреждение города Москвы "Школа № 1593"</v>
      </c>
      <c r="B689" s="57" t="s">
        <v>2235</v>
      </c>
      <c r="C689" s="39"/>
      <c r="D689" s="58"/>
      <c r="E689" s="51" t="s">
        <v>2236</v>
      </c>
      <c r="F689" s="47" t="s">
        <v>2237</v>
      </c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</row>
    <row r="690">
      <c r="A690" s="51" t="str">
        <f>IFERROR(__xludf.DUMMYFUNCTION("IF(E690="""","""",IFERROR(
  INDEX(FILTER('2023-2024'!C:C,'2023-2024'!E:E=E690),1),
  IFERROR(
    INDEX(FILTER('2024-2025'!C:C,'2024-2025'!E:E=E690),1),
    IFERROR(
      INDEX(FILTER('2025-2026'!C:C,'2025-2026'!H:H=E690),1),
      """"
    )
  )
))"),"Государственное бюджетное общеобразовательное учреждение города Москвы ""Школа № 1596""")</f>
        <v>Государственное бюджетное общеобразовательное учреждение города Москвы "Школа № 1596"</v>
      </c>
      <c r="B690" s="57" t="s">
        <v>2238</v>
      </c>
      <c r="C690" s="39"/>
      <c r="D690" s="58"/>
      <c r="E690" s="51" t="s">
        <v>2239</v>
      </c>
      <c r="F690" s="47" t="s">
        <v>2240</v>
      </c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</row>
    <row r="691">
      <c r="A691" s="51" t="str">
        <f>IFERROR(__xludf.DUMMYFUNCTION("IF(E691="""","""",IFERROR(
  INDEX(FILTER('2023-2024'!C:C,'2023-2024'!E:E=E691),1),
  IFERROR(
    INDEX(FILTER('2024-2025'!C:C,'2024-2025'!E:E=E691),1),
    IFERROR(
      INDEX(FILTER('2025-2026'!C:C,'2025-2026'!H:H=E691),1),
      """"
    )
  )
))"),"Государственное бюджетное общеобразовательное учреждение города Москвы ""Школа N 1598""")</f>
        <v>Государственное бюджетное общеобразовательное учреждение города Москвы "Школа N 1598"</v>
      </c>
      <c r="B691" s="57" t="s">
        <v>2241</v>
      </c>
      <c r="C691" s="39"/>
      <c r="D691" s="58"/>
      <c r="E691" s="51" t="s">
        <v>2242</v>
      </c>
      <c r="F691" s="47" t="s">
        <v>2243</v>
      </c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</row>
    <row r="692">
      <c r="A692" s="51" t="str">
        <f>IFERROR(__xludf.DUMMYFUNCTION("IF(E692="""","""",IFERROR(
  INDEX(FILTER('2023-2024'!C:C,'2023-2024'!E:E=E692),1),
  IFERROR(
    INDEX(FILTER('2024-2025'!C:C,'2024-2025'!E:E=E692),1),
    IFERROR(
      INDEX(FILTER('2025-2026'!C:C,'2025-2026'!H:H=E692),1),
      """"
    )
  )
))"),"Государственное бюджетное общеобразовательное учреждение города Москвы ""Школа № 1786""")</f>
        <v>Государственное бюджетное общеобразовательное учреждение города Москвы "Школа № 1786"</v>
      </c>
      <c r="B692" s="57" t="s">
        <v>2244</v>
      </c>
      <c r="C692" s="39"/>
      <c r="D692" s="58"/>
      <c r="E692" s="51" t="s">
        <v>2245</v>
      </c>
      <c r="F692" s="47" t="s">
        <v>2246</v>
      </c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</row>
    <row r="693">
      <c r="A693" s="51" t="str">
        <f>IFERROR(__xludf.DUMMYFUNCTION("IF(E693="""","""",IFERROR(
  INDEX(FILTER('2023-2024'!C:C,'2023-2024'!E:E=E693),1),
  IFERROR(
    INDEX(FILTER('2024-2025'!C:C,'2024-2025'!E:E=E693),1),
    IFERROR(
      INDEX(FILTER('2025-2026'!C:C,'2025-2026'!H:H=E693),1),
      """"
    )
  )
))"),"Государственное бюджетное общеобразовательное учреждение города Москвы ""Школа № 1788""")</f>
        <v>Государственное бюджетное общеобразовательное учреждение города Москвы "Школа № 1788"</v>
      </c>
      <c r="B693" s="57" t="s">
        <v>2247</v>
      </c>
      <c r="C693" s="39"/>
      <c r="D693" s="58"/>
      <c r="E693" s="51" t="s">
        <v>2248</v>
      </c>
      <c r="F693" s="47" t="s">
        <v>2249</v>
      </c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</row>
    <row r="694">
      <c r="A694" s="51" t="str">
        <f>IFERROR(__xludf.DUMMYFUNCTION("IF(E694="""","""",IFERROR(
  INDEX(FILTER('2023-2024'!C:C,'2023-2024'!E:E=E694),1),
  IFERROR(
    INDEX(FILTER('2024-2025'!C:C,'2024-2025'!E:E=E694),1),
    IFERROR(
      INDEX(FILTER('2025-2026'!C:C,'2025-2026'!H:H=E694),1),
      """"
    )
  )
))"),"Государственное бюджетное общеобразовательное учреждение города Москвы ""Школа № 1793 имени Героя Советского Союза А.К. Новикова""")</f>
        <v>Государственное бюджетное общеобразовательное учреждение города Москвы "Школа № 1793 имени Героя Советского Союза А.К. Новикова"</v>
      </c>
      <c r="B694" s="57" t="s">
        <v>2250</v>
      </c>
      <c r="C694" s="39"/>
      <c r="D694" s="58"/>
      <c r="E694" s="51" t="s">
        <v>2251</v>
      </c>
      <c r="F694" s="47" t="s">
        <v>2252</v>
      </c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</row>
    <row r="695">
      <c r="A695" s="51" t="str">
        <f>IFERROR(__xludf.DUMMYFUNCTION("IF(E695="""","""",IFERROR(
  INDEX(FILTER('2023-2024'!C:C,'2023-2024'!E:E=E695),1),
  IFERROR(
    INDEX(FILTER('2024-2025'!C:C,'2024-2025'!E:E=E695),1),
    IFERROR(
      INDEX(FILTER('2025-2026'!C:C,'2025-2026'!H:H=E695),1),
      """"
    )
  )
))"),"Государственное бюджетное общеобразовательное учреждение города Москвы ""Школа № 1794 имени А.С. Чуфистова""")</f>
        <v>Государственное бюджетное общеобразовательное учреждение города Москвы "Школа № 1794 имени А.С. Чуфистова"</v>
      </c>
      <c r="B695" s="57" t="s">
        <v>2253</v>
      </c>
      <c r="C695" s="39"/>
      <c r="D695" s="58"/>
      <c r="E695" s="51" t="s">
        <v>2254</v>
      </c>
      <c r="F695" s="47" t="s">
        <v>2255</v>
      </c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</row>
    <row r="696">
      <c r="A696" s="51" t="str">
        <f>IFERROR(__xludf.DUMMYFUNCTION("IF(E696="""","""",IFERROR(
  INDEX(FILTER('2023-2024'!C:C,'2023-2024'!E:E=E696),1),
  IFERROR(
    INDEX(FILTER('2024-2025'!C:C,'2024-2025'!E:E=E696),1),
    IFERROR(
      INDEX(FILTER('2025-2026'!C:C,'2025-2026'!H:H=E696),1),
      """"
    )
  )
))"),"Государственное бюджетное общеобразовательное учреждение города Москвы ""Школа № 1795 ""Лосиноостровская""")</f>
        <v>Государственное бюджетное общеобразовательное учреждение города Москвы "Школа № 1795 "Лосиноостровская"</v>
      </c>
      <c r="B696" s="57" t="s">
        <v>2256</v>
      </c>
      <c r="C696" s="39"/>
      <c r="D696" s="58"/>
      <c r="E696" s="51" t="s">
        <v>2257</v>
      </c>
      <c r="F696" s="47" t="s">
        <v>2258</v>
      </c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</row>
    <row r="697">
      <c r="A697" s="51" t="str">
        <f>IFERROR(__xludf.DUMMYFUNCTION("IF(E697="""","""",IFERROR(
  INDEX(FILTER('2023-2024'!C:C,'2023-2024'!E:E=E697),1),
  IFERROR(
    INDEX(FILTER('2024-2025'!C:C,'2024-2025'!E:E=E697),1),
    IFERROR(
      INDEX(FILTER('2025-2026'!C:C,'2025-2026'!H:H=E697),1),
      """"
    )
  )
))"),"Государственное бюджетное общеобразовательное учреждение города Москвы ""Школа № 1797 ""Богородская""")</f>
        <v>Государственное бюджетное общеобразовательное учреждение города Москвы "Школа № 1797 "Богородская"</v>
      </c>
      <c r="B697" s="57" t="s">
        <v>2259</v>
      </c>
      <c r="C697" s="39"/>
      <c r="D697" s="58"/>
      <c r="E697" s="51" t="s">
        <v>2260</v>
      </c>
      <c r="F697" s="47" t="s">
        <v>2261</v>
      </c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</row>
    <row r="698">
      <c r="A698" s="51" t="str">
        <f>IFERROR(__xludf.DUMMYFUNCTION("IF(E698="""","""",IFERROR(
  INDEX(FILTER('2023-2024'!C:C,'2023-2024'!E:E=E698),1),
  IFERROR(
    INDEX(FILTER('2024-2025'!C:C,'2024-2025'!E:E=E698),1),
    IFERROR(
      INDEX(FILTER('2025-2026'!C:C,'2025-2026'!H:H=E698),1),
      """"
    )
  )
))"),"Государственное бюджетное общеобразовательное учреждение города Москвы ""Школа N 1900""")</f>
        <v>Государственное бюджетное общеобразовательное учреждение города Москвы "Школа N 1900"</v>
      </c>
      <c r="B698" s="57" t="s">
        <v>2262</v>
      </c>
      <c r="C698" s="39"/>
      <c r="D698" s="58"/>
      <c r="E698" s="51" t="s">
        <v>2263</v>
      </c>
      <c r="F698" s="47" t="s">
        <v>2264</v>
      </c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</row>
    <row r="699">
      <c r="A699" s="51" t="str">
        <f>IFERROR(__xludf.DUMMYFUNCTION("IF(E699="""","""",IFERROR(
  INDEX(FILTER('2023-2024'!C:C,'2023-2024'!E:E=E699),1),
  IFERROR(
    INDEX(FILTER('2024-2025'!C:C,'2024-2025'!E:E=E699),1),
    IFERROR(
      INDEX(FILTER('2025-2026'!C:C,'2025-2026'!H:H=E699),1),
      """"
    )
  )
))"),"Государственное бюджетное общеобразовательное учреждение города Москвы ""Школа № 1944""")</f>
        <v>Государственное бюджетное общеобразовательное учреждение города Москвы "Школа № 1944"</v>
      </c>
      <c r="B699" s="57" t="s">
        <v>2265</v>
      </c>
      <c r="C699" s="39"/>
      <c r="D699" s="58"/>
      <c r="E699" s="51" t="s">
        <v>2266</v>
      </c>
      <c r="F699" s="47" t="s">
        <v>2267</v>
      </c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</row>
    <row r="700">
      <c r="A700" s="51" t="str">
        <f>IFERROR(__xludf.DUMMYFUNCTION("IF(E700="""","""",IFERROR(
  INDEX(FILTER('2023-2024'!C:C,'2023-2024'!E:E=E700),1),
  IFERROR(
    INDEX(FILTER('2024-2025'!C:C,'2024-2025'!E:E=E700),1),
    IFERROR(
      INDEX(FILTER('2025-2026'!C:C,'2025-2026'!H:H=E700),1),
      """"
    )
  )
))"),"Государственное бюджетное общеобразовательное учреждение города Москвы ""Школа N 1945 ""Синяя птица""")</f>
        <v>Государственное бюджетное общеобразовательное учреждение города Москвы "Школа N 1945 "Синяя птица"</v>
      </c>
      <c r="B700" s="57" t="s">
        <v>2268</v>
      </c>
      <c r="C700" s="39"/>
      <c r="D700" s="58"/>
      <c r="E700" s="51" t="s">
        <v>2269</v>
      </c>
      <c r="F700" s="47" t="s">
        <v>2270</v>
      </c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</row>
    <row r="701">
      <c r="A701" s="51" t="str">
        <f>IFERROR(__xludf.DUMMYFUNCTION("IF(E701="""","""",IFERROR(
  INDEX(FILTER('2023-2024'!C:C,'2023-2024'!E:E=E701),1),
  IFERROR(
    INDEX(FILTER('2024-2025'!C:C,'2024-2025'!E:E=E701),1),
    IFERROR(
      INDEX(FILTER('2025-2026'!C:C,'2025-2026'!H:H=E701),1),
      """"
    )
  )
))"),"Государственное бюджетное общеобразовательное учреждение города Москвы ""Школа № 1948 ""Лингвист-М""")</f>
        <v>Государственное бюджетное общеобразовательное учреждение города Москвы "Школа № 1948 "Лингвист-М"</v>
      </c>
      <c r="B701" s="57" t="s">
        <v>2271</v>
      </c>
      <c r="C701" s="39"/>
      <c r="D701" s="58"/>
      <c r="E701" s="51" t="s">
        <v>2272</v>
      </c>
      <c r="F701" s="47" t="s">
        <v>2273</v>
      </c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</row>
    <row r="702">
      <c r="A702" s="51" t="str">
        <f>IFERROR(__xludf.DUMMYFUNCTION("IF(E702="""","""",IFERROR(
  INDEX(FILTER('2023-2024'!C:C,'2023-2024'!E:E=E702),1),
  IFERROR(
    INDEX(FILTER('2024-2025'!C:C,'2024-2025'!E:E=E702),1),
    IFERROR(
      INDEX(FILTER('2025-2026'!C:C,'2025-2026'!H:H=E702),1),
      """"
    )
  )
))"),"Государственное бюджетное общеобразовательное учреждение города Москвы ""Школа № 1955""")</f>
        <v>Государственное бюджетное общеобразовательное учреждение города Москвы "Школа № 1955"</v>
      </c>
      <c r="B702" s="57" t="s">
        <v>2274</v>
      </c>
      <c r="C702" s="39"/>
      <c r="D702" s="58"/>
      <c r="E702" s="51" t="s">
        <v>2275</v>
      </c>
      <c r="F702" s="47" t="s">
        <v>2276</v>
      </c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</row>
    <row r="703">
      <c r="A703" s="51" t="str">
        <f>IFERROR(__xludf.DUMMYFUNCTION("IF(E703="""","""",IFERROR(
  INDEX(FILTER('2023-2024'!C:C,'2023-2024'!E:E=E703),1),
  IFERROR(
    INDEX(FILTER('2024-2025'!C:C,'2024-2025'!E:E=E703),1),
    IFERROR(
      INDEX(FILTER('2025-2026'!C:C,'2025-2026'!H:H=E703),1),
      """"
    )
  )
))"),"Государственное бюджетное общеобразовательное учреждение города Москвы ""Школа № 1980""")</f>
        <v>Государственное бюджетное общеобразовательное учреждение города Москвы "Школа № 1980"</v>
      </c>
      <c r="B703" s="57" t="s">
        <v>2277</v>
      </c>
      <c r="C703" s="39"/>
      <c r="D703" s="58"/>
      <c r="E703" s="51" t="s">
        <v>2278</v>
      </c>
      <c r="F703" s="47" t="s">
        <v>2279</v>
      </c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</row>
    <row r="704">
      <c r="A704" s="51" t="str">
        <f>IFERROR(__xludf.DUMMYFUNCTION("IF(E704="""","""",IFERROR(
  INDEX(FILTER('2023-2024'!C:C,'2023-2024'!E:E=E704),1),
  IFERROR(
    INDEX(FILTER('2024-2025'!C:C,'2024-2025'!E:E=E704),1),
    IFERROR(
      INDEX(FILTER('2025-2026'!C:C,'2025-2026'!H:H=E704),1),
      """"
    )
  )
))"),"Государственное бюджетное общеобразовательное учреждение города Москвы ""Школа № 1981""")</f>
        <v>Государственное бюджетное общеобразовательное учреждение города Москвы "Школа № 1981"</v>
      </c>
      <c r="B704" s="57" t="s">
        <v>2280</v>
      </c>
      <c r="C704" s="39"/>
      <c r="D704" s="58"/>
      <c r="E704" s="51" t="s">
        <v>2281</v>
      </c>
      <c r="F704" s="47" t="s">
        <v>2282</v>
      </c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</row>
    <row r="705">
      <c r="A705" s="51" t="str">
        <f>IFERROR(__xludf.DUMMYFUNCTION("IF(E705="""","""",IFERROR(
  INDEX(FILTER('2023-2024'!C:C,'2023-2024'!E:E=E705),1),
  IFERROR(
    INDEX(FILTER('2024-2025'!C:C,'2024-2025'!E:E=E705),1),
    IFERROR(
      INDEX(FILTER('2025-2026'!C:C,'2025-2026'!H:H=E705),1),
      """"
    )
  )
))"),"Государственное бюджетное общеобразовательное учреждение города Москвы ""Школа № 1985""")</f>
        <v>Государственное бюджетное общеобразовательное учреждение города Москвы "Школа № 1985"</v>
      </c>
      <c r="B705" s="57" t="s">
        <v>2283</v>
      </c>
      <c r="C705" s="39"/>
      <c r="D705" s="58"/>
      <c r="E705" s="51" t="s">
        <v>2284</v>
      </c>
      <c r="F705" s="47" t="s">
        <v>2285</v>
      </c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</row>
    <row r="706">
      <c r="A706" s="51" t="str">
        <f>IFERROR(__xludf.DUMMYFUNCTION("IF(E706="""","""",IFERROR(
  INDEX(FILTER('2023-2024'!C:C,'2023-2024'!E:E=E706),1),
  IFERROR(
    INDEX(FILTER('2024-2025'!C:C,'2024-2025'!E:E=E706),1),
    IFERROR(
      INDEX(FILTER('2025-2026'!C:C,'2025-2026'!H:H=E706),1),
      """"
    )
  )
))"),"Государственное бюджетное общеобразовательное учреждение города Москвы ""Школа № 1987""")</f>
        <v>Государственное бюджетное общеобразовательное учреждение города Москвы "Школа № 1987"</v>
      </c>
      <c r="B706" s="57" t="s">
        <v>2286</v>
      </c>
      <c r="C706" s="39"/>
      <c r="D706" s="58"/>
      <c r="E706" s="51" t="s">
        <v>2287</v>
      </c>
      <c r="F706" s="47" t="s">
        <v>2288</v>
      </c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</row>
    <row r="707">
      <c r="A707" s="51" t="str">
        <f>IFERROR(__xludf.DUMMYFUNCTION("IF(E707="""","""",IFERROR(
  INDEX(FILTER('2023-2024'!C:C,'2023-2024'!E:E=E707),1),
  IFERROR(
    INDEX(FILTER('2024-2025'!C:C,'2024-2025'!E:E=E707),1),
    IFERROR(
      INDEX(FILTER('2025-2026'!C:C,'2025-2026'!H:H=E707),1),
      """"
    )
  )
))"),"Государственное бюджетное общеобразовательное учреждение города Москвы ""Школа N 2005""")</f>
        <v>Государственное бюджетное общеобразовательное учреждение города Москвы "Школа N 2005"</v>
      </c>
      <c r="B707" s="57" t="s">
        <v>2289</v>
      </c>
      <c r="C707" s="39"/>
      <c r="D707" s="58"/>
      <c r="E707" s="51" t="s">
        <v>2290</v>
      </c>
      <c r="F707" s="47" t="s">
        <v>2291</v>
      </c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</row>
    <row r="708">
      <c r="A708" s="51" t="str">
        <f>IFERROR(__xludf.DUMMYFUNCTION("IF(E708="""","""",IFERROR(
  INDEX(FILTER('2023-2024'!C:C,'2023-2024'!E:E=E708),1),
  IFERROR(
    INDEX(FILTER('2024-2025'!C:C,'2024-2025'!E:E=E708),1),
    IFERROR(
      INDEX(FILTER('2025-2026'!C:C,'2025-2026'!H:H=E708),1),
      """"
    )
  )
))"),"Государственное бюджетное общеобразовательное учреждение города Москвы ""Школа № 2010 имени Героя Советского Союза М.П. Судакова""")</f>
        <v>Государственное бюджетное общеобразовательное учреждение города Москвы "Школа № 2010 имени Героя Советского Союза М.П. Судакова"</v>
      </c>
      <c r="B708" s="57" t="s">
        <v>2292</v>
      </c>
      <c r="C708" s="39"/>
      <c r="D708" s="58"/>
      <c r="E708" s="51" t="s">
        <v>2293</v>
      </c>
      <c r="F708" s="47" t="s">
        <v>2294</v>
      </c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</row>
    <row r="709">
      <c r="A709" s="51" t="str">
        <f>IFERROR(__xludf.DUMMYFUNCTION("IF(E709="""","""",IFERROR(
  INDEX(FILTER('2023-2024'!C:C,'2023-2024'!E:E=E709),1),
  IFERROR(
    INDEX(FILTER('2024-2025'!C:C,'2024-2025'!E:E=E709),1),
    IFERROR(
      INDEX(FILTER('2025-2026'!C:C,'2025-2026'!H:H=E709),1),
      """"
    )
  )
))"),"Государственное бюджетное общеобразовательное учреждение города Москвы ""Школа № 2036""")</f>
        <v>Государственное бюджетное общеобразовательное учреждение города Москвы "Школа № 2036"</v>
      </c>
      <c r="B709" s="57" t="s">
        <v>2295</v>
      </c>
      <c r="C709" s="39"/>
      <c r="D709" s="58"/>
      <c r="E709" s="51" t="s">
        <v>2296</v>
      </c>
      <c r="F709" s="47" t="s">
        <v>2297</v>
      </c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</row>
    <row r="710">
      <c r="A710" s="51" t="str">
        <f>IFERROR(__xludf.DUMMYFUNCTION("IF(E710="""","""",IFERROR(
  INDEX(FILTER('2023-2024'!C:C,'2023-2024'!E:E=E710),1),
  IFERROR(
    INDEX(FILTER('2024-2025'!C:C,'2024-2025'!E:E=E710),1),
    IFERROR(
      INDEX(FILTER('2025-2026'!C:C,'2025-2026'!H:H=E710),1),
      """"
    )
  )
))"),"Государственное бюджетное общеобразовательное учреждение города Москвы ""Школа № 2044 имени Героя Советского Союза А.М. Серебрякова""")</f>
        <v>Государственное бюджетное общеобразовательное учреждение города Москвы "Школа № 2044 имени Героя Советского Союза А.М. Серебрякова"</v>
      </c>
      <c r="B710" s="57" t="s">
        <v>2298</v>
      </c>
      <c r="C710" s="39"/>
      <c r="D710" s="58"/>
      <c r="E710" s="51" t="s">
        <v>2299</v>
      </c>
      <c r="F710" s="47" t="s">
        <v>2300</v>
      </c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</row>
    <row r="711">
      <c r="A711" s="51" t="str">
        <f>IFERROR(__xludf.DUMMYFUNCTION("IF(E711="""","""",IFERROR(
  INDEX(FILTER('2023-2024'!C:C,'2023-2024'!E:E=E711),1),
  IFERROR(
    INDEX(FILTER('2024-2025'!C:C,'2024-2025'!E:E=E711),1),
    IFERROR(
      INDEX(FILTER('2025-2026'!C:C,'2025-2026'!H:H=E711),1),
      """"
    )
  )
))"),"Государственное бюджетное общеобразовательное учреждение города Москвы ""Школа № 2054""")</f>
        <v>Государственное бюджетное общеобразовательное учреждение города Москвы "Школа № 2054"</v>
      </c>
      <c r="B711" s="57" t="s">
        <v>2301</v>
      </c>
      <c r="C711" s="39"/>
      <c r="D711" s="58"/>
      <c r="E711" s="51" t="s">
        <v>2302</v>
      </c>
      <c r="F711" s="47" t="s">
        <v>2303</v>
      </c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</row>
    <row r="712">
      <c r="A712" s="51" t="str">
        <f>IFERROR(__xludf.DUMMYFUNCTION("IF(E712="""","""",IFERROR(
  INDEX(FILTER('2023-2024'!C:C,'2023-2024'!E:E=E712),1),
  IFERROR(
    INDEX(FILTER('2024-2025'!C:C,'2024-2025'!E:E=E712),1),
    IFERROR(
      INDEX(FILTER('2025-2026'!C:C,'2025-2026'!H:H=E712),1),
      """"
    )
  )
))"),"Государственное бюджетное общеобразовательное учреждение города Москвы ""Школа N 2065""")</f>
        <v>Государственное бюджетное общеобразовательное учреждение города Москвы "Школа N 2065"</v>
      </c>
      <c r="B712" s="57" t="s">
        <v>2304</v>
      </c>
      <c r="C712" s="39"/>
      <c r="D712" s="58"/>
      <c r="E712" s="51" t="s">
        <v>2305</v>
      </c>
      <c r="F712" s="47" t="s">
        <v>2306</v>
      </c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</row>
    <row r="713">
      <c r="A713" s="51" t="str">
        <f>IFERROR(__xludf.DUMMYFUNCTION("IF(E713="""","""",IFERROR(
  INDEX(FILTER('2023-2024'!C:C,'2023-2024'!E:E=E713),1),
  IFERROR(
    INDEX(FILTER('2024-2025'!C:C,'2024-2025'!E:E=E713),1),
    IFERROR(
      INDEX(FILTER('2025-2026'!C:C,'2025-2026'!H:H=E713),1),
      """"
    )
  )
))"),"Государственное бюджетное общеобразовательное учреждение города Москвы ""Школа N 2073""")</f>
        <v>Государственное бюджетное общеобразовательное учреждение города Москвы "Школа N 2073"</v>
      </c>
      <c r="B713" s="57" t="s">
        <v>2307</v>
      </c>
      <c r="C713" s="39"/>
      <c r="D713" s="58"/>
      <c r="E713" s="51" t="s">
        <v>2308</v>
      </c>
      <c r="F713" s="47" t="s">
        <v>2309</v>
      </c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</row>
    <row r="714">
      <c r="A714" s="51" t="str">
        <f>IFERROR(__xludf.DUMMYFUNCTION("IF(E714="""","""",IFERROR(
  INDEX(FILTER('2023-2024'!C:C,'2023-2024'!E:E=E714),1),
  IFERROR(
    INDEX(FILTER('2024-2025'!C:C,'2024-2025'!E:E=E714),1),
    IFERROR(
      INDEX(FILTER('2025-2026'!C:C,'2025-2026'!H:H=E714),1),
      """"
    )
  )
))"),"Государственное бюджетное общеобразовательное учреждение города Москвы ""Школа № 2075""")</f>
        <v>Государственное бюджетное общеобразовательное учреждение города Москвы "Школа № 2075"</v>
      </c>
      <c r="B714" s="57" t="s">
        <v>2310</v>
      </c>
      <c r="C714" s="39"/>
      <c r="D714" s="58"/>
      <c r="E714" s="51" t="s">
        <v>2311</v>
      </c>
      <c r="F714" s="47" t="s">
        <v>2312</v>
      </c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</row>
    <row r="715">
      <c r="A715" s="51" t="str">
        <f>IFERROR(__xludf.DUMMYFUNCTION("IF(E715="""","""",IFERROR(
  INDEX(FILTER('2023-2024'!C:C,'2023-2024'!E:E=E715),1),
  IFERROR(
    INDEX(FILTER('2024-2025'!C:C,'2024-2025'!E:E=E715),1),
    IFERROR(
      INDEX(FILTER('2025-2026'!C:C,'2025-2026'!H:H=E715),1),
      """"
    )
  )
))"),"Государственное бюджетное общеобразовательное города Москвы ""Школа № 2083""")</f>
        <v>Государственное бюджетное общеобразовательное города Москвы "Школа № 2083"</v>
      </c>
      <c r="B715" s="57" t="s">
        <v>2313</v>
      </c>
      <c r="C715" s="39"/>
      <c r="D715" s="58"/>
      <c r="E715" s="51" t="s">
        <v>2314</v>
      </c>
      <c r="F715" s="47" t="s">
        <v>2315</v>
      </c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</row>
    <row r="716">
      <c r="A716" s="51" t="str">
        <f>IFERROR(__xludf.DUMMYFUNCTION("IF(E716="""","""",IFERROR(
  INDEX(FILTER('2023-2024'!C:C,'2023-2024'!E:E=E716),1),
  IFERROR(
    INDEX(FILTER('2024-2025'!C:C,'2024-2025'!E:E=E716),1),
    IFERROR(
      INDEX(FILTER('2025-2026'!C:C,'2025-2026'!H:H=E716),1),
      """"
    )
  )
))"),"Государственное бюджетное общеобразовательное учреждение города Москвы ""Школа № 2089""")</f>
        <v>Государственное бюджетное общеобразовательное учреждение города Москвы "Школа № 2089"</v>
      </c>
      <c r="B716" s="57" t="s">
        <v>2316</v>
      </c>
      <c r="C716" s="39"/>
      <c r="D716" s="58"/>
      <c r="E716" s="51" t="s">
        <v>2317</v>
      </c>
      <c r="F716" s="47" t="s">
        <v>2318</v>
      </c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</row>
    <row r="717">
      <c r="A717" s="51" t="str">
        <f>IFERROR(__xludf.DUMMYFUNCTION("IF(E717="""","""",IFERROR(
  INDEX(FILTER('2023-2024'!C:C,'2023-2024'!E:E=E717),1),
  IFERROR(
    INDEX(FILTER('2024-2025'!C:C,'2024-2025'!E:E=E717),1),
    IFERROR(
      INDEX(FILTER('2025-2026'!C:C,'2025-2026'!H:H=E717),1),
      """"
    )
  )
))"),"Государственное бюджетное общеобразовательное учреждение города Москвы ""Школа № 2090 имени Героя Советского Союза Л.Х. Паперника""")</f>
        <v>Государственное бюджетное общеобразовательное учреждение города Москвы "Школа № 2090 имени Героя Советского Союза Л.Х. Паперника"</v>
      </c>
      <c r="B717" s="57" t="s">
        <v>2319</v>
      </c>
      <c r="C717" s="51"/>
      <c r="D717" s="58"/>
      <c r="E717" s="51" t="s">
        <v>2320</v>
      </c>
      <c r="F717" s="47" t="s">
        <v>2321</v>
      </c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</row>
    <row r="718">
      <c r="A718" s="51" t="str">
        <f>IFERROR(__xludf.DUMMYFUNCTION("IF(E718="""","""",IFERROR(
  INDEX(FILTER('2023-2024'!C:C,'2023-2024'!E:E=E718),1),
  IFERROR(
    INDEX(FILTER('2024-2025'!C:C,'2024-2025'!E:E=E718),1),
    IFERROR(
      INDEX(FILTER('2025-2026'!C:C,'2025-2026'!H:H=E718),1),
      """"
    )
  )
))"),"Государственное бюджетное общеобразовательное учреждение города Москвы ""Школа N 2094""")</f>
        <v>Государственное бюджетное общеобразовательное учреждение города Москвы "Школа N 2094"</v>
      </c>
      <c r="B718" s="57" t="s">
        <v>2322</v>
      </c>
      <c r="C718" s="39"/>
      <c r="D718" s="58"/>
      <c r="E718" s="51" t="s">
        <v>2323</v>
      </c>
      <c r="F718" s="47" t="s">
        <v>2324</v>
      </c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</row>
    <row r="719">
      <c r="A719" s="51" t="str">
        <f>IFERROR(__xludf.DUMMYFUNCTION("IF(E719="""","""",IFERROR(
  INDEX(FILTER('2023-2024'!C:C,'2023-2024'!E:E=E719),1),
  IFERROR(
    INDEX(FILTER('2024-2025'!C:C,'2024-2025'!E:E=E719),1),
    IFERROR(
      INDEX(FILTER('2025-2026'!C:C,'2025-2026'!H:H=E719),1),
      """"
    )
  )
))"),"Государственное бюджетное общеобразовательное учреждение города Москвы ""Школа № 2097""")</f>
        <v>Государственное бюджетное общеобразовательное учреждение города Москвы "Школа № 2097"</v>
      </c>
      <c r="B719" s="57" t="s">
        <v>2325</v>
      </c>
      <c r="C719" s="39"/>
      <c r="D719" s="58"/>
      <c r="E719" s="51" t="s">
        <v>2326</v>
      </c>
      <c r="F719" s="47" t="s">
        <v>2327</v>
      </c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</row>
    <row r="720">
      <c r="A720" s="51" t="str">
        <f>IFERROR(__xludf.DUMMYFUNCTION("IF(E720="""","""",IFERROR(
  INDEX(FILTER('2023-2024'!C:C,'2023-2024'!E:E=E720),1),
  IFERROR(
    INDEX(FILTER('2024-2025'!C:C,'2024-2025'!E:E=E720),1),
    IFERROR(
      INDEX(FILTER('2025-2026'!C:C,'2025-2026'!H:H=E720),1),
      """"
    )
  )
))"),"Государственное бюджетное общеобразовательное учреждение города Москвы ""Школа № 2098 ""Многопрофильный образовательный центр"" имени Героя Советского Союза Л.М. Доватора""")</f>
        <v>Государственное бюджетное общеобразовательное учреждение города Москвы "Школа № 2098 "Многопрофильный образовательный центр" имени Героя Советского Союза Л.М. Доватора"</v>
      </c>
      <c r="B720" s="57" t="s">
        <v>2328</v>
      </c>
      <c r="C720" s="39"/>
      <c r="D720" s="58"/>
      <c r="E720" s="51" t="s">
        <v>2329</v>
      </c>
      <c r="F720" s="47" t="s">
        <v>2330</v>
      </c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</row>
    <row r="721">
      <c r="A721" s="51" t="str">
        <f>IFERROR(__xludf.DUMMYFUNCTION("IF(E721="""","""",IFERROR(
  INDEX(FILTER('2023-2024'!C:C,'2023-2024'!E:E=E721),1),
  IFERROR(
    INDEX(FILTER('2024-2025'!C:C,'2024-2025'!E:E=E721),1),
    IFERROR(
      INDEX(FILTER('2025-2026'!C:C,'2025-2026'!H:H=E721),1),
      """"
    )
  )
))"),"Государственное бюджетное общеобразовательное учреждение города Москвы ""Школа № 2100""")</f>
        <v>Государственное бюджетное общеобразовательное учреждение города Москвы "Школа № 2100"</v>
      </c>
      <c r="B721" s="57" t="s">
        <v>2331</v>
      </c>
      <c r="C721" s="39"/>
      <c r="D721" s="58"/>
      <c r="E721" s="51" t="s">
        <v>2332</v>
      </c>
      <c r="F721" s="47" t="s">
        <v>2333</v>
      </c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</row>
    <row r="722">
      <c r="A722" s="51" t="str">
        <f>IFERROR(__xludf.DUMMYFUNCTION("IF(E722="""","""",IFERROR(
  INDEX(FILTER('2023-2024'!C:C,'2023-2024'!E:E=E722),1),
  IFERROR(
    INDEX(FILTER('2024-2025'!C:C,'2024-2025'!E:E=E722),1),
    IFERROR(
      INDEX(FILTER('2025-2026'!C:C,'2025-2026'!H:H=E722),1),
      """"
    )
  )
))"),"Государственное бюджетное общеобразовательное учреждение города Москвы ""Школа N 2103""")</f>
        <v>Государственное бюджетное общеобразовательное учреждение города Москвы "Школа N 2103"</v>
      </c>
      <c r="B722" s="57" t="s">
        <v>2334</v>
      </c>
      <c r="C722" s="39"/>
      <c r="D722" s="58"/>
      <c r="E722" s="51" t="s">
        <v>2335</v>
      </c>
      <c r="F722" s="47" t="s">
        <v>2336</v>
      </c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</row>
    <row r="723">
      <c r="A723" s="51" t="str">
        <f>IFERROR(__xludf.DUMMYFUNCTION("IF(E723="""","""",IFERROR(
  INDEX(FILTER('2023-2024'!C:C,'2023-2024'!E:E=E723),1),
  IFERROR(
    INDEX(FILTER('2024-2025'!C:C,'2024-2025'!E:E=E723),1),
    IFERROR(
      INDEX(FILTER('2025-2026'!C:C,'2025-2026'!H:H=E723),1),
      """"
    )
  )
))"),"Государственное бюджетное общеобразовательное города Москвы ""Школа № 2104 на Таганке""")</f>
        <v>Государственное бюджетное общеобразовательное города Москвы "Школа № 2104 на Таганке"</v>
      </c>
      <c r="B723" s="57" t="s">
        <v>2337</v>
      </c>
      <c r="C723" s="39"/>
      <c r="D723" s="58"/>
      <c r="E723" s="51" t="s">
        <v>2338</v>
      </c>
      <c r="F723" s="47" t="s">
        <v>2339</v>
      </c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</row>
    <row r="724">
      <c r="A724" s="51" t="str">
        <f>IFERROR(__xludf.DUMMYFUNCTION("IF(E724="""","""",IFERROR(
  INDEX(FILTER('2023-2024'!C:C,'2023-2024'!E:E=E724),1),
  IFERROR(
    INDEX(FILTER('2024-2025'!C:C,'2024-2025'!E:E=E724),1),
    IFERROR(
      INDEX(FILTER('2025-2026'!C:C,'2025-2026'!H:H=E724),1),
      """"
    )
  )
))"),"Государственное бюджетное общеобразовательное учреждение города Москвы ""Школа № 2107""")</f>
        <v>Государственное бюджетное общеобразовательное учреждение города Москвы "Школа № 2107"</v>
      </c>
      <c r="B724" s="57" t="s">
        <v>2340</v>
      </c>
      <c r="C724" s="39"/>
      <c r="D724" s="58"/>
      <c r="E724" s="51" t="s">
        <v>2341</v>
      </c>
      <c r="F724" s="47" t="s">
        <v>2342</v>
      </c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</row>
    <row r="725">
      <c r="A725" s="51" t="str">
        <f>IFERROR(__xludf.DUMMYFUNCTION("IF(E725="""","""",IFERROR(
  INDEX(FILTER('2023-2024'!C:C,'2023-2024'!E:E=E725),1),
  IFERROR(
    INDEX(FILTER('2024-2025'!C:C,'2024-2025'!E:E=E725),1),
    IFERROR(
      INDEX(FILTER('2025-2026'!C:C,'2025-2026'!H:H=E725),1),
      """"
    )
  )
))"),"Государственное бюджетное общеобразовательное учреждение города Москвы ""Школа № 2114""")</f>
        <v>Государственное бюджетное общеобразовательное учреждение города Москвы "Школа № 2114"</v>
      </c>
      <c r="B725" s="57" t="s">
        <v>2343</v>
      </c>
      <c r="C725" s="39"/>
      <c r="D725" s="58"/>
      <c r="E725" s="51" t="s">
        <v>2344</v>
      </c>
      <c r="F725" s="47" t="s">
        <v>2345</v>
      </c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</row>
    <row r="726">
      <c r="A726" s="51" t="str">
        <f>IFERROR(__xludf.DUMMYFUNCTION("IF(E726="""","""",IFERROR(
  INDEX(FILTER('2023-2024'!C:C,'2023-2024'!E:E=E726),1),
  IFERROR(
    INDEX(FILTER('2024-2025'!C:C,'2024-2025'!E:E=E726),1),
    IFERROR(
      INDEX(FILTER('2025-2026'!C:C,'2025-2026'!H:H=E726),1),
      """"
    )
  )
))"),"Государственное бюджетное общеобразовательное учреждение города Москвы ""Школа № 2115""")</f>
        <v>Государственное бюджетное общеобразовательное учреждение города Москвы "Школа № 2115"</v>
      </c>
      <c r="B726" s="57" t="s">
        <v>2346</v>
      </c>
      <c r="C726" s="39"/>
      <c r="D726" s="58"/>
      <c r="E726" s="51" t="s">
        <v>2347</v>
      </c>
      <c r="F726" s="47" t="s">
        <v>2348</v>
      </c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</row>
    <row r="727">
      <c r="A727" s="51" t="str">
        <f>IFERROR(__xludf.DUMMYFUNCTION("IF(E727="""","""",IFERROR(
  INDEX(FILTER('2023-2024'!C:C,'2023-2024'!E:E=E727),1),
  IFERROR(
    INDEX(FILTER('2024-2025'!C:C,'2024-2025'!E:E=E727),1),
    IFERROR(
      INDEX(FILTER('2025-2026'!C:C,'2025-2026'!H:H=E727),1),
      """"
    )
  )
))"),"Государственное бюджетное общеобразовательное учреждение города Москвы ""Школа N 2117""")</f>
        <v>Государственное бюджетное общеобразовательное учреждение города Москвы "Школа N 2117"</v>
      </c>
      <c r="B727" s="57" t="s">
        <v>2349</v>
      </c>
      <c r="C727" s="39"/>
      <c r="D727" s="58"/>
      <c r="E727" s="51" t="s">
        <v>2350</v>
      </c>
      <c r="F727" s="47" t="s">
        <v>2351</v>
      </c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</row>
    <row r="728">
      <c r="A728" s="51" t="str">
        <f>IFERROR(__xludf.DUMMYFUNCTION("IF(E728="""","""",IFERROR(
  INDEX(FILTER('2023-2024'!C:C,'2023-2024'!E:E=E728),1),
  IFERROR(
    INDEX(FILTER('2024-2025'!C:C,'2024-2025'!E:E=E728),1),
    IFERROR(
      INDEX(FILTER('2025-2026'!C:C,'2025-2026'!H:H=E728),1),
      """"
    )
  )
))"),"Государственное бюджетное общеобразовательное учреждение города Москвы ""Школа N 2120""")</f>
        <v>Государственное бюджетное общеобразовательное учреждение города Москвы "Школа N 2120"</v>
      </c>
      <c r="B728" s="57" t="s">
        <v>2352</v>
      </c>
      <c r="C728" s="39"/>
      <c r="D728" s="58"/>
      <c r="E728" s="51" t="s">
        <v>2353</v>
      </c>
      <c r="F728" s="47" t="s">
        <v>2354</v>
      </c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>
      <c r="A729" s="51" t="str">
        <f>IFERROR(__xludf.DUMMYFUNCTION("IF(E729="""","""",IFERROR(
  INDEX(FILTER('2023-2024'!C:C,'2023-2024'!E:E=E729),1),
  IFERROR(
    INDEX(FILTER('2024-2025'!C:C,'2024-2025'!E:E=E729),1),
    IFERROR(
      INDEX(FILTER('2025-2026'!C:C,'2025-2026'!H:H=E729),1),
      """"
    )
  )
))"),"Государственное бюджетное общеобразовательное учреждение города Москвы ""Школа № 2121 имени Маршала Советского Союза С.К. Куркоткина""")</f>
        <v>Государственное бюджетное общеобразовательное учреждение города Москвы "Школа № 2121 имени Маршала Советского Союза С.К. Куркоткина"</v>
      </c>
      <c r="B729" s="57" t="s">
        <v>2355</v>
      </c>
      <c r="C729" s="39"/>
      <c r="D729" s="58"/>
      <c r="E729" s="51" t="s">
        <v>2356</v>
      </c>
      <c r="F729" s="47" t="s">
        <v>2357</v>
      </c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</row>
    <row r="730">
      <c r="A730" s="51" t="str">
        <f>IFERROR(__xludf.DUMMYFUNCTION("IF(E730="""","""",IFERROR(
  INDEX(FILTER('2023-2024'!C:C,'2023-2024'!E:E=E730),1),
  IFERROR(
    INDEX(FILTER('2024-2025'!C:C,'2024-2025'!E:E=E730),1),
    IFERROR(
      INDEX(FILTER('2025-2026'!C:C,'2025-2026'!H:H=E730),1),
      """"
    )
  )
))"),"Государственное бюджетное общеобразовательное учреждение города Москвы ""Школа № 2126 ""Перово""")</f>
        <v>Государственное бюджетное общеобразовательное учреждение города Москвы "Школа № 2126 "Перово"</v>
      </c>
      <c r="B730" s="57" t="s">
        <v>2358</v>
      </c>
      <c r="C730" s="39"/>
      <c r="D730" s="58"/>
      <c r="E730" s="51" t="s">
        <v>2359</v>
      </c>
      <c r="F730" s="47" t="s">
        <v>2360</v>
      </c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</row>
    <row r="731">
      <c r="A731" s="51" t="str">
        <f>IFERROR(__xludf.DUMMYFUNCTION("IF(E731="""","""",IFERROR(
  INDEX(FILTER('2023-2024'!C:C,'2023-2024'!E:E=E731),1),
  IFERROR(
    INDEX(FILTER('2024-2025'!C:C,'2024-2025'!E:E=E731),1),
    IFERROR(
      INDEX(FILTER('2025-2026'!C:C,'2025-2026'!H:H=E731),1),
      """"
    )
  )
))"),"Государственное бюджетное общеобразовательное учреждение города Москвы ""Школа № 2129"" имени Героя Советского Союза П.И. Романова")</f>
        <v>Государственное бюджетное общеобразовательное учреждение города Москвы "Школа № 2129" имени Героя Советского Союза П.И. Романова</v>
      </c>
      <c r="B731" s="57" t="s">
        <v>2361</v>
      </c>
      <c r="C731" s="51"/>
      <c r="D731" s="58"/>
      <c r="E731" s="51" t="s">
        <v>2362</v>
      </c>
      <c r="F731" s="47" t="s">
        <v>2363</v>
      </c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</row>
    <row r="732">
      <c r="A732" s="51" t="str">
        <f>IFERROR(__xludf.DUMMYFUNCTION("IF(E732="""","""",IFERROR(
  INDEX(FILTER('2023-2024'!C:C,'2023-2024'!E:E=E732),1),
  IFERROR(
    INDEX(FILTER('2024-2025'!C:C,'2024-2025'!E:E=E732),1),
    IFERROR(
      INDEX(FILTER('2025-2026'!C:C,'2025-2026'!H:H=E732),1),
      """"
    )
  )
))"),"Государственное автономное общеобразовательное учреждение города Москвы ""Гимназия г. Троицка""")</f>
        <v>Государственное автономное общеобразовательное учреждение города Москвы "Гимназия г. Троицка"</v>
      </c>
      <c r="B732" s="57" t="s">
        <v>2364</v>
      </c>
      <c r="C732" s="39"/>
      <c r="D732" s="58"/>
      <c r="E732" s="51" t="s">
        <v>2365</v>
      </c>
      <c r="F732" s="47" t="s">
        <v>2366</v>
      </c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</row>
    <row r="733">
      <c r="A733" s="51" t="str">
        <f>IFERROR(__xludf.DUMMYFUNCTION("IF(E733="""","""",IFERROR(
  INDEX(FILTER('2023-2024'!C:C,'2023-2024'!E:E=E733),1),
  IFERROR(
    INDEX(FILTER('2024-2025'!C:C,'2024-2025'!E:E=E733),1),
    IFERROR(
      INDEX(FILTER('2025-2026'!C:C,'2025-2026'!H:H=E733),1),
      """"
    )
  )
))"),"Государственное автономное общеобразовательное учреждение города Москвы ""Гимназия имени Н.В. Пушкова""")</f>
        <v>Государственное автономное общеобразовательное учреждение города Москвы "Гимназия имени Н.В. Пушкова"</v>
      </c>
      <c r="B733" s="57" t="s">
        <v>2367</v>
      </c>
      <c r="C733" s="39"/>
      <c r="D733" s="58"/>
      <c r="E733" s="51" t="s">
        <v>2368</v>
      </c>
      <c r="F733" s="47" t="s">
        <v>2369</v>
      </c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</row>
    <row r="734">
      <c r="A734" s="51" t="str">
        <f>IFERROR(__xludf.DUMMYFUNCTION("IF(E734="""","""",IFERROR(
  INDEX(FILTER('2023-2024'!C:C,'2023-2024'!E:E=E734),1),
  IFERROR(
    INDEX(FILTER('2024-2025'!C:C,'2024-2025'!E:E=E734),1),
    IFERROR(
      INDEX(FILTER('2025-2026'!C:C,'2025-2026'!H:H=E734),1),
      """"
    )
  )
))"),"Государственное бюджетное общеобразовательное учреждение города Москвы ""Лицей ""Вторая школа"" имени В.Ф. Овчинникова""")</f>
        <v>Государственное бюджетное общеобразовательное учреждение города Москвы "Лицей "Вторая школа" имени В.Ф. Овчинникова"</v>
      </c>
      <c r="B734" s="57" t="s">
        <v>2370</v>
      </c>
      <c r="C734" s="39"/>
      <c r="D734" s="58"/>
      <c r="E734" s="51" t="s">
        <v>2371</v>
      </c>
      <c r="F734" s="47" t="s">
        <v>153</v>
      </c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</row>
    <row r="735">
      <c r="A735" s="51" t="str">
        <f>IFERROR(__xludf.DUMMYFUNCTION("IF(E735="""","""",IFERROR(
  INDEX(FILTER('2023-2024'!C:C,'2023-2024'!E:E=E735),1),
  IFERROR(
    INDEX(FILTER('2024-2025'!C:C,'2024-2025'!E:E=E735),1),
    IFERROR(
      INDEX(FILTER('2025-2026'!C:C,'2025-2026'!H:H=E735),1),
      """"
    )
  )
))"),"Государственное автономное общеобразовательное учреждение города Москвы ""Лицей города Троицка""")</f>
        <v>Государственное автономное общеобразовательное учреждение города Москвы "Лицей города Троицка"</v>
      </c>
      <c r="B735" s="57" t="s">
        <v>2372</v>
      </c>
      <c r="C735" s="39"/>
      <c r="D735" s="58"/>
      <c r="E735" s="51" t="s">
        <v>2373</v>
      </c>
      <c r="F735" s="47" t="s">
        <v>2374</v>
      </c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</row>
    <row r="736">
      <c r="A736" s="51" t="str">
        <f>IFERROR(__xludf.DUMMYFUNCTION("IF(E736="""","""",IFERROR(
  INDEX(FILTER('2023-2024'!C:C,'2023-2024'!E:E=E736),1),
  IFERROR(
    INDEX(FILTER('2024-2025'!C:C,'2024-2025'!E:E=E736),1),
    IFERROR(
      INDEX(FILTER('2025-2026'!C:C,'2025-2026'!H:H=E736),1),
      """"
    )
  )
))"),"Государственное автономное образовательное учреждение высшего образования города Москвы ""Московский городской педагогический университет""")</f>
        <v>Государственное автономное образовательное учреждение высшего образования города Москвы "Московский городской педагогический университет"</v>
      </c>
      <c r="B736" s="57" t="s">
        <v>2375</v>
      </c>
      <c r="C736" s="39"/>
      <c r="D736" s="58"/>
      <c r="E736" s="51" t="s">
        <v>2376</v>
      </c>
      <c r="F736" s="47" t="s">
        <v>2377</v>
      </c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</row>
    <row r="737">
      <c r="A737" s="51" t="str">
        <f>IFERROR(__xludf.DUMMYFUNCTION("IF(E737="""","""",IFERROR(
  INDEX(FILTER('2023-2024'!C:C,'2023-2024'!E:E=E737),1),
  IFERROR(
    INDEX(FILTER('2024-2025'!C:C,'2024-2025'!E:E=E737),1),
    IFERROR(
      INDEX(FILTER('2025-2026'!C:C,'2025-2026'!H:H=E737),1),
      """"
    )
  )
))"),"Государственное бюджетное профессиональное образовательное учреждение города Москвы ""Первый Московский Образовательный Комплекс""")</f>
        <v>Государственное бюджетное профессиональное образовательное учреждение города Москвы "Первый Московский Образовательный Комплекс"</v>
      </c>
      <c r="B737" s="57" t="s">
        <v>2378</v>
      </c>
      <c r="C737" s="39"/>
      <c r="D737" s="58"/>
      <c r="E737" s="51" t="s">
        <v>2379</v>
      </c>
      <c r="F737" s="47" t="s">
        <v>2380</v>
      </c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</row>
    <row r="738">
      <c r="A738" s="51" t="str">
        <f>IFERROR(__xludf.DUMMYFUNCTION("IF(E738="""","""",IFERROR(
  INDEX(FILTER('2023-2024'!C:C,'2023-2024'!E:E=E738),1),
  IFERROR(
    INDEX(FILTER('2024-2025'!C:C,'2024-2025'!E:E=E738),1),
    IFERROR(
      INDEX(FILTER('2025-2026'!C:C,'2025-2026'!H:H=E738),1),
      """"
    )
  )
))"),"Государственное бюджетное общеобразовательное учреждение города Москвы ""Цифровая школа""")</f>
        <v>Государственное бюджетное общеобразовательное учреждение города Москвы "Цифровая школа"</v>
      </c>
      <c r="B738" s="57" t="s">
        <v>2381</v>
      </c>
      <c r="C738" s="39"/>
      <c r="D738" s="58"/>
      <c r="E738" s="51" t="s">
        <v>2382</v>
      </c>
      <c r="F738" s="47" t="s">
        <v>2383</v>
      </c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</row>
    <row r="739">
      <c r="A739" s="51" t="str">
        <f>IFERROR(__xludf.DUMMYFUNCTION("IF(E739="""","""",IFERROR(
  INDEX(FILTER('2023-2024'!C:C,'2023-2024'!E:E=E739),1),
  IFERROR(
    INDEX(FILTER('2024-2025'!C:C,'2024-2025'!E:E=E739),1),
    IFERROR(
      INDEX(FILTER('2025-2026'!C:C,'2025-2026'!H:H=E739),1),
      """"
    )
  )
))"),"Государственное бюджетное общеобразовательное учреждение города Москвы ""Школа Бибирево""")</f>
        <v>Государственное бюджетное общеобразовательное учреждение города Москвы "Школа Бибирево"</v>
      </c>
      <c r="B739" s="57" t="s">
        <v>2384</v>
      </c>
      <c r="C739" s="51"/>
      <c r="D739" s="58"/>
      <c r="E739" s="51" t="s">
        <v>2385</v>
      </c>
      <c r="F739" s="47" t="s">
        <v>2386</v>
      </c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</row>
    <row r="740">
      <c r="A740" s="51" t="str">
        <f>IFERROR(__xludf.DUMMYFUNCTION("IF(E740="""","""",IFERROR(
  INDEX(FILTER('2023-2024'!C:C,'2023-2024'!E:E=E740),1),
  IFERROR(
    INDEX(FILTER('2024-2025'!C:C,'2024-2025'!E:E=E740),1),
    IFERROR(
      INDEX(FILTER('2025-2026'!C:C,'2025-2026'!H:H=E740),1),
      """"
    )
  )
))"),"Государственное бюджетное общеобразовательное учреждение города Москвы ""Школа ""Дмитровский"" имени Героя Советского Союза В.П. Кислякова""")</f>
        <v>Государственное бюджетное общеобразовательное учреждение города Москвы "Школа "Дмитровский" имени Героя Советского Союза В.П. Кислякова"</v>
      </c>
      <c r="B740" s="57" t="s">
        <v>2387</v>
      </c>
      <c r="C740" s="39"/>
      <c r="D740" s="58"/>
      <c r="E740" s="51" t="s">
        <v>2388</v>
      </c>
      <c r="F740" s="47" t="s">
        <v>1287</v>
      </c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</row>
    <row r="741">
      <c r="A741" s="39"/>
      <c r="B741" s="39"/>
      <c r="C741" s="39"/>
      <c r="D741" s="6"/>
      <c r="E741" s="39"/>
      <c r="F741" s="47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</row>
    <row r="742">
      <c r="A742" s="57"/>
      <c r="B742" s="57"/>
      <c r="C742" s="39"/>
      <c r="D742" s="6"/>
      <c r="E742" s="39"/>
      <c r="F742" s="47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</row>
    <row r="743">
      <c r="A743" s="57"/>
      <c r="B743" s="57"/>
      <c r="C743" s="39"/>
      <c r="D743" s="6"/>
      <c r="E743" s="39"/>
      <c r="F743" s="47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</row>
    <row r="744">
      <c r="A744" s="57"/>
      <c r="B744" s="57"/>
      <c r="C744" s="39"/>
      <c r="D744" s="6"/>
      <c r="E744" s="39"/>
      <c r="F744" s="47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</row>
    <row r="745">
      <c r="A745" s="57"/>
      <c r="B745" s="57"/>
      <c r="C745" s="39"/>
      <c r="D745" s="6"/>
      <c r="E745" s="39"/>
      <c r="F745" s="47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</row>
    <row r="746">
      <c r="A746" s="57"/>
      <c r="B746" s="57"/>
      <c r="C746" s="39"/>
      <c r="D746" s="6"/>
      <c r="E746" s="39"/>
      <c r="F746" s="47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</row>
    <row r="747">
      <c r="A747" s="57"/>
      <c r="B747" s="57"/>
      <c r="C747" s="39"/>
      <c r="D747" s="6"/>
      <c r="E747" s="39"/>
      <c r="F747" s="47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</row>
    <row r="748">
      <c r="A748" s="57"/>
      <c r="B748" s="57"/>
      <c r="C748" s="39"/>
      <c r="D748" s="6"/>
      <c r="E748" s="39"/>
      <c r="F748" s="47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</row>
    <row r="749">
      <c r="A749" s="57"/>
      <c r="B749" s="57"/>
      <c r="C749" s="39"/>
      <c r="D749" s="6"/>
      <c r="E749" s="39"/>
      <c r="F749" s="47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</row>
    <row r="750">
      <c r="A750" s="57"/>
      <c r="B750" s="57"/>
      <c r="C750" s="39"/>
      <c r="D750" s="6"/>
      <c r="E750" s="39"/>
      <c r="F750" s="47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</row>
    <row r="751">
      <c r="A751" s="57"/>
      <c r="B751" s="57"/>
      <c r="C751" s="39"/>
      <c r="D751" s="6"/>
      <c r="E751" s="39"/>
      <c r="F751" s="47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</row>
    <row r="752">
      <c r="A752" s="57"/>
      <c r="B752" s="57"/>
      <c r="C752" s="39"/>
      <c r="D752" s="6"/>
      <c r="E752" s="39"/>
      <c r="F752" s="47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</row>
    <row r="753">
      <c r="A753" s="57"/>
      <c r="B753" s="57"/>
      <c r="C753" s="39"/>
      <c r="D753" s="6"/>
      <c r="E753" s="39"/>
      <c r="F753" s="47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</row>
    <row r="754">
      <c r="A754" s="57"/>
      <c r="B754" s="57"/>
      <c r="C754" s="39"/>
      <c r="D754" s="6"/>
      <c r="E754" s="39"/>
      <c r="F754" s="47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</row>
    <row r="755">
      <c r="A755" s="57"/>
      <c r="B755" s="57"/>
      <c r="C755" s="39"/>
      <c r="D755" s="6"/>
      <c r="E755" s="39"/>
      <c r="F755" s="47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</row>
    <row r="756">
      <c r="A756" s="57"/>
      <c r="B756" s="57"/>
      <c r="C756" s="39"/>
      <c r="D756" s="6"/>
      <c r="E756" s="39"/>
      <c r="F756" s="47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</row>
    <row r="757">
      <c r="A757" s="57"/>
      <c r="B757" s="57"/>
      <c r="C757" s="39"/>
      <c r="D757" s="6"/>
      <c r="E757" s="39"/>
      <c r="F757" s="47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</row>
    <row r="758">
      <c r="A758" s="57"/>
      <c r="B758" s="57"/>
      <c r="C758" s="39"/>
      <c r="D758" s="6"/>
      <c r="E758" s="39"/>
      <c r="F758" s="47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</row>
    <row r="759">
      <c r="A759" s="57"/>
      <c r="B759" s="57"/>
      <c r="C759" s="39"/>
      <c r="D759" s="6"/>
      <c r="E759" s="39"/>
      <c r="F759" s="47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</row>
    <row r="760">
      <c r="A760" s="57"/>
      <c r="B760" s="57"/>
      <c r="C760" s="39"/>
      <c r="D760" s="6"/>
      <c r="E760" s="39"/>
      <c r="F760" s="47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</row>
    <row r="761">
      <c r="A761" s="57"/>
      <c r="B761" s="57"/>
      <c r="C761" s="39"/>
      <c r="D761" s="6"/>
      <c r="E761" s="39"/>
      <c r="F761" s="47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</row>
    <row r="762">
      <c r="A762" s="57"/>
      <c r="B762" s="57"/>
      <c r="C762" s="39"/>
      <c r="D762" s="6"/>
      <c r="E762" s="39"/>
      <c r="F762" s="47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</row>
    <row r="763">
      <c r="A763" s="57"/>
      <c r="B763" s="57"/>
      <c r="C763" s="39"/>
      <c r="D763" s="6"/>
      <c r="E763" s="39"/>
      <c r="F763" s="47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</row>
    <row r="764">
      <c r="A764" s="57"/>
      <c r="B764" s="57"/>
      <c r="C764" s="39"/>
      <c r="D764" s="6"/>
      <c r="E764" s="39"/>
      <c r="F764" s="47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</row>
    <row r="765">
      <c r="A765" s="57"/>
      <c r="B765" s="57"/>
      <c r="C765" s="39"/>
      <c r="D765" s="6"/>
      <c r="E765" s="39"/>
      <c r="F765" s="47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</row>
    <row r="766">
      <c r="A766" s="57"/>
      <c r="B766" s="57"/>
      <c r="C766" s="39"/>
      <c r="D766" s="6"/>
      <c r="E766" s="39"/>
      <c r="F766" s="47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</row>
    <row r="767">
      <c r="A767" s="57"/>
      <c r="B767" s="57"/>
      <c r="C767" s="39"/>
      <c r="D767" s="6"/>
      <c r="E767" s="39"/>
      <c r="F767" s="47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</row>
    <row r="768">
      <c r="A768" s="57"/>
      <c r="B768" s="57"/>
      <c r="C768" s="39"/>
      <c r="D768" s="6"/>
      <c r="E768" s="39"/>
      <c r="F768" s="47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</row>
    <row r="769">
      <c r="A769" s="57"/>
      <c r="B769" s="57"/>
      <c r="C769" s="39"/>
      <c r="D769" s="6"/>
      <c r="E769" s="39"/>
      <c r="F769" s="47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</row>
    <row r="770">
      <c r="A770" s="57"/>
      <c r="B770" s="57"/>
      <c r="C770" s="39"/>
      <c r="D770" s="6"/>
      <c r="E770" s="39"/>
      <c r="F770" s="47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</row>
    <row r="771">
      <c r="A771" s="57"/>
      <c r="B771" s="57"/>
      <c r="C771" s="39"/>
      <c r="D771" s="6"/>
      <c r="E771" s="39"/>
      <c r="F771" s="47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</row>
    <row r="772">
      <c r="A772" s="57"/>
      <c r="B772" s="57"/>
      <c r="C772" s="39"/>
      <c r="D772" s="6"/>
      <c r="E772" s="39"/>
      <c r="F772" s="47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</row>
    <row r="773">
      <c r="A773" s="57"/>
      <c r="B773" s="57"/>
      <c r="C773" s="39"/>
      <c r="D773" s="6"/>
      <c r="E773" s="39"/>
      <c r="F773" s="47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</row>
    <row r="774">
      <c r="A774" s="57"/>
      <c r="B774" s="57"/>
      <c r="C774" s="39"/>
      <c r="D774" s="6"/>
      <c r="E774" s="39"/>
      <c r="F774" s="47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</row>
    <row r="775">
      <c r="A775" s="57"/>
      <c r="B775" s="57"/>
      <c r="C775" s="39"/>
      <c r="D775" s="6"/>
      <c r="E775" s="39"/>
      <c r="F775" s="47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</row>
    <row r="776">
      <c r="A776" s="57"/>
      <c r="B776" s="57"/>
      <c r="C776" s="39"/>
      <c r="D776" s="6"/>
      <c r="E776" s="39"/>
      <c r="F776" s="47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</row>
    <row r="777">
      <c r="A777" s="57"/>
      <c r="B777" s="57"/>
      <c r="C777" s="39"/>
      <c r="D777" s="6"/>
      <c r="E777" s="39"/>
      <c r="F777" s="47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</row>
    <row r="778">
      <c r="A778" s="57"/>
      <c r="B778" s="57"/>
      <c r="C778" s="39"/>
      <c r="D778" s="6"/>
      <c r="E778" s="39"/>
      <c r="F778" s="47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</row>
    <row r="779">
      <c r="A779" s="57"/>
      <c r="B779" s="57"/>
      <c r="C779" s="39"/>
      <c r="D779" s="6"/>
      <c r="E779" s="39"/>
      <c r="F779" s="47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</row>
    <row r="780">
      <c r="A780" s="57"/>
      <c r="B780" s="57"/>
      <c r="C780" s="39"/>
      <c r="D780" s="6"/>
      <c r="E780" s="39"/>
      <c r="F780" s="47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</row>
    <row r="781">
      <c r="A781" s="57"/>
      <c r="B781" s="57"/>
      <c r="C781" s="39"/>
      <c r="D781" s="6"/>
      <c r="E781" s="39"/>
      <c r="F781" s="47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</row>
    <row r="782">
      <c r="A782" s="57"/>
      <c r="B782" s="57"/>
      <c r="C782" s="39"/>
      <c r="D782" s="6"/>
      <c r="E782" s="39"/>
      <c r="F782" s="47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</row>
    <row r="783">
      <c r="A783" s="57"/>
      <c r="B783" s="57"/>
      <c r="C783" s="39"/>
      <c r="D783" s="6"/>
      <c r="E783" s="39"/>
      <c r="F783" s="47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</row>
    <row r="784">
      <c r="A784" s="57"/>
      <c r="B784" s="57"/>
      <c r="C784" s="39"/>
      <c r="D784" s="6"/>
      <c r="E784" s="39"/>
      <c r="F784" s="47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</row>
    <row r="785">
      <c r="A785" s="57"/>
      <c r="B785" s="57"/>
      <c r="C785" s="39"/>
      <c r="D785" s="6"/>
      <c r="E785" s="39"/>
      <c r="F785" s="47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</row>
    <row r="786">
      <c r="A786" s="57"/>
      <c r="B786" s="57"/>
      <c r="C786" s="39"/>
      <c r="D786" s="6"/>
      <c r="E786" s="39"/>
      <c r="F786" s="47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</row>
    <row r="787">
      <c r="A787" s="57"/>
      <c r="B787" s="57"/>
      <c r="C787" s="39"/>
      <c r="D787" s="6"/>
      <c r="E787" s="39"/>
      <c r="F787" s="47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</row>
    <row r="788">
      <c r="A788" s="57"/>
      <c r="B788" s="57"/>
      <c r="C788" s="39"/>
      <c r="D788" s="6"/>
      <c r="E788" s="39"/>
      <c r="F788" s="47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</row>
    <row r="789">
      <c r="A789" s="57"/>
      <c r="B789" s="57"/>
      <c r="C789" s="39"/>
      <c r="D789" s="6"/>
      <c r="E789" s="39"/>
      <c r="F789" s="47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</row>
    <row r="790">
      <c r="A790" s="57"/>
      <c r="B790" s="57"/>
      <c r="C790" s="39"/>
      <c r="D790" s="6"/>
      <c r="E790" s="39"/>
      <c r="F790" s="47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</row>
    <row r="791">
      <c r="A791" s="57"/>
      <c r="B791" s="57"/>
      <c r="C791" s="39"/>
      <c r="D791" s="6"/>
      <c r="E791" s="39"/>
      <c r="F791" s="47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</row>
    <row r="792">
      <c r="A792" s="57"/>
      <c r="B792" s="57"/>
      <c r="C792" s="39"/>
      <c r="D792" s="6"/>
      <c r="E792" s="39"/>
      <c r="F792" s="47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</row>
    <row r="793">
      <c r="A793" s="57"/>
      <c r="B793" s="57"/>
      <c r="C793" s="39"/>
      <c r="D793" s="6"/>
      <c r="E793" s="39"/>
      <c r="F793" s="47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</row>
    <row r="794">
      <c r="A794" s="57"/>
      <c r="B794" s="57"/>
      <c r="C794" s="39"/>
      <c r="D794" s="6"/>
      <c r="E794" s="39"/>
      <c r="F794" s="47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</row>
    <row r="795">
      <c r="A795" s="57"/>
      <c r="B795" s="57"/>
      <c r="C795" s="39"/>
      <c r="D795" s="6"/>
      <c r="E795" s="39"/>
      <c r="F795" s="47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</row>
    <row r="796">
      <c r="A796" s="57"/>
      <c r="B796" s="57"/>
      <c r="C796" s="39"/>
      <c r="D796" s="6"/>
      <c r="E796" s="39"/>
      <c r="F796" s="47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</row>
    <row r="797">
      <c r="A797" s="57"/>
      <c r="B797" s="57"/>
      <c r="C797" s="39"/>
      <c r="D797" s="6"/>
      <c r="E797" s="39"/>
      <c r="F797" s="47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</row>
    <row r="798">
      <c r="A798" s="57"/>
      <c r="B798" s="57"/>
      <c r="C798" s="39"/>
      <c r="D798" s="6"/>
      <c r="E798" s="39"/>
      <c r="F798" s="47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</row>
    <row r="799">
      <c r="A799" s="57"/>
      <c r="B799" s="57"/>
      <c r="C799" s="39"/>
      <c r="D799" s="6"/>
      <c r="E799" s="39"/>
      <c r="F799" s="47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</row>
    <row r="800">
      <c r="A800" s="57"/>
      <c r="B800" s="57"/>
      <c r="C800" s="39"/>
      <c r="D800" s="6"/>
      <c r="E800" s="39"/>
      <c r="F800" s="47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</row>
    <row r="801">
      <c r="A801" s="57"/>
      <c r="B801" s="57"/>
      <c r="C801" s="39"/>
      <c r="D801" s="6"/>
      <c r="E801" s="39"/>
      <c r="F801" s="47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</row>
    <row r="802">
      <c r="A802" s="57"/>
      <c r="B802" s="57"/>
      <c r="C802" s="39"/>
      <c r="D802" s="6"/>
      <c r="E802" s="39"/>
      <c r="F802" s="47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</row>
    <row r="803">
      <c r="A803" s="57"/>
      <c r="B803" s="57"/>
      <c r="C803" s="39"/>
      <c r="D803" s="6"/>
      <c r="E803" s="39"/>
      <c r="F803" s="47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</row>
    <row r="804">
      <c r="A804" s="57"/>
      <c r="B804" s="57"/>
      <c r="C804" s="39"/>
      <c r="D804" s="6"/>
      <c r="E804" s="39"/>
      <c r="F804" s="47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</row>
    <row r="805">
      <c r="A805" s="57"/>
      <c r="B805" s="57"/>
      <c r="C805" s="39"/>
      <c r="D805" s="6"/>
      <c r="E805" s="39"/>
      <c r="F805" s="47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</row>
    <row r="806">
      <c r="A806" s="57"/>
      <c r="B806" s="57"/>
      <c r="C806" s="39"/>
      <c r="D806" s="6"/>
      <c r="E806" s="39"/>
      <c r="F806" s="47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</row>
    <row r="807">
      <c r="A807" s="57"/>
      <c r="B807" s="57"/>
      <c r="C807" s="39"/>
      <c r="D807" s="6"/>
      <c r="E807" s="39"/>
      <c r="F807" s="47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</row>
    <row r="808">
      <c r="A808" s="57"/>
      <c r="B808" s="57"/>
      <c r="C808" s="39"/>
      <c r="D808" s="6"/>
      <c r="E808" s="39"/>
      <c r="F808" s="47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</row>
    <row r="809">
      <c r="A809" s="57"/>
      <c r="B809" s="57"/>
      <c r="C809" s="39"/>
      <c r="D809" s="6"/>
      <c r="E809" s="39"/>
      <c r="F809" s="47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</row>
    <row r="810">
      <c r="A810" s="57"/>
      <c r="B810" s="57"/>
      <c r="C810" s="39"/>
      <c r="D810" s="6"/>
      <c r="E810" s="39"/>
      <c r="F810" s="47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</row>
    <row r="811">
      <c r="A811" s="57"/>
      <c r="B811" s="57"/>
      <c r="C811" s="39"/>
      <c r="D811" s="6"/>
      <c r="E811" s="39"/>
      <c r="F811" s="47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</row>
    <row r="812">
      <c r="A812" s="57"/>
      <c r="B812" s="57"/>
      <c r="C812" s="39"/>
      <c r="D812" s="6"/>
      <c r="E812" s="39"/>
      <c r="F812" s="47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</row>
    <row r="813">
      <c r="A813" s="57"/>
      <c r="B813" s="57"/>
      <c r="C813" s="39"/>
      <c r="D813" s="6"/>
      <c r="E813" s="39"/>
      <c r="F813" s="47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</row>
    <row r="814">
      <c r="A814" s="57"/>
      <c r="B814" s="57"/>
      <c r="C814" s="39"/>
      <c r="D814" s="6"/>
      <c r="E814" s="39"/>
      <c r="F814" s="47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</row>
    <row r="815">
      <c r="A815" s="57"/>
      <c r="B815" s="57"/>
      <c r="C815" s="39"/>
      <c r="D815" s="6"/>
      <c r="E815" s="39"/>
      <c r="F815" s="47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</row>
    <row r="816">
      <c r="A816" s="57"/>
      <c r="B816" s="57"/>
      <c r="C816" s="39"/>
      <c r="D816" s="6"/>
      <c r="E816" s="39"/>
      <c r="F816" s="47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</row>
    <row r="817">
      <c r="A817" s="57"/>
      <c r="B817" s="57"/>
      <c r="C817" s="39"/>
      <c r="D817" s="6"/>
      <c r="E817" s="39"/>
      <c r="F817" s="47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</row>
    <row r="818">
      <c r="A818" s="39"/>
      <c r="B818" s="39"/>
      <c r="C818" s="39"/>
      <c r="D818" s="6"/>
      <c r="E818" s="39"/>
      <c r="F818" s="47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</row>
    <row r="819">
      <c r="A819" s="39"/>
      <c r="B819" s="39"/>
      <c r="C819" s="39"/>
      <c r="D819" s="6"/>
      <c r="E819" s="39"/>
      <c r="F819" s="47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</row>
    <row r="820">
      <c r="A820" s="39"/>
      <c r="B820" s="39"/>
      <c r="C820" s="39"/>
      <c r="D820" s="6"/>
      <c r="E820" s="39"/>
      <c r="F820" s="47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</row>
    <row r="821">
      <c r="A821" s="39"/>
      <c r="B821" s="39"/>
      <c r="C821" s="39"/>
      <c r="D821" s="6"/>
      <c r="E821" s="39"/>
      <c r="F821" s="47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</row>
    <row r="822">
      <c r="A822" s="39"/>
      <c r="B822" s="39"/>
      <c r="C822" s="39"/>
      <c r="D822" s="6"/>
      <c r="E822" s="39"/>
      <c r="F822" s="47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</row>
    <row r="823">
      <c r="A823" s="39"/>
      <c r="B823" s="39"/>
      <c r="C823" s="39"/>
      <c r="D823" s="6"/>
      <c r="E823" s="39"/>
      <c r="F823" s="47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</row>
    <row r="824">
      <c r="A824" s="39"/>
      <c r="B824" s="39"/>
      <c r="C824" s="39"/>
      <c r="D824" s="6"/>
      <c r="E824" s="39"/>
      <c r="F824" s="47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</row>
    <row r="825">
      <c r="A825" s="39"/>
      <c r="B825" s="39"/>
      <c r="C825" s="39"/>
      <c r="D825" s="6"/>
      <c r="E825" s="39"/>
      <c r="F825" s="47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</row>
    <row r="826">
      <c r="A826" s="39"/>
      <c r="B826" s="39"/>
      <c r="C826" s="39"/>
      <c r="D826" s="6"/>
      <c r="E826" s="39"/>
      <c r="F826" s="47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</row>
    <row r="827">
      <c r="A827" s="39"/>
      <c r="B827" s="39"/>
      <c r="C827" s="39"/>
      <c r="D827" s="6"/>
      <c r="E827" s="39"/>
      <c r="F827" s="47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</row>
    <row r="828">
      <c r="A828" s="39"/>
      <c r="B828" s="39"/>
      <c r="C828" s="39"/>
      <c r="D828" s="6"/>
      <c r="E828" s="39"/>
      <c r="F828" s="47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</row>
    <row r="829">
      <c r="A829" s="39"/>
      <c r="B829" s="39"/>
      <c r="C829" s="39"/>
      <c r="D829" s="6"/>
      <c r="E829" s="39"/>
      <c r="F829" s="47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</row>
    <row r="830">
      <c r="A830" s="39"/>
      <c r="B830" s="39"/>
      <c r="C830" s="39"/>
      <c r="D830" s="6"/>
      <c r="E830" s="39"/>
      <c r="F830" s="47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</row>
    <row r="831">
      <c r="A831" s="39"/>
      <c r="B831" s="39"/>
      <c r="C831" s="39"/>
      <c r="D831" s="6"/>
      <c r="E831" s="39"/>
      <c r="F831" s="47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</row>
    <row r="832">
      <c r="A832" s="39"/>
      <c r="B832" s="39"/>
      <c r="C832" s="39"/>
      <c r="D832" s="6"/>
      <c r="E832" s="39"/>
      <c r="F832" s="47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</row>
    <row r="833">
      <c r="A833" s="39"/>
      <c r="B833" s="39"/>
      <c r="C833" s="39"/>
      <c r="D833" s="6"/>
      <c r="E833" s="39"/>
      <c r="F833" s="47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</row>
    <row r="834">
      <c r="A834" s="39"/>
      <c r="B834" s="39"/>
      <c r="C834" s="39"/>
      <c r="D834" s="6"/>
      <c r="E834" s="39"/>
      <c r="F834" s="47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</row>
    <row r="835">
      <c r="A835" s="39"/>
      <c r="B835" s="39"/>
      <c r="C835" s="39"/>
      <c r="D835" s="6"/>
      <c r="E835" s="39"/>
      <c r="F835" s="47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</row>
    <row r="836">
      <c r="A836" s="39"/>
      <c r="B836" s="39"/>
      <c r="C836" s="39"/>
      <c r="D836" s="6"/>
      <c r="E836" s="39"/>
      <c r="F836" s="47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</row>
    <row r="837">
      <c r="A837" s="39"/>
      <c r="B837" s="39"/>
      <c r="C837" s="39"/>
      <c r="D837" s="6"/>
      <c r="E837" s="39"/>
      <c r="F837" s="47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</row>
    <row r="838">
      <c r="A838" s="39"/>
      <c r="B838" s="39"/>
      <c r="C838" s="39"/>
      <c r="D838" s="6"/>
      <c r="E838" s="39"/>
      <c r="F838" s="47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</row>
    <row r="839">
      <c r="A839" s="39"/>
      <c r="B839" s="39"/>
      <c r="C839" s="39"/>
      <c r="D839" s="6"/>
      <c r="E839" s="39"/>
      <c r="F839" s="47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</row>
    <row r="840">
      <c r="A840" s="39"/>
      <c r="B840" s="39"/>
      <c r="C840" s="39"/>
      <c r="D840" s="6"/>
      <c r="E840" s="39"/>
      <c r="F840" s="47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</row>
    <row r="841">
      <c r="A841" s="39"/>
      <c r="B841" s="39"/>
      <c r="C841" s="39"/>
      <c r="D841" s="6"/>
      <c r="E841" s="39"/>
      <c r="F841" s="47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</row>
    <row r="842">
      <c r="A842" s="39"/>
      <c r="B842" s="39"/>
      <c r="C842" s="39"/>
      <c r="D842" s="6"/>
      <c r="E842" s="39"/>
      <c r="F842" s="47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</row>
    <row r="843">
      <c r="A843" s="39"/>
      <c r="B843" s="39"/>
      <c r="C843" s="39"/>
      <c r="D843" s="6"/>
      <c r="E843" s="39"/>
      <c r="F843" s="47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</row>
    <row r="844">
      <c r="A844" s="39"/>
      <c r="B844" s="39"/>
      <c r="C844" s="39"/>
      <c r="D844" s="6"/>
      <c r="E844" s="39"/>
      <c r="F844" s="47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</row>
    <row r="845">
      <c r="A845" s="39"/>
      <c r="B845" s="39"/>
      <c r="C845" s="39"/>
      <c r="D845" s="6"/>
      <c r="E845" s="39"/>
      <c r="F845" s="47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</row>
    <row r="846">
      <c r="A846" s="39"/>
      <c r="B846" s="39"/>
      <c r="C846" s="39"/>
      <c r="D846" s="6"/>
      <c r="E846" s="39"/>
      <c r="F846" s="47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</row>
    <row r="847">
      <c r="A847" s="39"/>
      <c r="B847" s="39"/>
      <c r="C847" s="39"/>
      <c r="D847" s="6"/>
      <c r="E847" s="39"/>
      <c r="F847" s="47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</row>
    <row r="848">
      <c r="A848" s="39"/>
      <c r="B848" s="39"/>
      <c r="C848" s="39"/>
      <c r="D848" s="6"/>
      <c r="E848" s="39"/>
      <c r="F848" s="47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</row>
    <row r="849">
      <c r="A849" s="39"/>
      <c r="B849" s="39"/>
      <c r="C849" s="39"/>
      <c r="D849" s="6"/>
      <c r="E849" s="39"/>
      <c r="F849" s="47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</row>
    <row r="850">
      <c r="A850" s="39"/>
      <c r="B850" s="39"/>
      <c r="C850" s="39"/>
      <c r="D850" s="6"/>
      <c r="E850" s="39"/>
      <c r="F850" s="47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</row>
    <row r="851">
      <c r="A851" s="39"/>
      <c r="B851" s="39"/>
      <c r="C851" s="39"/>
      <c r="D851" s="6"/>
      <c r="E851" s="39"/>
      <c r="F851" s="47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</row>
    <row r="852">
      <c r="A852" s="39"/>
      <c r="B852" s="39"/>
      <c r="C852" s="39"/>
      <c r="D852" s="6"/>
      <c r="E852" s="39"/>
      <c r="F852" s="47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</row>
    <row r="853">
      <c r="A853" s="39"/>
      <c r="B853" s="39"/>
      <c r="C853" s="39"/>
      <c r="D853" s="6"/>
      <c r="E853" s="39"/>
      <c r="F853" s="47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</row>
    <row r="854">
      <c r="A854" s="39"/>
      <c r="B854" s="39"/>
      <c r="C854" s="39"/>
      <c r="D854" s="6"/>
      <c r="E854" s="39"/>
      <c r="F854" s="47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</row>
    <row r="855">
      <c r="A855" s="39"/>
      <c r="B855" s="39"/>
      <c r="C855" s="39"/>
      <c r="D855" s="6"/>
      <c r="E855" s="39"/>
      <c r="F855" s="47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</row>
    <row r="856">
      <c r="A856" s="39"/>
      <c r="B856" s="39"/>
      <c r="C856" s="39"/>
      <c r="D856" s="6"/>
      <c r="E856" s="39"/>
      <c r="F856" s="47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</row>
    <row r="857">
      <c r="A857" s="39"/>
      <c r="B857" s="39"/>
      <c r="C857" s="39"/>
      <c r="D857" s="6"/>
      <c r="E857" s="39"/>
      <c r="F857" s="47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</row>
    <row r="858">
      <c r="A858" s="39"/>
      <c r="B858" s="39"/>
      <c r="C858" s="39"/>
      <c r="D858" s="6"/>
      <c r="E858" s="39"/>
      <c r="F858" s="47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</row>
    <row r="859">
      <c r="A859" s="39"/>
      <c r="B859" s="39"/>
      <c r="C859" s="39"/>
      <c r="D859" s="6"/>
      <c r="E859" s="39"/>
      <c r="F859" s="47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</row>
    <row r="860">
      <c r="A860" s="39"/>
      <c r="B860" s="39"/>
      <c r="C860" s="39"/>
      <c r="D860" s="6"/>
      <c r="E860" s="39"/>
      <c r="F860" s="47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</row>
    <row r="861">
      <c r="A861" s="39"/>
      <c r="B861" s="39"/>
      <c r="C861" s="39"/>
      <c r="D861" s="6"/>
      <c r="E861" s="39"/>
      <c r="F861" s="47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</row>
    <row r="862">
      <c r="A862" s="39"/>
      <c r="B862" s="39"/>
      <c r="C862" s="39"/>
      <c r="D862" s="6"/>
      <c r="E862" s="39"/>
      <c r="F862" s="47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</row>
    <row r="863">
      <c r="A863" s="39"/>
      <c r="B863" s="39"/>
      <c r="C863" s="39"/>
      <c r="D863" s="6"/>
      <c r="E863" s="39"/>
      <c r="F863" s="47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</row>
    <row r="864">
      <c r="A864" s="39"/>
      <c r="B864" s="39"/>
      <c r="C864" s="39"/>
      <c r="D864" s="6"/>
      <c r="E864" s="39"/>
      <c r="F864" s="47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</row>
    <row r="865">
      <c r="A865" s="39"/>
      <c r="B865" s="39"/>
      <c r="C865" s="39"/>
      <c r="D865" s="6"/>
      <c r="E865" s="39"/>
      <c r="F865" s="47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</row>
    <row r="866">
      <c r="A866" s="39"/>
      <c r="B866" s="39"/>
      <c r="C866" s="39"/>
      <c r="D866" s="6"/>
      <c r="E866" s="39"/>
      <c r="F866" s="47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</row>
    <row r="867">
      <c r="A867" s="39"/>
      <c r="B867" s="39"/>
      <c r="C867" s="39"/>
      <c r="D867" s="6"/>
      <c r="E867" s="39"/>
      <c r="F867" s="47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</row>
    <row r="868">
      <c r="A868" s="39"/>
      <c r="B868" s="39"/>
      <c r="C868" s="39"/>
      <c r="D868" s="6"/>
      <c r="E868" s="39"/>
      <c r="F868" s="47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</row>
    <row r="869">
      <c r="A869" s="39"/>
      <c r="B869" s="39"/>
      <c r="C869" s="39"/>
      <c r="D869" s="6"/>
      <c r="E869" s="39"/>
      <c r="F869" s="47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</row>
    <row r="870">
      <c r="A870" s="39"/>
      <c r="B870" s="39"/>
      <c r="C870" s="39"/>
      <c r="D870" s="6"/>
      <c r="E870" s="39"/>
      <c r="F870" s="47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</row>
    <row r="871">
      <c r="A871" s="39"/>
      <c r="B871" s="39"/>
      <c r="C871" s="39"/>
      <c r="D871" s="6"/>
      <c r="E871" s="39"/>
      <c r="F871" s="47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</row>
    <row r="872">
      <c r="A872" s="39"/>
      <c r="B872" s="39"/>
      <c r="C872" s="39"/>
      <c r="D872" s="6"/>
      <c r="E872" s="39"/>
      <c r="F872" s="47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</row>
    <row r="873">
      <c r="A873" s="39"/>
      <c r="B873" s="39"/>
      <c r="C873" s="39"/>
      <c r="D873" s="6"/>
      <c r="E873" s="39"/>
      <c r="F873" s="47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</row>
    <row r="874">
      <c r="A874" s="39"/>
      <c r="B874" s="39"/>
      <c r="C874" s="39"/>
      <c r="D874" s="6"/>
      <c r="E874" s="39"/>
      <c r="F874" s="47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</row>
    <row r="875">
      <c r="A875" s="39"/>
      <c r="B875" s="39"/>
      <c r="C875" s="39"/>
      <c r="D875" s="6"/>
      <c r="E875" s="39"/>
      <c r="F875" s="47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</row>
    <row r="876">
      <c r="A876" s="39"/>
      <c r="B876" s="39"/>
      <c r="C876" s="39"/>
      <c r="D876" s="6"/>
      <c r="E876" s="39"/>
      <c r="F876" s="47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</row>
    <row r="877">
      <c r="A877" s="39"/>
      <c r="B877" s="39"/>
      <c r="C877" s="39"/>
      <c r="D877" s="6"/>
      <c r="E877" s="39"/>
      <c r="F877" s="47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</row>
    <row r="878">
      <c r="A878" s="39"/>
      <c r="B878" s="39"/>
      <c r="C878" s="39"/>
      <c r="D878" s="6"/>
      <c r="E878" s="39"/>
      <c r="F878" s="47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</row>
    <row r="879">
      <c r="A879" s="39"/>
      <c r="B879" s="39"/>
      <c r="C879" s="39"/>
      <c r="D879" s="6"/>
      <c r="E879" s="39"/>
      <c r="F879" s="47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</row>
    <row r="880">
      <c r="A880" s="39"/>
      <c r="B880" s="39"/>
      <c r="C880" s="39"/>
      <c r="D880" s="6"/>
      <c r="E880" s="39"/>
      <c r="F880" s="47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</row>
    <row r="881">
      <c r="A881" s="39"/>
      <c r="B881" s="39"/>
      <c r="C881" s="39"/>
      <c r="D881" s="6"/>
      <c r="E881" s="39"/>
      <c r="F881" s="47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</row>
    <row r="882">
      <c r="A882" s="39"/>
      <c r="B882" s="39"/>
      <c r="C882" s="39"/>
      <c r="D882" s="6"/>
      <c r="E882" s="39"/>
      <c r="F882" s="47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</row>
    <row r="883">
      <c r="A883" s="39"/>
      <c r="B883" s="39"/>
      <c r="C883" s="39"/>
      <c r="D883" s="6"/>
      <c r="E883" s="39"/>
      <c r="F883" s="47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</row>
    <row r="884">
      <c r="A884" s="39"/>
      <c r="B884" s="39"/>
      <c r="C884" s="39"/>
      <c r="D884" s="6"/>
      <c r="E884" s="39"/>
      <c r="F884" s="47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</row>
    <row r="885">
      <c r="A885" s="39"/>
      <c r="B885" s="39"/>
      <c r="C885" s="39"/>
      <c r="D885" s="6"/>
      <c r="E885" s="39"/>
      <c r="F885" s="47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</row>
    <row r="886">
      <c r="A886" s="39"/>
      <c r="B886" s="39"/>
      <c r="C886" s="39"/>
      <c r="D886" s="6"/>
      <c r="E886" s="39"/>
      <c r="F886" s="47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</row>
    <row r="887">
      <c r="A887" s="39"/>
      <c r="B887" s="39"/>
      <c r="C887" s="39"/>
      <c r="D887" s="6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</row>
    <row r="888">
      <c r="A888" s="39"/>
      <c r="B888" s="39"/>
      <c r="C888" s="39"/>
      <c r="D888" s="6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</row>
    <row r="889">
      <c r="A889" s="39"/>
      <c r="B889" s="39"/>
      <c r="C889" s="39"/>
      <c r="D889" s="6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</row>
    <row r="890">
      <c r="A890" s="39"/>
      <c r="B890" s="39"/>
      <c r="C890" s="39"/>
      <c r="D890" s="6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</row>
    <row r="891">
      <c r="A891" s="39"/>
      <c r="B891" s="39"/>
      <c r="C891" s="39"/>
      <c r="D891" s="6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</row>
    <row r="892">
      <c r="A892" s="39"/>
      <c r="B892" s="39"/>
      <c r="C892" s="39"/>
      <c r="D892" s="6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</row>
    <row r="893">
      <c r="A893" s="39"/>
      <c r="B893" s="39"/>
      <c r="C893" s="39"/>
      <c r="D893" s="6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</row>
    <row r="894">
      <c r="A894" s="39"/>
      <c r="B894" s="39"/>
      <c r="C894" s="39"/>
      <c r="D894" s="6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</row>
    <row r="895">
      <c r="A895" s="39"/>
      <c r="B895" s="39"/>
      <c r="C895" s="39"/>
      <c r="D895" s="6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</row>
    <row r="896">
      <c r="A896" s="39"/>
      <c r="B896" s="39"/>
      <c r="C896" s="39"/>
      <c r="D896" s="6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</row>
    <row r="897">
      <c r="A897" s="39"/>
      <c r="B897" s="39"/>
      <c r="C897" s="39"/>
      <c r="D897" s="6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</row>
    <row r="898">
      <c r="A898" s="39"/>
      <c r="B898" s="39"/>
      <c r="C898" s="39"/>
      <c r="D898" s="6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</row>
    <row r="899">
      <c r="A899" s="39"/>
      <c r="B899" s="39"/>
      <c r="C899" s="39"/>
      <c r="D899" s="6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</row>
    <row r="900">
      <c r="A900" s="39"/>
      <c r="B900" s="39"/>
      <c r="C900" s="39"/>
      <c r="D900" s="6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</row>
    <row r="901">
      <c r="A901" s="39"/>
      <c r="B901" s="39"/>
      <c r="C901" s="39"/>
      <c r="D901" s="6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</row>
    <row r="902">
      <c r="A902" s="39"/>
      <c r="B902" s="39"/>
      <c r="C902" s="39"/>
      <c r="D902" s="6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</row>
    <row r="903">
      <c r="A903" s="39"/>
      <c r="B903" s="39"/>
      <c r="C903" s="39"/>
      <c r="D903" s="6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</row>
    <row r="904">
      <c r="A904" s="39"/>
      <c r="B904" s="39"/>
      <c r="C904" s="39"/>
      <c r="D904" s="6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</row>
    <row r="905">
      <c r="A905" s="39"/>
      <c r="B905" s="39"/>
      <c r="C905" s="39"/>
      <c r="D905" s="6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</row>
    <row r="906">
      <c r="A906" s="39"/>
      <c r="B906" s="39"/>
      <c r="C906" s="39"/>
      <c r="D906" s="6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</row>
    <row r="907">
      <c r="A907" s="39"/>
      <c r="B907" s="39"/>
      <c r="C907" s="39"/>
      <c r="D907" s="6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</row>
    <row r="908">
      <c r="A908" s="39"/>
      <c r="B908" s="39"/>
      <c r="C908" s="39"/>
      <c r="D908" s="6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</row>
    <row r="909">
      <c r="A909" s="39"/>
      <c r="B909" s="39"/>
      <c r="C909" s="39"/>
      <c r="D909" s="6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</row>
    <row r="910">
      <c r="A910" s="39"/>
      <c r="B910" s="39"/>
      <c r="C910" s="39"/>
      <c r="D910" s="6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</row>
    <row r="911">
      <c r="A911" s="39"/>
      <c r="B911" s="39"/>
      <c r="C911" s="39"/>
      <c r="D911" s="6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</row>
    <row r="912">
      <c r="A912" s="39"/>
      <c r="B912" s="39"/>
      <c r="C912" s="39"/>
      <c r="D912" s="6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</row>
    <row r="913">
      <c r="A913" s="39"/>
      <c r="B913" s="39"/>
      <c r="C913" s="39"/>
      <c r="D913" s="6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</row>
    <row r="914">
      <c r="A914" s="39"/>
      <c r="B914" s="39"/>
      <c r="C914" s="39"/>
      <c r="D914" s="6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</row>
    <row r="915">
      <c r="A915" s="39"/>
      <c r="B915" s="39"/>
      <c r="C915" s="39"/>
      <c r="D915" s="6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</row>
    <row r="916">
      <c r="A916" s="39"/>
      <c r="B916" s="39"/>
      <c r="C916" s="39"/>
      <c r="D916" s="6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</row>
    <row r="917">
      <c r="A917" s="39"/>
      <c r="B917" s="39"/>
      <c r="C917" s="39"/>
      <c r="D917" s="6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</row>
    <row r="918">
      <c r="A918" s="39"/>
      <c r="B918" s="39"/>
      <c r="C918" s="39"/>
      <c r="D918" s="6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</row>
    <row r="919">
      <c r="A919" s="39"/>
      <c r="B919" s="39"/>
      <c r="C919" s="39"/>
      <c r="D919" s="6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</row>
    <row r="920">
      <c r="A920" s="39"/>
      <c r="B920" s="39"/>
      <c r="C920" s="39"/>
      <c r="D920" s="6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</row>
    <row r="921">
      <c r="A921" s="39"/>
      <c r="B921" s="39"/>
      <c r="C921" s="39"/>
      <c r="D921" s="6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</row>
    <row r="922">
      <c r="A922" s="39"/>
      <c r="B922" s="39"/>
      <c r="C922" s="39"/>
      <c r="D922" s="6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</row>
    <row r="923">
      <c r="A923" s="39"/>
      <c r="B923" s="39"/>
      <c r="C923" s="39"/>
      <c r="D923" s="6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</row>
    <row r="924">
      <c r="A924" s="39"/>
      <c r="B924" s="39"/>
      <c r="C924" s="39"/>
      <c r="D924" s="6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</row>
    <row r="925">
      <c r="A925" s="39"/>
      <c r="B925" s="39"/>
      <c r="C925" s="39"/>
      <c r="D925" s="6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</row>
    <row r="926">
      <c r="A926" s="39"/>
      <c r="B926" s="39"/>
      <c r="C926" s="39"/>
      <c r="D926" s="6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</row>
    <row r="927">
      <c r="A927" s="39"/>
      <c r="B927" s="39"/>
      <c r="C927" s="39"/>
      <c r="D927" s="6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</row>
    <row r="928">
      <c r="A928" s="39"/>
      <c r="B928" s="39"/>
      <c r="C928" s="39"/>
      <c r="D928" s="6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</row>
    <row r="929">
      <c r="A929" s="39"/>
      <c r="B929" s="39"/>
      <c r="C929" s="39"/>
      <c r="D929" s="6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</row>
    <row r="930">
      <c r="A930" s="39"/>
      <c r="B930" s="39"/>
      <c r="C930" s="39"/>
      <c r="D930" s="6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</row>
    <row r="931">
      <c r="A931" s="39"/>
      <c r="B931" s="39"/>
      <c r="C931" s="39"/>
      <c r="D931" s="6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</row>
    <row r="932">
      <c r="A932" s="39"/>
      <c r="B932" s="39"/>
      <c r="C932" s="39"/>
      <c r="D932" s="6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</row>
    <row r="933">
      <c r="A933" s="39"/>
      <c r="B933" s="39"/>
      <c r="C933" s="39"/>
      <c r="D933" s="6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</row>
    <row r="934">
      <c r="A934" s="39"/>
      <c r="B934" s="39"/>
      <c r="C934" s="39"/>
      <c r="D934" s="6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</row>
    <row r="935">
      <c r="A935" s="39"/>
      <c r="B935" s="39"/>
      <c r="C935" s="39"/>
      <c r="D935" s="6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</row>
    <row r="936">
      <c r="A936" s="39"/>
      <c r="B936" s="39"/>
      <c r="C936" s="39"/>
      <c r="D936" s="6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</row>
    <row r="937">
      <c r="A937" s="39"/>
      <c r="B937" s="39"/>
      <c r="C937" s="39"/>
      <c r="D937" s="6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</row>
    <row r="938">
      <c r="A938" s="39"/>
      <c r="B938" s="39"/>
      <c r="C938" s="39"/>
      <c r="D938" s="6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</row>
    <row r="939">
      <c r="A939" s="39"/>
      <c r="B939" s="39"/>
      <c r="C939" s="39"/>
      <c r="D939" s="6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</row>
    <row r="940">
      <c r="A940" s="39"/>
      <c r="B940" s="39"/>
      <c r="C940" s="39"/>
      <c r="D940" s="6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</row>
    <row r="941">
      <c r="A941" s="39"/>
      <c r="B941" s="39"/>
      <c r="C941" s="39"/>
      <c r="D941" s="6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</row>
    <row r="942">
      <c r="A942" s="39"/>
      <c r="B942" s="39"/>
      <c r="C942" s="39"/>
      <c r="D942" s="6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</row>
    <row r="943">
      <c r="A943" s="39"/>
      <c r="B943" s="39"/>
      <c r="C943" s="39"/>
      <c r="D943" s="6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</row>
    <row r="944">
      <c r="A944" s="39"/>
      <c r="B944" s="39"/>
      <c r="C944" s="39"/>
      <c r="D944" s="6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</row>
    <row r="945">
      <c r="A945" s="39"/>
      <c r="B945" s="39"/>
      <c r="C945" s="39"/>
      <c r="D945" s="6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</row>
    <row r="946">
      <c r="A946" s="39"/>
      <c r="B946" s="39"/>
      <c r="C946" s="39"/>
      <c r="D946" s="6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</row>
    <row r="947">
      <c r="A947" s="39"/>
      <c r="B947" s="39"/>
      <c r="C947" s="39"/>
      <c r="D947" s="6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</row>
    <row r="948">
      <c r="A948" s="39"/>
      <c r="B948" s="39"/>
      <c r="C948" s="39"/>
      <c r="D948" s="6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</row>
    <row r="949">
      <c r="A949" s="39"/>
      <c r="B949" s="39"/>
      <c r="C949" s="39"/>
      <c r="D949" s="6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</row>
    <row r="950">
      <c r="A950" s="39"/>
      <c r="B950" s="39"/>
      <c r="C950" s="39"/>
      <c r="D950" s="6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</row>
    <row r="951">
      <c r="A951" s="39"/>
      <c r="B951" s="39"/>
      <c r="C951" s="39"/>
      <c r="D951" s="6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</row>
    <row r="952">
      <c r="A952" s="39"/>
      <c r="B952" s="39"/>
      <c r="C952" s="39"/>
      <c r="D952" s="6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</row>
    <row r="953">
      <c r="A953" s="39"/>
      <c r="B953" s="39"/>
      <c r="C953" s="39"/>
      <c r="D953" s="6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</row>
    <row r="954">
      <c r="A954" s="39"/>
      <c r="B954" s="39"/>
      <c r="C954" s="39"/>
      <c r="D954" s="6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</row>
    <row r="955">
      <c r="A955" s="39"/>
      <c r="B955" s="39"/>
      <c r="C955" s="39"/>
      <c r="D955" s="6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</row>
    <row r="956">
      <c r="A956" s="39"/>
      <c r="B956" s="39"/>
      <c r="C956" s="39"/>
      <c r="D956" s="6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</row>
    <row r="957">
      <c r="A957" s="39"/>
      <c r="B957" s="39"/>
      <c r="C957" s="39"/>
      <c r="D957" s="6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</row>
    <row r="958">
      <c r="A958" s="39"/>
      <c r="B958" s="39"/>
      <c r="C958" s="39"/>
      <c r="D958" s="6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</row>
    <row r="959">
      <c r="A959" s="39"/>
      <c r="B959" s="39"/>
      <c r="C959" s="39"/>
      <c r="D959" s="6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</row>
    <row r="960">
      <c r="A960" s="39"/>
      <c r="B960" s="39"/>
      <c r="C960" s="39"/>
      <c r="D960" s="6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</row>
    <row r="961">
      <c r="A961" s="39"/>
      <c r="B961" s="39"/>
      <c r="C961" s="39"/>
      <c r="D961" s="6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</row>
    <row r="962">
      <c r="A962" s="39"/>
      <c r="B962" s="39"/>
      <c r="C962" s="39"/>
      <c r="D962" s="6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</row>
    <row r="963">
      <c r="A963" s="39"/>
      <c r="B963" s="39"/>
      <c r="C963" s="39"/>
      <c r="D963" s="6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</row>
    <row r="964">
      <c r="A964" s="39"/>
      <c r="B964" s="39"/>
      <c r="C964" s="39"/>
      <c r="D964" s="6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</row>
    <row r="965">
      <c r="A965" s="39"/>
      <c r="B965" s="39"/>
      <c r="C965" s="39"/>
      <c r="D965" s="6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</row>
    <row r="966">
      <c r="A966" s="39"/>
      <c r="B966" s="39"/>
      <c r="C966" s="39"/>
      <c r="D966" s="6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</row>
    <row r="967">
      <c r="A967" s="39"/>
      <c r="B967" s="39"/>
      <c r="C967" s="39"/>
      <c r="D967" s="6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</row>
    <row r="968">
      <c r="A968" s="39"/>
      <c r="B968" s="39"/>
      <c r="C968" s="39"/>
      <c r="D968" s="6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</row>
    <row r="969">
      <c r="A969" s="39"/>
      <c r="B969" s="39"/>
      <c r="C969" s="39"/>
      <c r="D969" s="6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</row>
    <row r="970">
      <c r="A970" s="39"/>
      <c r="B970" s="39"/>
      <c r="C970" s="39"/>
      <c r="D970" s="6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</row>
    <row r="971">
      <c r="A971" s="39"/>
      <c r="B971" s="39"/>
      <c r="C971" s="39"/>
      <c r="D971" s="6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</row>
    <row r="972">
      <c r="A972" s="39"/>
      <c r="B972" s="39"/>
      <c r="C972" s="39"/>
      <c r="D972" s="6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</row>
    <row r="973">
      <c r="A973" s="39"/>
      <c r="B973" s="39"/>
      <c r="C973" s="39"/>
      <c r="D973" s="6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</row>
    <row r="974">
      <c r="A974" s="39"/>
      <c r="B974" s="39"/>
      <c r="C974" s="39"/>
      <c r="D974" s="6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</row>
    <row r="975">
      <c r="A975" s="39"/>
      <c r="B975" s="39"/>
      <c r="C975" s="39"/>
      <c r="D975" s="6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</row>
    <row r="976">
      <c r="A976" s="39"/>
      <c r="B976" s="39"/>
      <c r="C976" s="39"/>
      <c r="D976" s="6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</row>
    <row r="977">
      <c r="A977" s="39"/>
      <c r="B977" s="39"/>
      <c r="C977" s="39"/>
      <c r="D977" s="6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</row>
    <row r="978">
      <c r="A978" s="39"/>
      <c r="B978" s="39"/>
      <c r="C978" s="39"/>
      <c r="D978" s="6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</row>
    <row r="979">
      <c r="A979" s="39"/>
      <c r="B979" s="39"/>
      <c r="C979" s="39"/>
      <c r="D979" s="6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</row>
    <row r="980">
      <c r="A980" s="39"/>
      <c r="B980" s="39"/>
      <c r="C980" s="39"/>
      <c r="D980" s="6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</row>
    <row r="981">
      <c r="A981" s="39"/>
      <c r="B981" s="39"/>
      <c r="C981" s="39"/>
      <c r="D981" s="6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</row>
    <row r="982">
      <c r="A982" s="39"/>
      <c r="B982" s="39"/>
      <c r="C982" s="39"/>
      <c r="D982" s="6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</row>
    <row r="983">
      <c r="A983" s="39"/>
      <c r="B983" s="39"/>
      <c r="C983" s="39"/>
      <c r="D983" s="6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</row>
    <row r="984">
      <c r="A984" s="39"/>
      <c r="B984" s="39"/>
      <c r="C984" s="39"/>
      <c r="D984" s="6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</row>
    <row r="985">
      <c r="A985" s="39"/>
      <c r="B985" s="39"/>
      <c r="C985" s="39"/>
      <c r="D985" s="6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</row>
    <row r="986">
      <c r="A986" s="39"/>
      <c r="B986" s="39"/>
      <c r="C986" s="39"/>
      <c r="D986" s="6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</row>
    <row r="987">
      <c r="A987" s="39"/>
      <c r="B987" s="39"/>
      <c r="C987" s="39"/>
      <c r="D987" s="6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</row>
    <row r="988">
      <c r="A988" s="39"/>
      <c r="B988" s="39"/>
      <c r="C988" s="39"/>
      <c r="D988" s="6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</row>
    <row r="989">
      <c r="A989" s="39"/>
      <c r="B989" s="39"/>
      <c r="C989" s="39"/>
      <c r="D989" s="6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</row>
    <row r="990">
      <c r="A990" s="39"/>
      <c r="B990" s="39"/>
      <c r="C990" s="39"/>
      <c r="D990" s="6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</row>
    <row r="991">
      <c r="A991" s="39"/>
      <c r="B991" s="39"/>
      <c r="C991" s="39"/>
      <c r="D991" s="6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</row>
    <row r="992">
      <c r="A992" s="39"/>
      <c r="B992" s="39"/>
      <c r="C992" s="39"/>
      <c r="D992" s="6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</row>
    <row r="993">
      <c r="A993" s="39"/>
      <c r="B993" s="39"/>
      <c r="C993" s="39"/>
      <c r="D993" s="6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</row>
    <row r="994">
      <c r="A994" s="39"/>
      <c r="B994" s="39"/>
      <c r="C994" s="39"/>
      <c r="D994" s="6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</row>
    <row r="995">
      <c r="A995" s="39"/>
      <c r="B995" s="39"/>
      <c r="C995" s="39"/>
      <c r="D995" s="6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</row>
    <row r="996">
      <c r="A996" s="39"/>
      <c r="B996" s="39"/>
      <c r="C996" s="39"/>
      <c r="D996" s="6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</row>
    <row r="997">
      <c r="A997" s="39"/>
      <c r="B997" s="39"/>
      <c r="C997" s="39"/>
      <c r="D997" s="6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</row>
    <row r="998">
      <c r="A998" s="39"/>
      <c r="B998" s="39"/>
      <c r="C998" s="39"/>
      <c r="D998" s="6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</row>
    <row r="999">
      <c r="A999" s="39"/>
      <c r="B999" s="39"/>
      <c r="C999" s="39"/>
      <c r="D999" s="6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</row>
    <row r="1000">
      <c r="A1000" s="39"/>
      <c r="B1000" s="39"/>
      <c r="C1000" s="39"/>
      <c r="D1000" s="6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</row>
    <row r="1001">
      <c r="A1001" s="39"/>
      <c r="B1001" s="39"/>
      <c r="C1001" s="39"/>
      <c r="D1001" s="6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</row>
    <row r="1002">
      <c r="A1002" s="39"/>
      <c r="B1002" s="39"/>
      <c r="C1002" s="39"/>
      <c r="D1002" s="6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</row>
    <row r="1003">
      <c r="A1003" s="39"/>
      <c r="B1003" s="39"/>
      <c r="C1003" s="39"/>
      <c r="D1003" s="6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</row>
    <row r="1004">
      <c r="A1004" s="39"/>
      <c r="B1004" s="39"/>
      <c r="C1004" s="39"/>
      <c r="D1004" s="6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</row>
    <row r="1005">
      <c r="A1005" s="39"/>
      <c r="B1005" s="39"/>
      <c r="C1005" s="39"/>
      <c r="D1005" s="6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</row>
  </sheetData>
  <mergeCells count="2">
    <mergeCell ref="A1:C1"/>
    <mergeCell ref="A667:C66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9.0"/>
    <col customWidth="1" min="3" max="3" width="30.0"/>
    <col customWidth="1" min="4" max="4" width="27.25"/>
    <col customWidth="1" min="5" max="5" width="54.63"/>
  </cols>
  <sheetData>
    <row r="1">
      <c r="A1" s="59" t="s">
        <v>2389</v>
      </c>
      <c r="E1" s="60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>
      <c r="A2" s="62" t="s">
        <v>2390</v>
      </c>
      <c r="B2" s="63" t="s">
        <v>56</v>
      </c>
      <c r="C2" s="63" t="s">
        <v>2391</v>
      </c>
      <c r="D2" s="64" t="s">
        <v>2392</v>
      </c>
      <c r="E2" s="19" t="s">
        <v>59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>
      <c r="A3" s="65" t="s">
        <v>2393</v>
      </c>
      <c r="B3" s="66" t="s">
        <v>2394</v>
      </c>
      <c r="C3" s="66" t="s">
        <v>2395</v>
      </c>
      <c r="D3" s="67" t="s">
        <v>2396</v>
      </c>
      <c r="E3" s="33" t="str">
        <f>IFERROR(__xludf.DUMMYFUNCTION("ARRAYFORMULA(IF(B3:B993="""",,MAP(B3:B993,LAMBDA(текст,LET(
  ш1, REGEXREPLACE(текст, ""\n"", "" ""),
  ш2, REGEXREPLACE(ш1, ""(?i)(государственное|бюджетное|автономное|общеобразовательное|учреждение|города\s+москвы|г\.\s*москвы|гбоу|гаоу|сош|ноу|чоу)"", "&amp;"""""),
  ш3, REGEXREPLACE(ш2, ""(?i)(имени|им\.)"", ""им.""),
  ш4, REGEXREPLACE(ш3, ""[«»""""]"", """"),
  ш5, REGEXREPLACE(ш4, ""\([^)]*\)"", """"),
  ш6, REGEXREPLACE(ш5, ""(?i)^школа\s+школа\s+"", ""Школа ""),
  ш7, REGEXREPLACE(ш6, ""\s*\.\s*"", "". "&amp;"""),
  ш8, REGEXREPLACE(ш7, ""\s*,\s*"", "" ""),
  ш9, REGEXREPLACE(ш8, ""\s+"", "" ""),
  ш10, TRIM(SUBSTITUTE(SUBSTITUTE(ш9, ""ё"", ""е""), ""Ё"", ""Е"")),
  номер, IFERROR(REGEXEXTRACT(ш10, ""(?i)(?:^|[^0-9])(?:школа\s*)?(?:№|N|N°)?\s*(\d{1,4})(?:[^0-9"&amp;"]|$)""), """"),
  итог, IF(номер&lt;&gt;"""", ""Школа "" &amp; номер, ш10),
  REGEXREPLACE(итог, ""[\.,\- ]+$"", """")
)))))"),"Школа 1502")</f>
        <v>Школа 1502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>
      <c r="A4" s="65" t="s">
        <v>2397</v>
      </c>
      <c r="B4" s="66" t="s">
        <v>2398</v>
      </c>
      <c r="C4" s="66" t="s">
        <v>2399</v>
      </c>
      <c r="D4" s="67" t="s">
        <v>2396</v>
      </c>
      <c r="E4" s="68" t="str">
        <f>IFERROR(__xludf.DUMMYFUNCTION("""COMPUTED_VALUE"""),"Школа 444")</f>
        <v>Школа 444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>
      <c r="A5" s="65" t="s">
        <v>2400</v>
      </c>
      <c r="B5" s="66" t="s">
        <v>2401</v>
      </c>
      <c r="C5" s="66" t="s">
        <v>2402</v>
      </c>
      <c r="D5" s="67" t="s">
        <v>2396</v>
      </c>
      <c r="E5" s="68" t="str">
        <f>IFERROR(__xludf.DUMMYFUNCTION("""COMPUTED_VALUE"""),"Школа 2036")</f>
        <v>Школа 2036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>
      <c r="A6" s="65" t="s">
        <v>2403</v>
      </c>
      <c r="B6" s="66" t="s">
        <v>2404</v>
      </c>
      <c r="C6" s="66" t="s">
        <v>2405</v>
      </c>
      <c r="D6" s="67" t="s">
        <v>2406</v>
      </c>
      <c r="E6" s="68" t="str">
        <f>IFERROR(__xludf.DUMMYFUNCTION("""COMPUTED_VALUE"""),"Школа 1543")</f>
        <v>Школа 1543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>
      <c r="A7" s="65" t="s">
        <v>2407</v>
      </c>
      <c r="B7" s="66" t="s">
        <v>2408</v>
      </c>
      <c r="C7" s="66" t="s">
        <v>2409</v>
      </c>
      <c r="D7" s="67" t="s">
        <v>2410</v>
      </c>
      <c r="E7" s="68" t="str">
        <f>IFERROR(__xludf.DUMMYFUNCTION("""COMPUTED_VALUE"""),"Школа 2070")</f>
        <v>Школа 2070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>
      <c r="A8" s="65" t="s">
        <v>2411</v>
      </c>
      <c r="B8" s="66" t="s">
        <v>2412</v>
      </c>
      <c r="C8" s="66" t="s">
        <v>2409</v>
      </c>
      <c r="D8" s="67" t="s">
        <v>2410</v>
      </c>
      <c r="E8" s="68" t="str">
        <f>IFERROR(__xludf.DUMMYFUNCTION("""COMPUTED_VALUE"""),"Школа Летово")</f>
        <v>Школа Летово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>
      <c r="A9" s="65" t="s">
        <v>2413</v>
      </c>
      <c r="B9" s="66" t="s">
        <v>2414</v>
      </c>
      <c r="C9" s="66" t="s">
        <v>2415</v>
      </c>
      <c r="D9" s="67" t="s">
        <v>2416</v>
      </c>
      <c r="E9" s="68" t="str">
        <f>IFERROR(__xludf.DUMMYFUNCTION("""COMPUTED_VALUE"""),"Школа 1568")</f>
        <v>Школа 1568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>
      <c r="A10" s="65" t="s">
        <v>2417</v>
      </c>
      <c r="B10" s="66" t="s">
        <v>67</v>
      </c>
      <c r="C10" s="66" t="s">
        <v>2418</v>
      </c>
      <c r="D10" s="67" t="s">
        <v>2419</v>
      </c>
      <c r="E10" s="68" t="str">
        <f>IFERROR(__xludf.DUMMYFUNCTION("""COMPUTED_VALUE"""),"Курчатовская школа")</f>
        <v>Курчатовская школа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>
      <c r="A11" s="65" t="s">
        <v>2420</v>
      </c>
      <c r="B11" s="66" t="s">
        <v>2142</v>
      </c>
      <c r="C11" s="66" t="s">
        <v>2421</v>
      </c>
      <c r="D11" s="67" t="s">
        <v>2422</v>
      </c>
      <c r="E11" s="68" t="str">
        <f>IFERROR(__xludf.DUMMYFUNCTION("""COMPUTED_VALUE"""),"Лицей НИУ ВШЭ")</f>
        <v>Лицей НИУ ВШЭ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>
      <c r="A12" s="65" t="s">
        <v>2423</v>
      </c>
      <c r="B12" s="66" t="s">
        <v>2424</v>
      </c>
      <c r="C12" s="66" t="s">
        <v>2425</v>
      </c>
      <c r="D12" s="67" t="s">
        <v>2422</v>
      </c>
      <c r="E12" s="68" t="str">
        <f>IFERROR(__xludf.DUMMYFUNCTION("""COMPUTED_VALUE"""),"Школа 1501")</f>
        <v>Школа 1501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>
      <c r="A13" s="65" t="s">
        <v>2426</v>
      </c>
      <c r="B13" s="66" t="s">
        <v>2427</v>
      </c>
      <c r="C13" s="66" t="s">
        <v>2425</v>
      </c>
      <c r="D13" s="67" t="s">
        <v>2422</v>
      </c>
      <c r="E13" s="68" t="str">
        <f>IFERROR(__xludf.DUMMYFUNCTION("""COMPUTED_VALUE"""),"Школа 179")</f>
        <v>Школа 179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>
      <c r="A14" s="65" t="s">
        <v>2428</v>
      </c>
      <c r="B14" s="66" t="s">
        <v>2429</v>
      </c>
      <c r="C14" s="66" t="s">
        <v>2430</v>
      </c>
      <c r="D14" s="67" t="s">
        <v>2422</v>
      </c>
      <c r="E14" s="68" t="str">
        <f>IFERROR(__xludf.DUMMYFUNCTION("""COMPUTED_VALUE"""),"Пятьдесят седьмая школа")</f>
        <v>Пятьдесят седьмая школа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>
      <c r="A15" s="65" t="s">
        <v>2431</v>
      </c>
      <c r="B15" s="66" t="s">
        <v>2432</v>
      </c>
      <c r="C15" s="66" t="s">
        <v>2430</v>
      </c>
      <c r="D15" s="67" t="s">
        <v>2422</v>
      </c>
      <c r="E15" s="68" t="str">
        <f>IFERROR(__xludf.DUMMYFUNCTION("""COMPUTED_VALUE"""),"Школа 1535")</f>
        <v>Школа 1535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>
      <c r="A16" s="65" t="s">
        <v>2433</v>
      </c>
      <c r="B16" s="66" t="s">
        <v>2434</v>
      </c>
      <c r="C16" s="66" t="s">
        <v>2435</v>
      </c>
      <c r="D16" s="67" t="s">
        <v>2422</v>
      </c>
      <c r="E16" s="68" t="str">
        <f>IFERROR(__xludf.DUMMYFUNCTION("""COMPUTED_VALUE"""),"Школа ЦПМ")</f>
        <v>Школа ЦПМ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>
      <c r="A17" s="65" t="s">
        <v>2436</v>
      </c>
      <c r="B17" s="66" t="s">
        <v>2437</v>
      </c>
      <c r="C17" s="66" t="s">
        <v>2438</v>
      </c>
      <c r="D17" s="67" t="s">
        <v>2439</v>
      </c>
      <c r="E17" s="68" t="str">
        <f>IFERROR(__xludf.DUMMYFUNCTION("""COMPUTED_VALUE"""),"Школа 1363")</f>
        <v>Школа 1363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>
      <c r="A18" s="65" t="s">
        <v>2440</v>
      </c>
      <c r="B18" s="66" t="s">
        <v>2441</v>
      </c>
      <c r="C18" s="66" t="s">
        <v>2442</v>
      </c>
      <c r="D18" s="67" t="s">
        <v>2439</v>
      </c>
      <c r="E18" s="68" t="str">
        <f>IFERROR(__xludf.DUMMYFUNCTION("""COMPUTED_VALUE"""),"Школа на Юго-Востоке им. В. И. Чуйкова")</f>
        <v>Школа на Юго-Востоке им. В. И. Чуйкова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>
      <c r="A19" s="65" t="s">
        <v>2443</v>
      </c>
      <c r="B19" s="66" t="s">
        <v>2444</v>
      </c>
      <c r="C19" s="66" t="s">
        <v>2445</v>
      </c>
      <c r="D19" s="67" t="s">
        <v>2446</v>
      </c>
      <c r="E19" s="68" t="str">
        <f>IFERROR(__xludf.DUMMYFUNCTION("""COMPUTED_VALUE"""),"Лицей Вторая школа им. В. Ф. Овчинникова")</f>
        <v>Лицей Вторая школа им. В. Ф. Овчинникова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>
      <c r="A20" s="65" t="s">
        <v>2447</v>
      </c>
      <c r="B20" s="66" t="s">
        <v>2448</v>
      </c>
      <c r="C20" s="66" t="s">
        <v>2449</v>
      </c>
      <c r="D20" s="67" t="s">
        <v>2446</v>
      </c>
      <c r="E20" s="68" t="str">
        <f>IFERROR(__xludf.DUMMYFUNCTION("""COMPUTED_VALUE"""),"Школа 2007")</f>
        <v>Школа 2007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65" t="s">
        <v>2450</v>
      </c>
      <c r="B21" s="66" t="s">
        <v>2451</v>
      </c>
      <c r="C21" s="66" t="s">
        <v>2452</v>
      </c>
      <c r="D21" s="67" t="s">
        <v>2453</v>
      </c>
      <c r="E21" s="68" t="str">
        <f>IFERROR(__xludf.DUMMYFUNCTION("""COMPUTED_VALUE"""),"Школа 1580")</f>
        <v>Школа 1580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65" t="s">
        <v>2454</v>
      </c>
      <c r="B22" s="66" t="s">
        <v>2455</v>
      </c>
      <c r="C22" s="66" t="s">
        <v>2456</v>
      </c>
      <c r="D22" s="67" t="s">
        <v>2453</v>
      </c>
      <c r="E22" s="68" t="str">
        <f>IFERROR(__xludf.DUMMYFUNCTION("""COMPUTED_VALUE"""),"Школа 548")</f>
        <v>Школа 548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>
      <c r="A23" s="65" t="s">
        <v>2457</v>
      </c>
      <c r="B23" s="66" t="s">
        <v>2458</v>
      </c>
      <c r="C23" s="66" t="s">
        <v>2395</v>
      </c>
      <c r="D23" s="67" t="s">
        <v>2396</v>
      </c>
      <c r="E23" s="68" t="str">
        <f>IFERROR(__xludf.DUMMYFUNCTION("""COMPUTED_VALUE"""),"Школа 1504")</f>
        <v>Школа 1504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65" t="s">
        <v>2459</v>
      </c>
      <c r="B24" s="66" t="s">
        <v>2460</v>
      </c>
      <c r="C24" s="66" t="s">
        <v>2461</v>
      </c>
      <c r="D24" s="67" t="s">
        <v>2396</v>
      </c>
      <c r="E24" s="68" t="str">
        <f>IFERROR(__xludf.DUMMYFUNCTION("""COMPUTED_VALUE"""),"Школа 2127")</f>
        <v>Школа 2127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65" t="s">
        <v>2462</v>
      </c>
      <c r="B25" s="66" t="s">
        <v>2463</v>
      </c>
      <c r="C25" s="66" t="s">
        <v>2464</v>
      </c>
      <c r="D25" s="67" t="s">
        <v>2406</v>
      </c>
      <c r="E25" s="68" t="str">
        <f>IFERROR(__xludf.DUMMYFUNCTION("""COMPUTED_VALUE"""),"Школа 67")</f>
        <v>Школа 67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65" t="s">
        <v>2465</v>
      </c>
      <c r="B26" s="66" t="s">
        <v>2466</v>
      </c>
      <c r="C26" s="66" t="s">
        <v>2464</v>
      </c>
      <c r="D26" s="67" t="s">
        <v>2406</v>
      </c>
      <c r="E26" s="68" t="str">
        <f>IFERROR(__xludf.DUMMYFUNCTION("""COMPUTED_VALUE"""),"Школа Технологии обучения")</f>
        <v>Школа Технологии обучения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65" t="s">
        <v>2467</v>
      </c>
      <c r="B27" s="66" t="s">
        <v>2468</v>
      </c>
      <c r="C27" s="66" t="s">
        <v>2469</v>
      </c>
      <c r="D27" s="67" t="s">
        <v>2406</v>
      </c>
      <c r="E27" s="68" t="str">
        <f>IFERROR(__xludf.DUMMYFUNCTION("""COMPUTED_VALUE"""),"Школа 1448")</f>
        <v>Школа 1448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65" t="s">
        <v>2470</v>
      </c>
      <c r="B28" s="66" t="s">
        <v>2471</v>
      </c>
      <c r="C28" s="66" t="s">
        <v>2469</v>
      </c>
      <c r="D28" s="67" t="s">
        <v>2406</v>
      </c>
      <c r="E28" s="68" t="str">
        <f>IFERROR(__xludf.DUMMYFUNCTION("""COMPUTED_VALUE"""),"Школа им. А. Н. Колмогорова")</f>
        <v>Школа им. А. Н. Колмогорова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65" t="s">
        <v>2472</v>
      </c>
      <c r="B29" s="66" t="s">
        <v>2473</v>
      </c>
      <c r="C29" s="66" t="s">
        <v>2469</v>
      </c>
      <c r="D29" s="67" t="s">
        <v>2406</v>
      </c>
      <c r="E29" s="68" t="str">
        <f>IFERROR(__xludf.DUMMYFUNCTION("""COMPUTED_VALUE"""),"Школа-интернат МГУ")</f>
        <v>Школа-интернат МГУ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65" t="s">
        <v>2474</v>
      </c>
      <c r="B30" s="66" t="s">
        <v>2475</v>
      </c>
      <c r="C30" s="66" t="s">
        <v>2476</v>
      </c>
      <c r="D30" s="67" t="s">
        <v>2406</v>
      </c>
      <c r="E30" s="68" t="str">
        <f>IFERROR(__xludf.DUMMYFUNCTION("""COMPUTED_VALUE"""),"Школа 1542")</f>
        <v>Школа 1542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65" t="s">
        <v>2477</v>
      </c>
      <c r="B31" s="66" t="s">
        <v>115</v>
      </c>
      <c r="C31" s="66" t="s">
        <v>2405</v>
      </c>
      <c r="D31" s="67" t="s">
        <v>2406</v>
      </c>
      <c r="E31" s="68" t="str">
        <f>IFERROR(__xludf.DUMMYFUNCTION("""COMPUTED_VALUE"""),"Школа на проспекте Вернадского")</f>
        <v>Школа на проспекте Вернадского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65" t="s">
        <v>2478</v>
      </c>
      <c r="B32" s="66" t="s">
        <v>2479</v>
      </c>
      <c r="C32" s="66" t="s">
        <v>2405</v>
      </c>
      <c r="D32" s="67" t="s">
        <v>2406</v>
      </c>
      <c r="E32" s="68" t="str">
        <f>IFERROR(__xludf.DUMMYFUNCTION("""COMPUTED_VALUE"""),"Школа 1317")</f>
        <v>Школа 1317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65" t="s">
        <v>2480</v>
      </c>
      <c r="B33" s="66" t="s">
        <v>2481</v>
      </c>
      <c r="C33" s="66" t="s">
        <v>2405</v>
      </c>
      <c r="D33" s="67" t="s">
        <v>2406</v>
      </c>
      <c r="E33" s="68" t="str">
        <f>IFERROR(__xludf.DUMMYFUNCTION("""COMPUTED_VALUE"""),"Школа 1329")</f>
        <v>Школа 1329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65" t="s">
        <v>2482</v>
      </c>
      <c r="B34" s="66" t="s">
        <v>73</v>
      </c>
      <c r="C34" s="66" t="s">
        <v>2483</v>
      </c>
      <c r="D34" s="67" t="s">
        <v>2406</v>
      </c>
      <c r="E34" s="68" t="str">
        <f>IFERROR(__xludf.DUMMYFUNCTION("""COMPUTED_VALUE"""),"Образовательный центр Протон")</f>
        <v>Образовательный центр Протон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>
      <c r="A35" s="65" t="s">
        <v>2484</v>
      </c>
      <c r="B35" s="66" t="s">
        <v>2485</v>
      </c>
      <c r="C35" s="66" t="s">
        <v>2486</v>
      </c>
      <c r="D35" s="67" t="s">
        <v>2487</v>
      </c>
      <c r="E35" s="68" t="str">
        <f>IFERROR(__xludf.DUMMYFUNCTION("""COMPUTED_VALUE"""),"Школа 1194")</f>
        <v>Школа 1194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>
      <c r="A36" s="65" t="s">
        <v>2488</v>
      </c>
      <c r="B36" s="66" t="s">
        <v>2489</v>
      </c>
      <c r="C36" s="66" t="s">
        <v>2490</v>
      </c>
      <c r="D36" s="67" t="s">
        <v>2487</v>
      </c>
      <c r="E36" s="68" t="str">
        <f>IFERROR(__xludf.DUMMYFUNCTION("""COMPUTED_VALUE"""),"Школа 1557")</f>
        <v>Школа 1557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>
      <c r="A37" s="65" t="s">
        <v>2491</v>
      </c>
      <c r="B37" s="66" t="s">
        <v>2492</v>
      </c>
      <c r="C37" s="66" t="s">
        <v>2493</v>
      </c>
      <c r="D37" s="67" t="s">
        <v>2410</v>
      </c>
      <c r="E37" s="68" t="str">
        <f>IFERROR(__xludf.DUMMYFUNCTION("""COMPUTED_VALUE"""),"Школа 2083")</f>
        <v>Школа 2083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>
      <c r="A38" s="65" t="s">
        <v>2494</v>
      </c>
      <c r="B38" s="66" t="s">
        <v>2495</v>
      </c>
      <c r="C38" s="66" t="s">
        <v>2496</v>
      </c>
      <c r="D38" s="67" t="s">
        <v>2497</v>
      </c>
      <c r="E38" s="68" t="str">
        <f>IFERROR(__xludf.DUMMYFUNCTION("""COMPUTED_VALUE"""),"Школа 152")</f>
        <v>Школа 152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>
      <c r="A39" s="65" t="s">
        <v>2498</v>
      </c>
      <c r="B39" s="66" t="s">
        <v>2499</v>
      </c>
      <c r="C39" s="66" t="s">
        <v>2496</v>
      </c>
      <c r="D39" s="67" t="s">
        <v>2497</v>
      </c>
      <c r="E39" s="68" t="str">
        <f>IFERROR(__xludf.DUMMYFUNCTION("""COMPUTED_VALUE"""),"Школа 1575")</f>
        <v>Школа 1575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>
      <c r="A40" s="65" t="s">
        <v>2500</v>
      </c>
      <c r="B40" s="66" t="s">
        <v>2501</v>
      </c>
      <c r="C40" s="66" t="s">
        <v>2502</v>
      </c>
      <c r="D40" s="67" t="s">
        <v>2497</v>
      </c>
      <c r="E40" s="68" t="str">
        <f>IFERROR(__xludf.DUMMYFUNCTION("""COMPUTED_VALUE"""),"Школа 2098")</f>
        <v>Школа 2098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>
      <c r="A41" s="65" t="s">
        <v>2503</v>
      </c>
      <c r="B41" s="66" t="s">
        <v>2504</v>
      </c>
      <c r="C41" s="66" t="s">
        <v>2505</v>
      </c>
      <c r="D41" s="67" t="s">
        <v>2497</v>
      </c>
      <c r="E41" s="68" t="str">
        <f>IFERROR(__xludf.DUMMYFUNCTION("""COMPUTED_VALUE"""),"Школа 1252")</f>
        <v>Школа 1252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>
      <c r="A42" s="65" t="s">
        <v>2506</v>
      </c>
      <c r="B42" s="66" t="s">
        <v>2507</v>
      </c>
      <c r="C42" s="66" t="s">
        <v>2508</v>
      </c>
      <c r="D42" s="67" t="s">
        <v>2497</v>
      </c>
      <c r="E42" s="68" t="str">
        <f>IFERROR(__xludf.DUMMYFUNCTION("""COMPUTED_VALUE"""),"Школа 218")</f>
        <v>Школа 218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>
      <c r="A43" s="65" t="s">
        <v>2509</v>
      </c>
      <c r="B43" s="66" t="s">
        <v>2510</v>
      </c>
      <c r="C43" s="66" t="s">
        <v>2511</v>
      </c>
      <c r="D43" s="67" t="s">
        <v>2497</v>
      </c>
      <c r="E43" s="68" t="str">
        <f>IFERROR(__xludf.DUMMYFUNCTION("""COMPUTED_VALUE"""),"Школа 1474")</f>
        <v>Школа 1474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>
      <c r="A44" s="65" t="s">
        <v>2512</v>
      </c>
      <c r="B44" s="66" t="s">
        <v>2513</v>
      </c>
      <c r="C44" s="66" t="s">
        <v>2514</v>
      </c>
      <c r="D44" s="67" t="s">
        <v>2497</v>
      </c>
      <c r="E44" s="68" t="str">
        <f>IFERROR(__xludf.DUMMYFUNCTION("""COMPUTED_VALUE"""),"Пансион воспитанниц МО РФ")</f>
        <v>Пансион воспитанниц МО РФ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>
      <c r="A45" s="65" t="s">
        <v>2515</v>
      </c>
      <c r="B45" s="66" t="s">
        <v>2516</v>
      </c>
      <c r="C45" s="66" t="s">
        <v>2514</v>
      </c>
      <c r="D45" s="67" t="s">
        <v>2497</v>
      </c>
      <c r="E45" s="68" t="str">
        <f>IFERROR(__xludf.DUMMYFUNCTION("""COMPUTED_VALUE"""),"Лицей Финуниверситета")</f>
        <v>Лицей Финуниверситета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>
      <c r="A46" s="65" t="s">
        <v>2517</v>
      </c>
      <c r="B46" s="66" t="s">
        <v>2518</v>
      </c>
      <c r="C46" s="66" t="s">
        <v>2519</v>
      </c>
      <c r="D46" s="67" t="s">
        <v>2416</v>
      </c>
      <c r="E46" s="68" t="str">
        <f>IFERROR(__xludf.DUMMYFUNCTION("""COMPUTED_VALUE"""),"Школа 1558")</f>
        <v>Школа 1558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>
      <c r="A47" s="65" t="s">
        <v>2520</v>
      </c>
      <c r="B47" s="66" t="s">
        <v>2521</v>
      </c>
      <c r="C47" s="66" t="s">
        <v>2522</v>
      </c>
      <c r="D47" s="67" t="s">
        <v>2416</v>
      </c>
      <c r="E47" s="68" t="str">
        <f>IFERROR(__xludf.DUMMYFUNCTION("""COMPUTED_VALUE"""),"Школа 1449")</f>
        <v>Школа 1449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>
      <c r="A48" s="65" t="s">
        <v>2523</v>
      </c>
      <c r="B48" s="66" t="s">
        <v>2524</v>
      </c>
      <c r="C48" s="66" t="s">
        <v>2525</v>
      </c>
      <c r="D48" s="67" t="s">
        <v>2416</v>
      </c>
      <c r="E48" s="68" t="str">
        <f>IFERROR(__xludf.DUMMYFUNCTION("""COMPUTED_VALUE"""),"Школа Марьина Роща им. В. Ф. Орлова")</f>
        <v>Школа Марьина Роща им. В. Ф. Орлова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>
      <c r="A49" s="65" t="s">
        <v>2526</v>
      </c>
      <c r="B49" s="66" t="s">
        <v>2527</v>
      </c>
      <c r="C49" s="66" t="s">
        <v>2528</v>
      </c>
      <c r="D49" s="67" t="s">
        <v>2416</v>
      </c>
      <c r="E49" s="68" t="str">
        <f>IFERROR(__xludf.DUMMYFUNCTION("""COMPUTED_VALUE"""),"Школа 1518")</f>
        <v>Школа 1518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>
      <c r="A50" s="65" t="s">
        <v>2529</v>
      </c>
      <c r="B50" s="66" t="s">
        <v>2530</v>
      </c>
      <c r="C50" s="66" t="s">
        <v>2531</v>
      </c>
      <c r="D50" s="67" t="s">
        <v>2416</v>
      </c>
      <c r="E50" s="68" t="str">
        <f>IFERROR(__xludf.DUMMYFUNCTION("""COMPUTED_VALUE"""),"Школа 1537")</f>
        <v>Школа 1537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>
      <c r="A51" s="65" t="s">
        <v>2532</v>
      </c>
      <c r="B51" s="66" t="s">
        <v>2533</v>
      </c>
      <c r="C51" s="66" t="s">
        <v>2534</v>
      </c>
      <c r="D51" s="67" t="s">
        <v>2419</v>
      </c>
      <c r="E51" s="68" t="str">
        <f>IFERROR(__xludf.DUMMYFUNCTION("""COMPUTED_VALUE"""),"Школа 1298")</f>
        <v>Школа 1298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>
      <c r="A52" s="65" t="s">
        <v>2535</v>
      </c>
      <c r="B52" s="66" t="s">
        <v>2536</v>
      </c>
      <c r="C52" s="66" t="s">
        <v>2537</v>
      </c>
      <c r="D52" s="67" t="s">
        <v>2419</v>
      </c>
      <c r="E52" s="68" t="str">
        <f>IFERROR(__xludf.DUMMYFUNCTION("""COMPUTED_VALUE"""),"Школа 1538")</f>
        <v>Школа 1538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>
      <c r="A53" s="65" t="s">
        <v>2538</v>
      </c>
      <c r="B53" s="66" t="s">
        <v>2539</v>
      </c>
      <c r="C53" s="66" t="s">
        <v>2540</v>
      </c>
      <c r="D53" s="67" t="s">
        <v>2419</v>
      </c>
      <c r="E53" s="68" t="str">
        <f>IFERROR(__xludf.DUMMYFUNCTION("""COMPUTED_VALUE"""),"Школа 1571")</f>
        <v>Школа 1571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>
      <c r="A54" s="65" t="s">
        <v>2541</v>
      </c>
      <c r="B54" s="66" t="s">
        <v>2542</v>
      </c>
      <c r="C54" s="66" t="s">
        <v>2543</v>
      </c>
      <c r="D54" s="67" t="s">
        <v>2419</v>
      </c>
      <c r="E54" s="68" t="str">
        <f>IFERROR(__xludf.DUMMYFUNCTION("""COMPUTED_VALUE"""),"Школа 1517")</f>
        <v>Школа 1517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>
      <c r="A55" s="65" t="s">
        <v>2544</v>
      </c>
      <c r="B55" s="66" t="s">
        <v>127</v>
      </c>
      <c r="C55" s="66" t="s">
        <v>2421</v>
      </c>
      <c r="D55" s="67" t="s">
        <v>2422</v>
      </c>
      <c r="E55" s="68" t="str">
        <f>IFERROR(__xludf.DUMMYFUNCTION("""COMPUTED_VALUE"""),"Школа Покровский квартал")</f>
        <v>Школа Покровский квартал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>
      <c r="A56" s="65" t="s">
        <v>2545</v>
      </c>
      <c r="B56" s="66" t="s">
        <v>2546</v>
      </c>
      <c r="C56" s="66" t="s">
        <v>2435</v>
      </c>
      <c r="D56" s="67" t="s">
        <v>2422</v>
      </c>
      <c r="E56" s="68" t="str">
        <f>IFERROR(__xludf.DUMMYFUNCTION("""COMPUTED_VALUE"""),"Школа 2107")</f>
        <v>Школа 2107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>
      <c r="A57" s="65" t="s">
        <v>2547</v>
      </c>
      <c r="B57" s="66" t="s">
        <v>2548</v>
      </c>
      <c r="C57" s="66" t="s">
        <v>2549</v>
      </c>
      <c r="D57" s="67" t="s">
        <v>2422</v>
      </c>
      <c r="E57" s="68" t="str">
        <f>IFERROR(__xludf.DUMMYFUNCTION("""COMPUTED_VALUE"""),"Школа 2123")</f>
        <v>Школа 2123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>
      <c r="A58" s="65" t="s">
        <v>2550</v>
      </c>
      <c r="B58" s="66" t="s">
        <v>2551</v>
      </c>
      <c r="C58" s="66" t="s">
        <v>2430</v>
      </c>
      <c r="D58" s="67" t="s">
        <v>2422</v>
      </c>
      <c r="E58" s="68" t="str">
        <f>IFERROR(__xludf.DUMMYFUNCTION("""COMPUTED_VALUE"""),"Школа 1529")</f>
        <v>Школа 1529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>
      <c r="A59" s="65" t="s">
        <v>2552</v>
      </c>
      <c r="B59" s="66" t="s">
        <v>2553</v>
      </c>
      <c r="C59" s="66" t="s">
        <v>2430</v>
      </c>
      <c r="D59" s="67" t="s">
        <v>2422</v>
      </c>
      <c r="E59" s="68" t="str">
        <f>IFERROR(__xludf.DUMMYFUNCTION("""COMPUTED_VALUE"""),"Школа 171")</f>
        <v>Школа 171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>
      <c r="A60" s="65" t="s">
        <v>2554</v>
      </c>
      <c r="B60" s="66" t="s">
        <v>2555</v>
      </c>
      <c r="C60" s="66" t="s">
        <v>2438</v>
      </c>
      <c r="D60" s="67" t="s">
        <v>2439</v>
      </c>
      <c r="E60" s="68" t="str">
        <f>IFERROR(__xludf.DUMMYFUNCTION("""COMPUTED_VALUE"""),"Школа 1359")</f>
        <v>Школа 1359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>
      <c r="A61" s="65" t="s">
        <v>2556</v>
      </c>
      <c r="B61" s="66" t="s">
        <v>2557</v>
      </c>
      <c r="C61" s="66" t="s">
        <v>2558</v>
      </c>
      <c r="D61" s="67" t="s">
        <v>2439</v>
      </c>
      <c r="E61" s="68" t="str">
        <f>IFERROR(__xludf.DUMMYFUNCTION("""COMPUTED_VALUE"""),"Школа 1547")</f>
        <v>Школа 1547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>
      <c r="A62" s="65" t="s">
        <v>2559</v>
      </c>
      <c r="B62" s="66" t="s">
        <v>2560</v>
      </c>
      <c r="C62" s="66" t="s">
        <v>2561</v>
      </c>
      <c r="D62" s="67" t="s">
        <v>2439</v>
      </c>
      <c r="E62" s="68" t="str">
        <f>IFERROR(__xludf.DUMMYFUNCTION("""COMPUTED_VALUE"""),"Школа 2048")</f>
        <v>Школа 2048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>
      <c r="A63" s="65" t="s">
        <v>2562</v>
      </c>
      <c r="B63" s="66" t="s">
        <v>2563</v>
      </c>
      <c r="C63" s="66" t="s">
        <v>2564</v>
      </c>
      <c r="D63" s="67" t="s">
        <v>2446</v>
      </c>
      <c r="E63" s="68" t="str">
        <f>IFERROR(__xludf.DUMMYFUNCTION("""COMPUTED_VALUE"""),"Школа 1534")</f>
        <v>Школа 1534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>
      <c r="A64" s="65" t="s">
        <v>2565</v>
      </c>
      <c r="B64" s="66" t="s">
        <v>2566</v>
      </c>
      <c r="C64" s="66" t="s">
        <v>2445</v>
      </c>
      <c r="D64" s="67" t="s">
        <v>2446</v>
      </c>
      <c r="E64" s="68" t="str">
        <f>IFERROR(__xludf.DUMMYFUNCTION("""COMPUTED_VALUE"""),"Школа Воробьевы горы")</f>
        <v>Школа Воробьевы горы</v>
      </c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>
      <c r="A65" s="65" t="s">
        <v>2567</v>
      </c>
      <c r="B65" s="66" t="s">
        <v>2568</v>
      </c>
      <c r="C65" s="66" t="s">
        <v>2445</v>
      </c>
      <c r="D65" s="67" t="s">
        <v>2446</v>
      </c>
      <c r="E65" s="68" t="str">
        <f>IFERROR(__xludf.DUMMYFUNCTION("""COMPUTED_VALUE"""),"Школа 1533")</f>
        <v>Школа 1533</v>
      </c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>
      <c r="A66" s="65" t="s">
        <v>2569</v>
      </c>
      <c r="B66" s="66" t="s">
        <v>2570</v>
      </c>
      <c r="C66" s="66" t="s">
        <v>2445</v>
      </c>
      <c r="D66" s="67" t="s">
        <v>2446</v>
      </c>
      <c r="E66" s="68" t="str">
        <f>IFERROR(__xludf.DUMMYFUNCTION("""COMPUTED_VALUE"""),"Школа 192")</f>
        <v>Школа 192</v>
      </c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>
      <c r="A67" s="65" t="s">
        <v>2571</v>
      </c>
      <c r="B67" s="66" t="s">
        <v>2572</v>
      </c>
      <c r="C67" s="66" t="s">
        <v>2573</v>
      </c>
      <c r="D67" s="67" t="s">
        <v>2446</v>
      </c>
      <c r="E67" s="68" t="str">
        <f>IFERROR(__xludf.DUMMYFUNCTION("""COMPUTED_VALUE"""),"Школа 1514")</f>
        <v>Школа 1514</v>
      </c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>
      <c r="A68" s="65" t="s">
        <v>2574</v>
      </c>
      <c r="B68" s="66" t="s">
        <v>2575</v>
      </c>
      <c r="C68" s="66" t="s">
        <v>2576</v>
      </c>
      <c r="D68" s="67" t="s">
        <v>2446</v>
      </c>
      <c r="E68" s="68" t="str">
        <f>IFERROR(__xludf.DUMMYFUNCTION("""COMPUTED_VALUE"""),"Школа 109")</f>
        <v>Школа 109</v>
      </c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>
      <c r="A69" s="65" t="s">
        <v>2577</v>
      </c>
      <c r="B69" s="66" t="s">
        <v>2578</v>
      </c>
      <c r="C69" s="66" t="s">
        <v>2576</v>
      </c>
      <c r="D69" s="67" t="s">
        <v>2446</v>
      </c>
      <c r="E69" s="68" t="str">
        <f>IFERROR(__xludf.DUMMYFUNCTION("""COMPUTED_VALUE"""),"Школа 1532")</f>
        <v>Школа 1532</v>
      </c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>
      <c r="A70" s="65" t="s">
        <v>2579</v>
      </c>
      <c r="B70" s="66" t="s">
        <v>2580</v>
      </c>
      <c r="C70" s="66" t="s">
        <v>2449</v>
      </c>
      <c r="D70" s="67" t="s">
        <v>2446</v>
      </c>
      <c r="E70" s="68" t="str">
        <f>IFERROR(__xludf.DUMMYFUNCTION("""COMPUTED_VALUE"""),"Школа 1980")</f>
        <v>Школа 1980</v>
      </c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>
      <c r="A71" s="65" t="s">
        <v>2581</v>
      </c>
      <c r="B71" s="66" t="s">
        <v>2582</v>
      </c>
      <c r="C71" s="66" t="s">
        <v>2583</v>
      </c>
      <c r="D71" s="67" t="s">
        <v>2453</v>
      </c>
      <c r="E71" s="68" t="str">
        <f>IFERROR(__xludf.DUMMYFUNCTION("""COMPUTED_VALUE"""),"Предуниверситарий МИФИ")</f>
        <v>Предуниверситарий МИФИ</v>
      </c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>
      <c r="A72" s="65" t="s">
        <v>2584</v>
      </c>
      <c r="B72" s="66" t="s">
        <v>2585</v>
      </c>
      <c r="C72" s="66" t="s">
        <v>2586</v>
      </c>
      <c r="D72" s="67" t="s">
        <v>2453</v>
      </c>
      <c r="E72" s="68" t="str">
        <f>IFERROR(__xludf.DUMMYFUNCTION("""COMPUTED_VALUE"""),"Школа 1158")</f>
        <v>Школа 1158</v>
      </c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>
      <c r="A73" s="65" t="s">
        <v>2587</v>
      </c>
      <c r="B73" s="66" t="s">
        <v>2588</v>
      </c>
      <c r="C73" s="66" t="s">
        <v>2589</v>
      </c>
      <c r="D73" s="67" t="s">
        <v>2396</v>
      </c>
      <c r="E73" s="68" t="str">
        <f>IFERROR(__xludf.DUMMYFUNCTION("""COMPUTED_VALUE"""),"Школа 1797")</f>
        <v>Школа 1797</v>
      </c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>
      <c r="A74" s="65" t="s">
        <v>2590</v>
      </c>
      <c r="B74" s="66" t="s">
        <v>935</v>
      </c>
      <c r="C74" s="66" t="s">
        <v>2591</v>
      </c>
      <c r="D74" s="67" t="s">
        <v>2396</v>
      </c>
      <c r="E74" s="68" t="str">
        <f>IFERROR(__xludf.DUMMYFUNCTION("""COMPUTED_VALUE"""),"Вешняковская школа")</f>
        <v>Вешняковская школа</v>
      </c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>
      <c r="A75" s="65" t="s">
        <v>2592</v>
      </c>
      <c r="B75" s="66" t="s">
        <v>2593</v>
      </c>
      <c r="C75" s="66" t="s">
        <v>2591</v>
      </c>
      <c r="D75" s="67" t="s">
        <v>2396</v>
      </c>
      <c r="E75" s="68" t="str">
        <f>IFERROR(__xludf.DUMMYFUNCTION("""COMPUTED_VALUE"""),"Школа 1512")</f>
        <v>Школа 1512</v>
      </c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>
      <c r="A76" s="65" t="s">
        <v>2594</v>
      </c>
      <c r="B76" s="66" t="s">
        <v>2595</v>
      </c>
      <c r="C76" s="66" t="s">
        <v>2399</v>
      </c>
      <c r="D76" s="67" t="s">
        <v>2396</v>
      </c>
      <c r="E76" s="68" t="str">
        <f>IFERROR(__xludf.DUMMYFUNCTION("""COMPUTED_VALUE"""),"Школа 1290")</f>
        <v>Школа 1290</v>
      </c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>
      <c r="A77" s="65" t="s">
        <v>2596</v>
      </c>
      <c r="B77" s="66" t="s">
        <v>2597</v>
      </c>
      <c r="C77" s="66" t="s">
        <v>2402</v>
      </c>
      <c r="D77" s="67" t="s">
        <v>2396</v>
      </c>
      <c r="E77" s="68" t="str">
        <f>IFERROR(__xludf.DUMMYFUNCTION("""COMPUTED_VALUE"""),"Школа 2026")</f>
        <v>Школа 2026</v>
      </c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>
      <c r="A78" s="65" t="s">
        <v>2598</v>
      </c>
      <c r="B78" s="66" t="s">
        <v>2599</v>
      </c>
      <c r="C78" s="66" t="s">
        <v>2402</v>
      </c>
      <c r="D78" s="67" t="s">
        <v>2396</v>
      </c>
      <c r="E78" s="68" t="str">
        <f>IFERROR(__xludf.DUMMYFUNCTION("""COMPUTED_VALUE"""),"Школа 2031")</f>
        <v>Школа 2031</v>
      </c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>
      <c r="A79" s="65" t="s">
        <v>2600</v>
      </c>
      <c r="B79" s="66" t="s">
        <v>2601</v>
      </c>
      <c r="C79" s="66" t="s">
        <v>2602</v>
      </c>
      <c r="D79" s="67" t="s">
        <v>2396</v>
      </c>
      <c r="E79" s="68" t="str">
        <f>IFERROR(__xludf.DUMMYFUNCTION("""COMPUTED_VALUE"""),"Школа 1505")</f>
        <v>Школа 1505</v>
      </c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>
      <c r="A80" s="65" t="s">
        <v>2603</v>
      </c>
      <c r="B80" s="66" t="s">
        <v>2604</v>
      </c>
      <c r="C80" s="66" t="s">
        <v>2605</v>
      </c>
      <c r="D80" s="67" t="s">
        <v>2396</v>
      </c>
      <c r="E80" s="68" t="str">
        <f>IFERROR(__xludf.DUMMYFUNCTION("""COMPUTED_VALUE"""),"Школа 1748")</f>
        <v>Школа 1748</v>
      </c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>
      <c r="A81" s="65" t="s">
        <v>2606</v>
      </c>
      <c r="B81" s="66" t="s">
        <v>2607</v>
      </c>
      <c r="C81" s="66" t="s">
        <v>2608</v>
      </c>
      <c r="D81" s="67" t="s">
        <v>2396</v>
      </c>
      <c r="E81" s="68" t="str">
        <f>IFERROR(__xludf.DUMMYFUNCTION("""COMPUTED_VALUE"""),"Школа 1362")</f>
        <v>Школа 1362</v>
      </c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>
      <c r="A82" s="65" t="s">
        <v>2609</v>
      </c>
      <c r="B82" s="66" t="s">
        <v>2610</v>
      </c>
      <c r="C82" s="66" t="s">
        <v>2611</v>
      </c>
      <c r="D82" s="67" t="s">
        <v>2406</v>
      </c>
      <c r="E82" s="68" t="str">
        <f>IFERROR(__xludf.DUMMYFUNCTION("""COMPUTED_VALUE"""),"Школа 1584")</f>
        <v>Школа 1584</v>
      </c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>
      <c r="A83" s="65" t="s">
        <v>2612</v>
      </c>
      <c r="B83" s="66" t="s">
        <v>2613</v>
      </c>
      <c r="C83" s="66" t="s">
        <v>2614</v>
      </c>
      <c r="D83" s="67" t="s">
        <v>2406</v>
      </c>
      <c r="E83" s="68" t="str">
        <f>IFERROR(__xludf.DUMMYFUNCTION("""COMPUTED_VALUE"""),"Школа 1400")</f>
        <v>Школа 1400</v>
      </c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>
      <c r="A84" s="65" t="s">
        <v>2615</v>
      </c>
      <c r="B84" s="66" t="s">
        <v>2616</v>
      </c>
      <c r="C84" s="66" t="s">
        <v>2617</v>
      </c>
      <c r="D84" s="67" t="s">
        <v>2406</v>
      </c>
      <c r="E84" s="68" t="str">
        <f>IFERROR(__xludf.DUMMYFUNCTION("""COMPUTED_VALUE"""),"Школа 1018")</f>
        <v>Школа 1018</v>
      </c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>
      <c r="A85" s="65" t="s">
        <v>2618</v>
      </c>
      <c r="B85" s="66" t="s">
        <v>2619</v>
      </c>
      <c r="C85" s="66" t="s">
        <v>2617</v>
      </c>
      <c r="D85" s="67" t="s">
        <v>2406</v>
      </c>
      <c r="E85" s="68" t="str">
        <f>IFERROR(__xludf.DUMMYFUNCTION("""COMPUTED_VALUE"""),"Школа 1467")</f>
        <v>Школа 1467</v>
      </c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>
      <c r="A86" s="65" t="s">
        <v>2620</v>
      </c>
      <c r="B86" s="66" t="s">
        <v>2621</v>
      </c>
      <c r="C86" s="66" t="s">
        <v>1384</v>
      </c>
      <c r="D86" s="67" t="s">
        <v>2406</v>
      </c>
      <c r="E86" s="68" t="str">
        <f>IFERROR(__xludf.DUMMYFUNCTION("""COMPUTED_VALUE"""),"Школа 814")</f>
        <v>Школа 814</v>
      </c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>
      <c r="A87" s="65" t="s">
        <v>2622</v>
      </c>
      <c r="B87" s="66" t="s">
        <v>2623</v>
      </c>
      <c r="C87" s="66" t="s">
        <v>2476</v>
      </c>
      <c r="D87" s="67" t="s">
        <v>2406</v>
      </c>
      <c r="E87" s="68" t="str">
        <f>IFERROR(__xludf.DUMMYFUNCTION("""COMPUTED_VALUE"""),"Школа 1000")</f>
        <v>Школа 1000</v>
      </c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>
      <c r="A88" s="65" t="s">
        <v>2624</v>
      </c>
      <c r="B88" s="66" t="s">
        <v>97</v>
      </c>
      <c r="C88" s="66" t="s">
        <v>2483</v>
      </c>
      <c r="D88" s="67" t="s">
        <v>2406</v>
      </c>
      <c r="E88" s="68" t="str">
        <f>IFERROR(__xludf.DUMMYFUNCTION("""COMPUTED_VALUE"""),"Школа Интеграл")</f>
        <v>Школа Интеграл</v>
      </c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>
      <c r="A89" s="65" t="s">
        <v>2625</v>
      </c>
      <c r="B89" s="66" t="s">
        <v>100</v>
      </c>
      <c r="C89" s="66" t="s">
        <v>2626</v>
      </c>
      <c r="D89" s="67" t="s">
        <v>2406</v>
      </c>
      <c r="E89" s="68" t="str">
        <f>IFERROR(__xludf.DUMMYFUNCTION("""COMPUTED_VALUE"""),"Школа Интеллектуал")</f>
        <v>Школа Интеллектуал</v>
      </c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>
      <c r="A90" s="65" t="s">
        <v>2627</v>
      </c>
      <c r="B90" s="66" t="s">
        <v>2628</v>
      </c>
      <c r="C90" s="66" t="s">
        <v>2626</v>
      </c>
      <c r="D90" s="67" t="s">
        <v>2406</v>
      </c>
      <c r="E90" s="68" t="str">
        <f>IFERROR(__xludf.DUMMYFUNCTION("""COMPUTED_VALUE"""),"Школа 1589")</f>
        <v>Школа 1589</v>
      </c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>
      <c r="A91" s="65" t="s">
        <v>2629</v>
      </c>
      <c r="B91" s="66" t="s">
        <v>2630</v>
      </c>
      <c r="C91" s="66" t="s">
        <v>2626</v>
      </c>
      <c r="D91" s="67" t="s">
        <v>2406</v>
      </c>
      <c r="E91" s="68" t="str">
        <f>IFERROR(__xludf.DUMMYFUNCTION("""COMPUTED_VALUE"""),"Школа 2101")</f>
        <v>Школа 2101</v>
      </c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>
      <c r="A92" s="65" t="s">
        <v>2631</v>
      </c>
      <c r="B92" s="66" t="s">
        <v>2632</v>
      </c>
      <c r="C92" s="66" t="s">
        <v>2486</v>
      </c>
      <c r="D92" s="67" t="s">
        <v>2487</v>
      </c>
      <c r="E92" s="68" t="str">
        <f>IFERROR(__xludf.DUMMYFUNCTION("""COMPUTED_VALUE"""),"Школа 1150")</f>
        <v>Школа 1150</v>
      </c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>
      <c r="A93" s="65" t="s">
        <v>2633</v>
      </c>
      <c r="B93" s="66" t="s">
        <v>2634</v>
      </c>
      <c r="C93" s="66" t="s">
        <v>2486</v>
      </c>
      <c r="D93" s="67" t="s">
        <v>2487</v>
      </c>
      <c r="E93" s="68" t="str">
        <f>IFERROR(__xludf.DUMMYFUNCTION("""COMPUTED_VALUE"""),"Школа 1151")</f>
        <v>Школа 1151</v>
      </c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>
      <c r="A94" s="65" t="s">
        <v>2635</v>
      </c>
      <c r="B94" s="66" t="s">
        <v>2636</v>
      </c>
      <c r="C94" s="66" t="s">
        <v>2637</v>
      </c>
      <c r="D94" s="67" t="s">
        <v>2410</v>
      </c>
      <c r="E94" s="68" t="str">
        <f>IFERROR(__xludf.DUMMYFUNCTION("""COMPUTED_VALUE"""),"Школа 2065")</f>
        <v>Школа 2065</v>
      </c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>
      <c r="A95" s="65" t="s">
        <v>2638</v>
      </c>
      <c r="B95" s="66" t="s">
        <v>2639</v>
      </c>
      <c r="C95" s="66" t="s">
        <v>2496</v>
      </c>
      <c r="D95" s="67" t="s">
        <v>2497</v>
      </c>
      <c r="E95" s="68" t="str">
        <f>IFERROR(__xludf.DUMMYFUNCTION("""COMPUTED_VALUE"""),"ИТШ им. П. Р. Поповича")</f>
        <v>ИТШ им. П. Р. Поповича</v>
      </c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>
      <c r="A96" s="65" t="s">
        <v>2640</v>
      </c>
      <c r="B96" s="66" t="s">
        <v>2641</v>
      </c>
      <c r="C96" s="66" t="s">
        <v>2496</v>
      </c>
      <c r="D96" s="67" t="s">
        <v>2497</v>
      </c>
      <c r="E96" s="68" t="str">
        <f>IFERROR(__xludf.DUMMYFUNCTION("""COMPUTED_VALUE"""),"Школа 2")</f>
        <v>Школа 2</v>
      </c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>
      <c r="A97" s="65" t="s">
        <v>2642</v>
      </c>
      <c r="B97" s="66" t="s">
        <v>2643</v>
      </c>
      <c r="C97" s="66" t="s">
        <v>2644</v>
      </c>
      <c r="D97" s="67" t="s">
        <v>2497</v>
      </c>
      <c r="E97" s="68" t="str">
        <f>IFERROR(__xludf.DUMMYFUNCTION("""COMPUTED_VALUE"""),"Школа 1570")</f>
        <v>Школа 1570</v>
      </c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>
      <c r="A98" s="65" t="s">
        <v>2645</v>
      </c>
      <c r="B98" s="66" t="s">
        <v>2646</v>
      </c>
      <c r="C98" s="66" t="s">
        <v>2647</v>
      </c>
      <c r="D98" s="67" t="s">
        <v>2497</v>
      </c>
      <c r="E98" s="68" t="str">
        <f>IFERROR(__xludf.DUMMYFUNCTION("""COMPUTED_VALUE"""),"Школа 224")</f>
        <v>Школа 224</v>
      </c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>
      <c r="A99" s="65" t="s">
        <v>2648</v>
      </c>
      <c r="B99" s="66" t="s">
        <v>2649</v>
      </c>
      <c r="C99" s="66" t="s">
        <v>2650</v>
      </c>
      <c r="D99" s="67" t="s">
        <v>2497</v>
      </c>
      <c r="E99" s="68" t="str">
        <f>IFERROR(__xludf.DUMMYFUNCTION("""COMPUTED_VALUE"""),"Школа Дмитровский им. В. П. Кислякова")</f>
        <v>Школа Дмитровский им. В. П. Кислякова</v>
      </c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>
      <c r="A100" s="65" t="s">
        <v>2651</v>
      </c>
      <c r="B100" s="66" t="s">
        <v>2652</v>
      </c>
      <c r="C100" s="66" t="s">
        <v>2653</v>
      </c>
      <c r="D100" s="67" t="s">
        <v>2497</v>
      </c>
      <c r="E100" s="68" t="str">
        <f>IFERROR(__xludf.DUMMYFUNCTION("""COMPUTED_VALUE"""),"Школа 1576")</f>
        <v>Школа 1576</v>
      </c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>
      <c r="A101" s="65" t="s">
        <v>2654</v>
      </c>
      <c r="B101" s="66" t="s">
        <v>2655</v>
      </c>
      <c r="C101" s="66" t="s">
        <v>2653</v>
      </c>
      <c r="D101" s="67" t="s">
        <v>2497</v>
      </c>
      <c r="E101" s="68" t="str">
        <f>IFERROR(__xludf.DUMMYFUNCTION("""COMPUTED_VALUE"""),"Школа 185")</f>
        <v>Школа 185</v>
      </c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>
      <c r="A102" s="65" t="s">
        <v>2656</v>
      </c>
      <c r="B102" s="66" t="s">
        <v>2657</v>
      </c>
      <c r="C102" s="66" t="s">
        <v>2511</v>
      </c>
      <c r="D102" s="67" t="s">
        <v>2497</v>
      </c>
      <c r="E102" s="68" t="str">
        <f>IFERROR(__xludf.DUMMYFUNCTION("""COMPUTED_VALUE"""),"Школа 1590")</f>
        <v>Школа 1590</v>
      </c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>
      <c r="A103" s="65" t="s">
        <v>2658</v>
      </c>
      <c r="B103" s="66" t="s">
        <v>2659</v>
      </c>
      <c r="C103" s="66" t="s">
        <v>2511</v>
      </c>
      <c r="D103" s="67" t="s">
        <v>2497</v>
      </c>
      <c r="E103" s="68" t="str">
        <f>IFERROR(__xludf.DUMMYFUNCTION("""COMPUTED_VALUE"""),"Школа 597")</f>
        <v>Школа 597</v>
      </c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>
      <c r="A104" s="65" t="s">
        <v>2660</v>
      </c>
      <c r="B104" s="66" t="s">
        <v>2661</v>
      </c>
      <c r="C104" s="66" t="s">
        <v>2511</v>
      </c>
      <c r="D104" s="67" t="s">
        <v>2497</v>
      </c>
      <c r="E104" s="68" t="str">
        <f>IFERROR(__xludf.DUMMYFUNCTION("""COMPUTED_VALUE"""),"Школа 648")</f>
        <v>Школа 648</v>
      </c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>
      <c r="A105" s="65" t="s">
        <v>2662</v>
      </c>
      <c r="B105" s="66" t="s">
        <v>2663</v>
      </c>
      <c r="C105" s="66" t="s">
        <v>2514</v>
      </c>
      <c r="D105" s="67" t="s">
        <v>2497</v>
      </c>
      <c r="E105" s="68" t="str">
        <f>IFERROR(__xludf.DUMMYFUNCTION("""COMPUTED_VALUE"""),"Школа 1287")</f>
        <v>Школа 1287</v>
      </c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>
      <c r="A106" s="65" t="s">
        <v>2664</v>
      </c>
      <c r="B106" s="66" t="s">
        <v>2665</v>
      </c>
      <c r="C106" s="66" t="s">
        <v>2514</v>
      </c>
      <c r="D106" s="67" t="s">
        <v>2497</v>
      </c>
      <c r="E106" s="68" t="str">
        <f>IFERROR(__xludf.DUMMYFUNCTION("""COMPUTED_VALUE"""),"Школа 1288")</f>
        <v>Школа 1288</v>
      </c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>
      <c r="A107" s="65" t="s">
        <v>2666</v>
      </c>
      <c r="B107" s="66" t="s">
        <v>2667</v>
      </c>
      <c r="C107" s="66" t="s">
        <v>2514</v>
      </c>
      <c r="D107" s="67" t="s">
        <v>2497</v>
      </c>
      <c r="E107" s="68" t="str">
        <f>IFERROR(__xludf.DUMMYFUNCTION("""COMPUTED_VALUE"""),"Школа 1409")</f>
        <v>Школа 1409</v>
      </c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>
      <c r="A108" s="65" t="s">
        <v>2668</v>
      </c>
      <c r="B108" s="66" t="s">
        <v>2669</v>
      </c>
      <c r="C108" s="66" t="s">
        <v>2670</v>
      </c>
      <c r="D108" s="67" t="s">
        <v>2416</v>
      </c>
      <c r="E108" s="68" t="str">
        <f>IFERROR(__xludf.DUMMYFUNCTION("""COMPUTED_VALUE"""),"Школа 1539")</f>
        <v>Школа 1539</v>
      </c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>
      <c r="A109" s="65" t="s">
        <v>2671</v>
      </c>
      <c r="B109" s="66" t="s">
        <v>2672</v>
      </c>
      <c r="C109" s="66" t="s">
        <v>2670</v>
      </c>
      <c r="D109" s="67" t="s">
        <v>2416</v>
      </c>
      <c r="E109" s="68" t="str">
        <f>IFERROR(__xludf.DUMMYFUNCTION("""COMPUTED_VALUE"""),"Школа 1")</f>
        <v>Школа 1</v>
      </c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>
      <c r="A110" s="65" t="s">
        <v>2673</v>
      </c>
      <c r="B110" s="66" t="s">
        <v>2674</v>
      </c>
      <c r="C110" s="66" t="s">
        <v>2675</v>
      </c>
      <c r="D110" s="67" t="s">
        <v>2416</v>
      </c>
      <c r="E110" s="68" t="str">
        <f>IFERROR(__xludf.DUMMYFUNCTION("""COMPUTED_VALUE"""),"Школа Глория")</f>
        <v>Школа Глория</v>
      </c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>
      <c r="A111" s="65" t="s">
        <v>2676</v>
      </c>
      <c r="B111" s="66" t="s">
        <v>2677</v>
      </c>
      <c r="C111" s="66" t="s">
        <v>2522</v>
      </c>
      <c r="D111" s="67" t="s">
        <v>2416</v>
      </c>
      <c r="E111" s="68" t="str">
        <f>IFERROR(__xludf.DUMMYFUNCTION("""COMPUTED_VALUE"""),"Школа 1430")</f>
        <v>Школа 1430</v>
      </c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>
      <c r="A112" s="65" t="s">
        <v>2678</v>
      </c>
      <c r="B112" s="66" t="s">
        <v>2679</v>
      </c>
      <c r="C112" s="66" t="s">
        <v>2522</v>
      </c>
      <c r="D112" s="67" t="s">
        <v>2416</v>
      </c>
      <c r="E112" s="68" t="str">
        <f>IFERROR(__xludf.DUMMYFUNCTION("""COMPUTED_VALUE"""),"Школа 1573")</f>
        <v>Школа 1573</v>
      </c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>
      <c r="A113" s="65" t="s">
        <v>2680</v>
      </c>
      <c r="B113" s="66" t="s">
        <v>2681</v>
      </c>
      <c r="C113" s="66" t="s">
        <v>2682</v>
      </c>
      <c r="D113" s="67" t="s">
        <v>2416</v>
      </c>
      <c r="E113" s="68" t="str">
        <f>IFERROR(__xludf.DUMMYFUNCTION("""COMPUTED_VALUE"""),"Школа 1955")</f>
        <v>Школа 1955</v>
      </c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>
      <c r="A114" s="65" t="s">
        <v>2683</v>
      </c>
      <c r="B114" s="66" t="s">
        <v>2684</v>
      </c>
      <c r="C114" s="66" t="s">
        <v>2685</v>
      </c>
      <c r="D114" s="67" t="s">
        <v>2416</v>
      </c>
      <c r="E114" s="68" t="str">
        <f>IFERROR(__xludf.DUMMYFUNCTION("""COMPUTED_VALUE"""),"Школа 1411")</f>
        <v>Школа 1411</v>
      </c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>
      <c r="A115" s="65" t="s">
        <v>2686</v>
      </c>
      <c r="B115" s="66" t="s">
        <v>130</v>
      </c>
      <c r="C115" s="66" t="s">
        <v>2687</v>
      </c>
      <c r="D115" s="67" t="s">
        <v>2416</v>
      </c>
      <c r="E115" s="68" t="str">
        <f>IFERROR(__xludf.DUMMYFUNCTION("""COMPUTED_VALUE"""),"Школа Свиблово")</f>
        <v>Школа Свиблово</v>
      </c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>
      <c r="A116" s="65" t="s">
        <v>2688</v>
      </c>
      <c r="B116" s="66" t="s">
        <v>2689</v>
      </c>
      <c r="C116" s="66" t="s">
        <v>2690</v>
      </c>
      <c r="D116" s="67" t="s">
        <v>2416</v>
      </c>
      <c r="E116" s="68" t="str">
        <f>IFERROR(__xludf.DUMMYFUNCTION("""COMPUTED_VALUE"""),"Школа 1506")</f>
        <v>Школа 1506</v>
      </c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>
      <c r="A117" s="65" t="s">
        <v>2691</v>
      </c>
      <c r="B117" s="66" t="s">
        <v>2692</v>
      </c>
      <c r="C117" s="66" t="s">
        <v>2497</v>
      </c>
      <c r="D117" s="67" t="s">
        <v>2416</v>
      </c>
      <c r="E117" s="68" t="str">
        <f>IFERROR(__xludf.DUMMYFUNCTION("""COMPUTED_VALUE"""),"Школа 2044")</f>
        <v>Школа 2044</v>
      </c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>
      <c r="A118" s="65" t="s">
        <v>2693</v>
      </c>
      <c r="B118" s="66" t="s">
        <v>2694</v>
      </c>
      <c r="C118" s="66" t="s">
        <v>2497</v>
      </c>
      <c r="D118" s="67" t="s">
        <v>2416</v>
      </c>
      <c r="E118" s="68" t="str">
        <f>IFERROR(__xludf.DUMMYFUNCTION("""COMPUTED_VALUE"""),"Школа 709")</f>
        <v>Школа 709</v>
      </c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>
      <c r="A119" s="65" t="s">
        <v>2695</v>
      </c>
      <c r="B119" s="66" t="s">
        <v>2696</v>
      </c>
      <c r="C119" s="66" t="s">
        <v>2534</v>
      </c>
      <c r="D119" s="67" t="s">
        <v>2419</v>
      </c>
      <c r="E119" s="68" t="str">
        <f>IFERROR(__xludf.DUMMYFUNCTION("""COMPUTED_VALUE"""),"Школа 2005")</f>
        <v>Школа 2005</v>
      </c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>
      <c r="A120" s="65" t="s">
        <v>2697</v>
      </c>
      <c r="B120" s="66" t="s">
        <v>2698</v>
      </c>
      <c r="C120" s="66" t="s">
        <v>2537</v>
      </c>
      <c r="D120" s="67" t="s">
        <v>2419</v>
      </c>
      <c r="E120" s="68" t="str">
        <f>IFERROR(__xludf.DUMMYFUNCTION("""COMPUTED_VALUE"""),"Школа 1564")</f>
        <v>Школа 1564</v>
      </c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>
      <c r="A121" s="65" t="s">
        <v>2699</v>
      </c>
      <c r="B121" s="66" t="s">
        <v>2700</v>
      </c>
      <c r="C121" s="66" t="s">
        <v>2537</v>
      </c>
      <c r="D121" s="67" t="s">
        <v>2419</v>
      </c>
      <c r="E121" s="68" t="str">
        <f>IFERROR(__xludf.DUMMYFUNCTION("""COMPUTED_VALUE"""),"Школа 1944")</f>
        <v>Школа 1944</v>
      </c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>
      <c r="A122" s="65" t="s">
        <v>2701</v>
      </c>
      <c r="B122" s="66" t="s">
        <v>2702</v>
      </c>
      <c r="C122" s="66" t="s">
        <v>2540</v>
      </c>
      <c r="D122" s="67" t="s">
        <v>2419</v>
      </c>
      <c r="E122" s="68" t="str">
        <f>IFERROR(__xludf.DUMMYFUNCTION("""COMPUTED_VALUE"""),"Школа 827")</f>
        <v>Школа 827</v>
      </c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>
      <c r="A123" s="65" t="s">
        <v>2703</v>
      </c>
      <c r="B123" s="66" t="s">
        <v>2704</v>
      </c>
      <c r="C123" s="66" t="s">
        <v>2705</v>
      </c>
      <c r="D123" s="67" t="s">
        <v>2419</v>
      </c>
      <c r="E123" s="68" t="str">
        <f>IFERROR(__xludf.DUMMYFUNCTION("""COMPUTED_VALUE"""),"Школа 58")</f>
        <v>Школа 58</v>
      </c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>
      <c r="A124" s="65" t="s">
        <v>2706</v>
      </c>
      <c r="B124" s="66" t="s">
        <v>2707</v>
      </c>
      <c r="C124" s="66" t="s">
        <v>2543</v>
      </c>
      <c r="D124" s="67" t="s">
        <v>2419</v>
      </c>
      <c r="E124" s="68" t="str">
        <f>IFERROR(__xludf.DUMMYFUNCTION("""COMPUTED_VALUE"""),"Хорошевская школа")</f>
        <v>Хорошевская школа</v>
      </c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>
      <c r="A125" s="65" t="s">
        <v>2708</v>
      </c>
      <c r="B125" s="66" t="s">
        <v>2709</v>
      </c>
      <c r="C125" s="66" t="s">
        <v>2710</v>
      </c>
      <c r="D125" s="67" t="s">
        <v>2419</v>
      </c>
      <c r="E125" s="68" t="str">
        <f>IFERROR(__xludf.DUMMYFUNCTION("""COMPUTED_VALUE"""),"Школа 2097")</f>
        <v>Школа 2097</v>
      </c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>
      <c r="A126" s="65" t="s">
        <v>2711</v>
      </c>
      <c r="B126" s="66" t="s">
        <v>2712</v>
      </c>
      <c r="C126" s="66" t="s">
        <v>2713</v>
      </c>
      <c r="D126" s="67" t="s">
        <v>2422</v>
      </c>
      <c r="E126" s="68" t="str">
        <f>IFERROR(__xludf.DUMMYFUNCTION("""COMPUTED_VALUE"""),"Школа 1234")</f>
        <v>Школа 1234</v>
      </c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>
      <c r="A127" s="65" t="s">
        <v>2714</v>
      </c>
      <c r="B127" s="66" t="s">
        <v>2715</v>
      </c>
      <c r="C127" s="66" t="s">
        <v>2716</v>
      </c>
      <c r="D127" s="67" t="s">
        <v>2422</v>
      </c>
      <c r="E127" s="68" t="str">
        <f>IFERROR(__xludf.DUMMYFUNCTION("""COMPUTED_VALUE"""),"Школа 627")</f>
        <v>Школа 627</v>
      </c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>
      <c r="A128" s="65" t="s">
        <v>2717</v>
      </c>
      <c r="B128" s="66" t="s">
        <v>2718</v>
      </c>
      <c r="C128" s="66" t="s">
        <v>2435</v>
      </c>
      <c r="D128" s="67" t="s">
        <v>2422</v>
      </c>
      <c r="E128" s="68" t="str">
        <f>IFERROR(__xludf.DUMMYFUNCTION("""COMPUTED_VALUE"""),"Школа 2054")</f>
        <v>Школа 2054</v>
      </c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>
      <c r="A129" s="65" t="s">
        <v>2719</v>
      </c>
      <c r="B129" s="66" t="s">
        <v>76</v>
      </c>
      <c r="C129" s="66" t="s">
        <v>2549</v>
      </c>
      <c r="D129" s="67" t="s">
        <v>2422</v>
      </c>
      <c r="E129" s="68" t="str">
        <f>IFERROR(__xludf.DUMMYFUNCTION("""COMPUTED_VALUE"""),"Романовская школа")</f>
        <v>Романовская школа</v>
      </c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>
      <c r="A130" s="65" t="s">
        <v>2720</v>
      </c>
      <c r="B130" s="66" t="s">
        <v>2721</v>
      </c>
      <c r="C130" s="66" t="s">
        <v>2549</v>
      </c>
      <c r="D130" s="67" t="s">
        <v>2422</v>
      </c>
      <c r="E130" s="68" t="str">
        <f>IFERROR(__xludf.DUMMYFUNCTION("""COMPUTED_VALUE"""),"Школа 1520")</f>
        <v>Школа 1520</v>
      </c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>
      <c r="A131" s="65" t="s">
        <v>2722</v>
      </c>
      <c r="B131" s="66" t="s">
        <v>2723</v>
      </c>
      <c r="C131" s="66" t="s">
        <v>2549</v>
      </c>
      <c r="D131" s="67" t="s">
        <v>2422</v>
      </c>
      <c r="E131" s="68" t="str">
        <f>IFERROR(__xludf.DUMMYFUNCTION("""COMPUTED_VALUE"""),"Школа 1950")</f>
        <v>Школа 1950</v>
      </c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>
      <c r="A132" s="65" t="s">
        <v>2724</v>
      </c>
      <c r="B132" s="66" t="s">
        <v>2725</v>
      </c>
      <c r="C132" s="66" t="s">
        <v>2726</v>
      </c>
      <c r="D132" s="67" t="s">
        <v>2422</v>
      </c>
      <c r="E132" s="68" t="str">
        <f>IFERROR(__xludf.DUMMYFUNCTION("""COMPUTED_VALUE"""),"Школа 1581")</f>
        <v>Школа 1581</v>
      </c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>
      <c r="A133" s="65" t="s">
        <v>2727</v>
      </c>
      <c r="B133" s="66" t="s">
        <v>2728</v>
      </c>
      <c r="C133" s="66" t="s">
        <v>2726</v>
      </c>
      <c r="D133" s="67" t="s">
        <v>2422</v>
      </c>
      <c r="E133" s="68" t="str">
        <f>IFERROR(__xludf.DUMMYFUNCTION("""COMPUTED_VALUE"""),"Школа 498")</f>
        <v>Школа 498</v>
      </c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>
      <c r="A134" s="65" t="s">
        <v>2729</v>
      </c>
      <c r="B134" s="66" t="s">
        <v>2730</v>
      </c>
      <c r="C134" s="66" t="s">
        <v>2425</v>
      </c>
      <c r="D134" s="67" t="s">
        <v>2422</v>
      </c>
      <c r="E134" s="68" t="str">
        <f>IFERROR(__xludf.DUMMYFUNCTION("""COMPUTED_VALUE"""),"Школа 1574")</f>
        <v>Школа 1574</v>
      </c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>
      <c r="A135" s="65" t="s">
        <v>2731</v>
      </c>
      <c r="B135" s="66" t="s">
        <v>2732</v>
      </c>
      <c r="C135" s="66" t="s">
        <v>2430</v>
      </c>
      <c r="D135" s="67" t="s">
        <v>2422</v>
      </c>
      <c r="E135" s="68" t="str">
        <f>IFERROR(__xludf.DUMMYFUNCTION("""COMPUTED_VALUE"""),"Школа 1253")</f>
        <v>Школа 1253</v>
      </c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>
      <c r="A136" s="65" t="s">
        <v>2733</v>
      </c>
      <c r="B136" s="66" t="s">
        <v>2734</v>
      </c>
      <c r="C136" s="66" t="s">
        <v>2430</v>
      </c>
      <c r="D136" s="67" t="s">
        <v>2422</v>
      </c>
      <c r="E136" s="68" t="str">
        <f>IFERROR(__xludf.DUMMYFUNCTION("""COMPUTED_VALUE"""),"Медицинский Сеченовский Предуниверсарий")</f>
        <v>Медицинский Сеченовский Предуниверсарий</v>
      </c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>
      <c r="A137" s="65" t="s">
        <v>2735</v>
      </c>
      <c r="B137" s="66" t="s">
        <v>2736</v>
      </c>
      <c r="C137" s="66" t="s">
        <v>2737</v>
      </c>
      <c r="D137" s="67" t="s">
        <v>2422</v>
      </c>
      <c r="E137" s="68" t="str">
        <f>IFERROR(__xludf.DUMMYFUNCTION("""COMPUTED_VALUE"""),"Школа 1799")</f>
        <v>Школа 1799</v>
      </c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>
      <c r="A138" s="65" t="s">
        <v>2738</v>
      </c>
      <c r="B138" s="66" t="s">
        <v>2739</v>
      </c>
      <c r="C138" s="66" t="s">
        <v>2438</v>
      </c>
      <c r="D138" s="67" t="s">
        <v>2439</v>
      </c>
      <c r="E138" s="68" t="str">
        <f>IFERROR(__xludf.DUMMYFUNCTION("""COMPUTED_VALUE"""),"Школа 1420")</f>
        <v>Школа 1420</v>
      </c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>
      <c r="A139" s="65" t="s">
        <v>2740</v>
      </c>
      <c r="B139" s="66" t="s">
        <v>2741</v>
      </c>
      <c r="C139" s="66" t="s">
        <v>2438</v>
      </c>
      <c r="D139" s="67" t="s">
        <v>2439</v>
      </c>
      <c r="E139" s="68" t="str">
        <f>IFERROR(__xludf.DUMMYFUNCTION("""COMPUTED_VALUE"""),"Школа 1793")</f>
        <v>Школа 1793</v>
      </c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>
      <c r="A140" s="65" t="s">
        <v>2742</v>
      </c>
      <c r="B140" s="66" t="s">
        <v>2743</v>
      </c>
      <c r="C140" s="66" t="s">
        <v>2442</v>
      </c>
      <c r="D140" s="67" t="s">
        <v>2439</v>
      </c>
      <c r="E140" s="68" t="str">
        <f>IFERROR(__xludf.DUMMYFUNCTION("""COMPUTED_VALUE"""),"Школа 1208")</f>
        <v>Школа 1208</v>
      </c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>
      <c r="A141" s="65" t="s">
        <v>2744</v>
      </c>
      <c r="B141" s="66" t="s">
        <v>2745</v>
      </c>
      <c r="C141" s="66" t="s">
        <v>2558</v>
      </c>
      <c r="D141" s="67" t="s">
        <v>2439</v>
      </c>
      <c r="E141" s="68" t="str">
        <f>IFERROR(__xludf.DUMMYFUNCTION("""COMPUTED_VALUE"""),"Школа 1566")</f>
        <v>Школа 1566</v>
      </c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>
      <c r="A142" s="65" t="s">
        <v>2746</v>
      </c>
      <c r="B142" s="66" t="s">
        <v>2747</v>
      </c>
      <c r="C142" s="66" t="s">
        <v>2558</v>
      </c>
      <c r="D142" s="67" t="s">
        <v>2439</v>
      </c>
      <c r="E142" s="68" t="str">
        <f>IFERROR(__xludf.DUMMYFUNCTION("""COMPUTED_VALUE"""),"Школа Марьино им. А. Е. Голованова")</f>
        <v>Школа Марьино им. А. Е. Голованова</v>
      </c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>
      <c r="A143" s="65" t="s">
        <v>2748</v>
      </c>
      <c r="B143" s="66" t="s">
        <v>2749</v>
      </c>
      <c r="C143" s="66" t="s">
        <v>2558</v>
      </c>
      <c r="D143" s="67" t="s">
        <v>2439</v>
      </c>
      <c r="E143" s="68" t="str">
        <f>IFERROR(__xludf.DUMMYFUNCTION("""COMPUTED_VALUE"""),"Школа им. Артема Боровика")</f>
        <v>Школа им. Артема Боровика</v>
      </c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65" t="s">
        <v>2750</v>
      </c>
      <c r="B144" s="66" t="s">
        <v>2751</v>
      </c>
      <c r="C144" s="66" t="s">
        <v>2558</v>
      </c>
      <c r="D144" s="67" t="s">
        <v>2439</v>
      </c>
      <c r="E144" s="68" t="str">
        <f>IFERROR(__xludf.DUMMYFUNCTION("""COMPUTED_VALUE"""),"Школа 1357")</f>
        <v>Школа 1357</v>
      </c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>
      <c r="A145" s="65" t="s">
        <v>2752</v>
      </c>
      <c r="B145" s="66" t="s">
        <v>2753</v>
      </c>
      <c r="C145" s="66" t="s">
        <v>2558</v>
      </c>
      <c r="D145" s="67" t="s">
        <v>2439</v>
      </c>
      <c r="E145" s="68" t="str">
        <f>IFERROR(__xludf.DUMMYFUNCTION("""COMPUTED_VALUE"""),"Школа 2087")</f>
        <v>Школа 2087</v>
      </c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>
      <c r="A146" s="65" t="s">
        <v>2754</v>
      </c>
      <c r="B146" s="66" t="s">
        <v>2755</v>
      </c>
      <c r="C146" s="66" t="s">
        <v>2558</v>
      </c>
      <c r="D146" s="67" t="s">
        <v>2439</v>
      </c>
      <c r="E146" s="68" t="str">
        <f>IFERROR(__xludf.DUMMYFUNCTION("""COMPUTED_VALUE"""),"Школа 491")</f>
        <v>Школа 491</v>
      </c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>
      <c r="A147" s="65" t="s">
        <v>2756</v>
      </c>
      <c r="B147" s="66" t="s">
        <v>1269</v>
      </c>
      <c r="C147" s="66" t="s">
        <v>2561</v>
      </c>
      <c r="D147" s="67" t="s">
        <v>2439</v>
      </c>
      <c r="E147" s="68" t="str">
        <f>IFERROR(__xludf.DUMMYFUNCTION("""COMPUTED_VALUE"""),"Школа в Некрасовке")</f>
        <v>Школа в Некрасовке</v>
      </c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>
      <c r="A148" s="65" t="s">
        <v>2757</v>
      </c>
      <c r="B148" s="66" t="s">
        <v>2758</v>
      </c>
      <c r="C148" s="66" t="s">
        <v>2561</v>
      </c>
      <c r="D148" s="67" t="s">
        <v>2439</v>
      </c>
      <c r="E148" s="68" t="str">
        <f>IFERROR(__xludf.DUMMYFUNCTION("""COMPUTED_VALUE"""),"Школа 2051")</f>
        <v>Школа 2051</v>
      </c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>
      <c r="A149" s="65" t="s">
        <v>2759</v>
      </c>
      <c r="B149" s="66" t="s">
        <v>2760</v>
      </c>
      <c r="C149" s="66" t="s">
        <v>2761</v>
      </c>
      <c r="D149" s="67" t="s">
        <v>2439</v>
      </c>
      <c r="E149" s="68" t="str">
        <f>IFERROR(__xludf.DUMMYFUNCTION("""COMPUTED_VALUE"""),"Школа 1367")</f>
        <v>Школа 1367</v>
      </c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>
      <c r="A150" s="65" t="s">
        <v>2762</v>
      </c>
      <c r="B150" s="66" t="s">
        <v>2763</v>
      </c>
      <c r="C150" s="66" t="s">
        <v>2761</v>
      </c>
      <c r="D150" s="67" t="s">
        <v>2439</v>
      </c>
      <c r="E150" s="68" t="str">
        <f>IFERROR(__xludf.DUMMYFUNCTION("""COMPUTED_VALUE"""),"Школа 777")</f>
        <v>Школа 777</v>
      </c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>
      <c r="A151" s="65" t="s">
        <v>2764</v>
      </c>
      <c r="B151" s="66" t="s">
        <v>2765</v>
      </c>
      <c r="C151" s="66" t="s">
        <v>2766</v>
      </c>
      <c r="D151" s="67" t="s">
        <v>2439</v>
      </c>
      <c r="E151" s="68" t="str">
        <f>IFERROR(__xludf.DUMMYFUNCTION("""COMPUTED_VALUE"""),"Школа 654")</f>
        <v>Школа 654</v>
      </c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>
      <c r="A152" s="65" t="s">
        <v>2767</v>
      </c>
      <c r="B152" s="66" t="s">
        <v>2768</v>
      </c>
      <c r="C152" s="66" t="s">
        <v>2564</v>
      </c>
      <c r="D152" s="67" t="s">
        <v>2446</v>
      </c>
      <c r="E152" s="68" t="str">
        <f>IFERROR(__xludf.DUMMYFUNCTION("""COMPUTED_VALUE"""),"Школа 199")</f>
        <v>Школа 199</v>
      </c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>
      <c r="A153" s="65" t="s">
        <v>2769</v>
      </c>
      <c r="B153" s="66" t="s">
        <v>2770</v>
      </c>
      <c r="C153" s="66" t="s">
        <v>2564</v>
      </c>
      <c r="D153" s="67" t="s">
        <v>2446</v>
      </c>
      <c r="E153" s="68" t="str">
        <f>IFERROR(__xludf.DUMMYFUNCTION("""COMPUTED_VALUE"""),"Школа 625")</f>
        <v>Школа 625</v>
      </c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>
      <c r="A154" s="65" t="s">
        <v>2771</v>
      </c>
      <c r="B154" s="66" t="s">
        <v>2772</v>
      </c>
      <c r="C154" s="66" t="s">
        <v>2445</v>
      </c>
      <c r="D154" s="67" t="s">
        <v>2446</v>
      </c>
      <c r="E154" s="68" t="str">
        <f>IFERROR(__xludf.DUMMYFUNCTION("""COMPUTED_VALUE"""),"Школа 2086")</f>
        <v>Школа 2086</v>
      </c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>
      <c r="A155" s="65" t="s">
        <v>2773</v>
      </c>
      <c r="B155" s="66" t="s">
        <v>2774</v>
      </c>
      <c r="C155" s="66" t="s">
        <v>2775</v>
      </c>
      <c r="D155" s="67" t="s">
        <v>2446</v>
      </c>
      <c r="E155" s="68" t="str">
        <f>IFERROR(__xludf.DUMMYFUNCTION("""COMPUTED_VALUE"""),"Школа 17")</f>
        <v>Школа 17</v>
      </c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>
      <c r="A156" s="65" t="s">
        <v>2776</v>
      </c>
      <c r="B156" s="66" t="s">
        <v>2777</v>
      </c>
      <c r="C156" s="66" t="s">
        <v>2573</v>
      </c>
      <c r="D156" s="67" t="s">
        <v>2446</v>
      </c>
      <c r="E156" s="68" t="str">
        <f>IFERROR(__xludf.DUMMYFUNCTION("""COMPUTED_VALUE"""),"Школа 117")</f>
        <v>Школа 117</v>
      </c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>
      <c r="A157" s="65" t="s">
        <v>2778</v>
      </c>
      <c r="B157" s="66" t="s">
        <v>2779</v>
      </c>
      <c r="C157" s="66" t="s">
        <v>2573</v>
      </c>
      <c r="D157" s="67" t="s">
        <v>2446</v>
      </c>
      <c r="E157" s="68" t="str">
        <f>IFERROR(__xludf.DUMMYFUNCTION("""COMPUTED_VALUE"""),"Школа 118")</f>
        <v>Школа 118</v>
      </c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>
      <c r="A158" s="65" t="s">
        <v>2780</v>
      </c>
      <c r="B158" s="66" t="s">
        <v>2781</v>
      </c>
      <c r="C158" s="66" t="s">
        <v>2782</v>
      </c>
      <c r="D158" s="67" t="s">
        <v>2446</v>
      </c>
      <c r="E158" s="68" t="str">
        <f>IFERROR(__xludf.DUMMYFUNCTION("""COMPUTED_VALUE"""),"Школа 2114")</f>
        <v>Школа 2114</v>
      </c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>
      <c r="A159" s="65" t="s">
        <v>2783</v>
      </c>
      <c r="B159" s="66" t="s">
        <v>2784</v>
      </c>
      <c r="C159" s="66" t="s">
        <v>2576</v>
      </c>
      <c r="D159" s="67" t="s">
        <v>2446</v>
      </c>
      <c r="E159" s="68" t="str">
        <f>IFERROR(__xludf.DUMMYFUNCTION("""COMPUTED_VALUE"""),"Школа 1507")</f>
        <v>Школа 1507</v>
      </c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>
      <c r="A160" s="65" t="s">
        <v>2785</v>
      </c>
      <c r="B160" s="66" t="s">
        <v>2786</v>
      </c>
      <c r="C160" s="66" t="s">
        <v>2787</v>
      </c>
      <c r="D160" s="67" t="s">
        <v>2446</v>
      </c>
      <c r="E160" s="68" t="str">
        <f>IFERROR(__xludf.DUMMYFUNCTION("""COMPUTED_VALUE"""),"Школа 1948")</f>
        <v>Школа 1948</v>
      </c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>
      <c r="A161" s="65" t="s">
        <v>2788</v>
      </c>
      <c r="B161" s="66" t="s">
        <v>2789</v>
      </c>
      <c r="C161" s="66" t="s">
        <v>2449</v>
      </c>
      <c r="D161" s="67" t="s">
        <v>2446</v>
      </c>
      <c r="E161" s="68" t="str">
        <f>IFERROR(__xludf.DUMMYFUNCTION("""COMPUTED_VALUE"""),"Школа 1354")</f>
        <v>Школа 1354</v>
      </c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>
      <c r="A162" s="65" t="s">
        <v>2790</v>
      </c>
      <c r="B162" s="66" t="s">
        <v>2791</v>
      </c>
      <c r="C162" s="66" t="s">
        <v>2449</v>
      </c>
      <c r="D162" s="67" t="s">
        <v>2446</v>
      </c>
      <c r="E162" s="68" t="str">
        <f>IFERROR(__xludf.DUMMYFUNCTION("""COMPUTED_VALUE"""),"Школа 1883")</f>
        <v>Школа 1883</v>
      </c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>
      <c r="A163" s="65" t="s">
        <v>2792</v>
      </c>
      <c r="B163" s="66" t="s">
        <v>2793</v>
      </c>
      <c r="C163" s="66" t="s">
        <v>2449</v>
      </c>
      <c r="D163" s="67" t="s">
        <v>2446</v>
      </c>
      <c r="E163" s="68" t="str">
        <f>IFERROR(__xludf.DUMMYFUNCTION("""COMPUTED_VALUE"""),"Школа 2009")</f>
        <v>Школа 2009</v>
      </c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>
      <c r="A164" s="65" t="s">
        <v>2794</v>
      </c>
      <c r="B164" s="66" t="s">
        <v>2795</v>
      </c>
      <c r="C164" s="66" t="s">
        <v>2796</v>
      </c>
      <c r="D164" s="67" t="s">
        <v>2453</v>
      </c>
      <c r="E164" s="68" t="str">
        <f>IFERROR(__xludf.DUMMYFUNCTION("""COMPUTED_VALUE"""),"Школа 508")</f>
        <v>Школа 508</v>
      </c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>
      <c r="A165" s="65" t="s">
        <v>2797</v>
      </c>
      <c r="B165" s="66" t="s">
        <v>2798</v>
      </c>
      <c r="C165" s="66" t="s">
        <v>2796</v>
      </c>
      <c r="D165" s="67" t="s">
        <v>2453</v>
      </c>
      <c r="E165" s="68" t="str">
        <f>IFERROR(__xludf.DUMMYFUNCTION("""COMPUTED_VALUE"""),"Школа 947")</f>
        <v>Школа 947</v>
      </c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>
      <c r="A166" s="65" t="s">
        <v>2799</v>
      </c>
      <c r="B166" s="66" t="s">
        <v>2800</v>
      </c>
      <c r="C166" s="66" t="s">
        <v>2801</v>
      </c>
      <c r="D166" s="67" t="s">
        <v>2453</v>
      </c>
      <c r="E166" s="68" t="str">
        <f>IFERROR(__xludf.DUMMYFUNCTION("""COMPUTED_VALUE"""),"Школа 1553")</f>
        <v>Школа 1553</v>
      </c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>
      <c r="A167" s="65" t="s">
        <v>2802</v>
      </c>
      <c r="B167" s="66" t="s">
        <v>2803</v>
      </c>
      <c r="C167" s="66" t="s">
        <v>2804</v>
      </c>
      <c r="D167" s="67" t="s">
        <v>2453</v>
      </c>
      <c r="E167" s="68" t="str">
        <f>IFERROR(__xludf.DUMMYFUNCTION("""COMPUTED_VALUE"""),"Школа 1552")</f>
        <v>Школа 1552</v>
      </c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>
      <c r="A168" s="65" t="s">
        <v>2805</v>
      </c>
      <c r="B168" s="66" t="s">
        <v>2806</v>
      </c>
      <c r="C168" s="66" t="s">
        <v>2804</v>
      </c>
      <c r="D168" s="67" t="s">
        <v>2453</v>
      </c>
      <c r="E168" s="68" t="str">
        <f>IFERROR(__xludf.DUMMYFUNCTION("""COMPUTED_VALUE"""),"Школа 1569")</f>
        <v>Школа 1569</v>
      </c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>
      <c r="A169" s="65" t="s">
        <v>2807</v>
      </c>
      <c r="B169" s="66" t="s">
        <v>2808</v>
      </c>
      <c r="C169" s="66" t="s">
        <v>2583</v>
      </c>
      <c r="D169" s="67" t="s">
        <v>2453</v>
      </c>
      <c r="E169" s="68" t="str">
        <f>IFERROR(__xludf.DUMMYFUNCTION("""COMPUTED_VALUE"""),"Школа 1579")</f>
        <v>Школа 1579</v>
      </c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>
      <c r="A170" s="65" t="s">
        <v>2809</v>
      </c>
      <c r="B170" s="66" t="s">
        <v>2810</v>
      </c>
      <c r="C170" s="66" t="s">
        <v>2811</v>
      </c>
      <c r="D170" s="67" t="s">
        <v>2453</v>
      </c>
      <c r="E170" s="68" t="str">
        <f>IFERROR(__xludf.DUMMYFUNCTION("""COMPUTED_VALUE"""),"Школа 507")</f>
        <v>Школа 507</v>
      </c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>
      <c r="A171" s="65" t="s">
        <v>2812</v>
      </c>
      <c r="B171" s="66" t="s">
        <v>2813</v>
      </c>
      <c r="C171" s="66" t="s">
        <v>2456</v>
      </c>
      <c r="D171" s="67" t="s">
        <v>2453</v>
      </c>
      <c r="E171" s="68" t="str">
        <f>IFERROR(__xludf.DUMMYFUNCTION("""COMPUTED_VALUE"""),"Школа 544")</f>
        <v>Школа 544</v>
      </c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>
      <c r="A172" s="65" t="s">
        <v>2814</v>
      </c>
      <c r="B172" s="66" t="s">
        <v>2815</v>
      </c>
      <c r="C172" s="66" t="s">
        <v>2816</v>
      </c>
      <c r="D172" s="67" t="s">
        <v>2453</v>
      </c>
      <c r="E172" s="68" t="str">
        <f>IFERROR(__xludf.DUMMYFUNCTION("""COMPUTED_VALUE"""),"Школа 1173")</f>
        <v>Школа 1173</v>
      </c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>
      <c r="A173" s="65" t="s">
        <v>2817</v>
      </c>
      <c r="B173" s="66" t="s">
        <v>2818</v>
      </c>
      <c r="C173" s="66" t="s">
        <v>2819</v>
      </c>
      <c r="D173" s="67" t="s">
        <v>2396</v>
      </c>
      <c r="E173" s="68" t="str">
        <f>IFERROR(__xludf.DUMMYFUNCTION("""COMPUTED_VALUE"""),"Школа 1811")</f>
        <v>Школа 1811</v>
      </c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>
      <c r="A174" s="65" t="s">
        <v>2820</v>
      </c>
      <c r="B174" s="66" t="s">
        <v>2821</v>
      </c>
      <c r="C174" s="66" t="s">
        <v>2822</v>
      </c>
      <c r="D174" s="67" t="s">
        <v>2396</v>
      </c>
      <c r="E174" s="68" t="str">
        <f>IFERROR(__xludf.DUMMYFUNCTION("""COMPUTED_VALUE"""),"Школа 1352")</f>
        <v>Школа 1352</v>
      </c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>
      <c r="A175" s="65" t="s">
        <v>2823</v>
      </c>
      <c r="B175" s="66" t="s">
        <v>2824</v>
      </c>
      <c r="C175" s="66" t="s">
        <v>2399</v>
      </c>
      <c r="D175" s="67" t="s">
        <v>2396</v>
      </c>
      <c r="E175" s="68" t="str">
        <f>IFERROR(__xludf.DUMMYFUNCTION("""COMPUTED_VALUE"""),"Школа 1508")</f>
        <v>Школа 1508</v>
      </c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>
      <c r="A176" s="65" t="s">
        <v>2825</v>
      </c>
      <c r="B176" s="66" t="s">
        <v>2826</v>
      </c>
      <c r="C176" s="66" t="s">
        <v>2827</v>
      </c>
      <c r="D176" s="67" t="s">
        <v>2396</v>
      </c>
      <c r="E176" s="68" t="str">
        <f>IFERROR(__xludf.DUMMYFUNCTION("""COMPUTED_VALUE"""),"Школа 1852")</f>
        <v>Школа 1852</v>
      </c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>
      <c r="A177" s="65" t="s">
        <v>2828</v>
      </c>
      <c r="B177" s="66" t="s">
        <v>2829</v>
      </c>
      <c r="C177" s="66" t="s">
        <v>2602</v>
      </c>
      <c r="D177" s="67" t="s">
        <v>2396</v>
      </c>
      <c r="E177" s="68" t="str">
        <f>IFERROR(__xludf.DUMMYFUNCTION("""COMPUTED_VALUE"""),"Школа 1080")</f>
        <v>Школа 1080</v>
      </c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>
      <c r="A178" s="65" t="s">
        <v>2830</v>
      </c>
      <c r="B178" s="66" t="s">
        <v>2831</v>
      </c>
      <c r="C178" s="66" t="s">
        <v>2605</v>
      </c>
      <c r="D178" s="67" t="s">
        <v>2396</v>
      </c>
      <c r="E178" s="68" t="str">
        <f>IFERROR(__xludf.DUMMYFUNCTION("""COMPUTED_VALUE"""),"Школа 2033")</f>
        <v>Школа 2033</v>
      </c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>
      <c r="A179" s="65" t="s">
        <v>2832</v>
      </c>
      <c r="B179" s="66" t="s">
        <v>2833</v>
      </c>
      <c r="C179" s="66" t="s">
        <v>2834</v>
      </c>
      <c r="D179" s="67" t="s">
        <v>2406</v>
      </c>
      <c r="E179" s="68" t="str">
        <f>IFERROR(__xludf.DUMMYFUNCTION("""COMPUTED_VALUE"""),"Школа 1371")</f>
        <v>Школа 1371</v>
      </c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>
      <c r="A180" s="65" t="s">
        <v>2835</v>
      </c>
      <c r="B180" s="66" t="s">
        <v>2836</v>
      </c>
      <c r="C180" s="66" t="s">
        <v>2611</v>
      </c>
      <c r="D180" s="67" t="s">
        <v>2406</v>
      </c>
      <c r="E180" s="68" t="str">
        <f>IFERROR(__xludf.DUMMYFUNCTION("""COMPUTED_VALUE"""),"Школа 1293")</f>
        <v>Школа 1293</v>
      </c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>
      <c r="A181" s="65" t="s">
        <v>2837</v>
      </c>
      <c r="B181" s="66" t="s">
        <v>2838</v>
      </c>
      <c r="C181" s="66" t="s">
        <v>2617</v>
      </c>
      <c r="D181" s="67" t="s">
        <v>2406</v>
      </c>
      <c r="E181" s="68" t="str">
        <f>IFERROR(__xludf.DUMMYFUNCTION("""COMPUTED_VALUE"""),"Школа 1238")</f>
        <v>Школа 1238</v>
      </c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>
      <c r="A182" s="65" t="s">
        <v>2839</v>
      </c>
      <c r="B182" s="66" t="s">
        <v>2840</v>
      </c>
      <c r="C182" s="66" t="s">
        <v>1384</v>
      </c>
      <c r="D182" s="67" t="s">
        <v>2406</v>
      </c>
      <c r="E182" s="68" t="str">
        <f>IFERROR(__xludf.DUMMYFUNCTION("""COMPUTED_VALUE"""),"Школа 2025")</f>
        <v>Школа 2025</v>
      </c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>
      <c r="A183" s="65" t="s">
        <v>2841</v>
      </c>
      <c r="B183" s="66" t="s">
        <v>2842</v>
      </c>
      <c r="C183" s="66" t="s">
        <v>2469</v>
      </c>
      <c r="D183" s="67" t="s">
        <v>2406</v>
      </c>
      <c r="E183" s="68" t="str">
        <f>IFERROR(__xludf.DUMMYFUNCTION("""COMPUTED_VALUE"""),"Школа 1306")</f>
        <v>Школа 1306</v>
      </c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>
      <c r="A184" s="65" t="s">
        <v>2843</v>
      </c>
      <c r="B184" s="66" t="s">
        <v>2844</v>
      </c>
      <c r="C184" s="66" t="s">
        <v>2469</v>
      </c>
      <c r="D184" s="67" t="s">
        <v>2406</v>
      </c>
      <c r="E184" s="68" t="str">
        <f>IFERROR(__xludf.DUMMYFUNCTION("""COMPUTED_VALUE"""),"Школа 1434")</f>
        <v>Школа 1434</v>
      </c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>
      <c r="A185" s="65" t="s">
        <v>2845</v>
      </c>
      <c r="B185" s="66" t="s">
        <v>2846</v>
      </c>
      <c r="C185" s="66" t="s">
        <v>2476</v>
      </c>
      <c r="D185" s="67" t="s">
        <v>2406</v>
      </c>
      <c r="E185" s="68" t="str">
        <f>IFERROR(__xludf.DUMMYFUNCTION("""COMPUTED_VALUE"""),"Школа 1002")</f>
        <v>Школа 1002</v>
      </c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>
      <c r="A186" s="65" t="s">
        <v>2847</v>
      </c>
      <c r="B186" s="66" t="s">
        <v>2848</v>
      </c>
      <c r="C186" s="66" t="s">
        <v>2476</v>
      </c>
      <c r="D186" s="67" t="s">
        <v>2406</v>
      </c>
      <c r="E186" s="68" t="str">
        <f>IFERROR(__xludf.DUMMYFUNCTION("""COMPUTED_VALUE"""),"Школа 1347")</f>
        <v>Школа 1347</v>
      </c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>
      <c r="A187" s="65" t="s">
        <v>2849</v>
      </c>
      <c r="B187" s="66" t="s">
        <v>2850</v>
      </c>
      <c r="C187" s="66" t="s">
        <v>2851</v>
      </c>
      <c r="D187" s="67" t="s">
        <v>2410</v>
      </c>
      <c r="E187" s="68" t="str">
        <f>IFERROR(__xludf.DUMMYFUNCTION("""COMPUTED_VALUE"""),"Школа 2117")</f>
        <v>Школа 2117</v>
      </c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>
      <c r="A188" s="65" t="s">
        <v>2852</v>
      </c>
      <c r="B188" s="66" t="s">
        <v>79</v>
      </c>
      <c r="C188" s="66" t="s">
        <v>2853</v>
      </c>
      <c r="D188" s="67" t="s">
        <v>2497</v>
      </c>
      <c r="E188" s="68" t="str">
        <f>IFERROR(__xludf.DUMMYFUNCTION("""COMPUTED_VALUE"""),"Школа Бескудниково")</f>
        <v>Школа Бескудниково</v>
      </c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>
      <c r="A189" s="65" t="s">
        <v>2854</v>
      </c>
      <c r="B189" s="66" t="s">
        <v>2855</v>
      </c>
      <c r="C189" s="66" t="s">
        <v>2647</v>
      </c>
      <c r="D189" s="67" t="s">
        <v>2497</v>
      </c>
      <c r="E189" s="68" t="str">
        <f>IFERROR(__xludf.DUMMYFUNCTION("""COMPUTED_VALUE"""),"Школа 201")</f>
        <v>Школа 201</v>
      </c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>
      <c r="A190" s="65" t="s">
        <v>2856</v>
      </c>
      <c r="B190" s="66" t="s">
        <v>2857</v>
      </c>
      <c r="C190" s="66" t="s">
        <v>2858</v>
      </c>
      <c r="D190" s="67" t="s">
        <v>2497</v>
      </c>
      <c r="E190" s="68" t="str">
        <f>IFERROR(__xludf.DUMMYFUNCTION("""COMPUTED_VALUE"""),"Школа 1315")</f>
        <v>Школа 1315</v>
      </c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>
      <c r="A191" s="65" t="s">
        <v>2859</v>
      </c>
      <c r="B191" s="66" t="s">
        <v>2860</v>
      </c>
      <c r="C191" s="66" t="s">
        <v>2858</v>
      </c>
      <c r="D191" s="67" t="s">
        <v>2497</v>
      </c>
      <c r="E191" s="68" t="str">
        <f>IFERROR(__xludf.DUMMYFUNCTION("""COMPUTED_VALUE"""),"Школа 1583")</f>
        <v>Школа 1583</v>
      </c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>
      <c r="A192" s="65" t="s">
        <v>2861</v>
      </c>
      <c r="B192" s="66" t="s">
        <v>2862</v>
      </c>
      <c r="C192" s="66" t="s">
        <v>2505</v>
      </c>
      <c r="D192" s="67" t="s">
        <v>2497</v>
      </c>
      <c r="E192" s="68" t="str">
        <f>IFERROR(__xludf.DUMMYFUNCTION("""COMPUTED_VALUE"""),"Школа 1251")</f>
        <v>Школа 1251</v>
      </c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>
      <c r="A193" s="65" t="s">
        <v>2863</v>
      </c>
      <c r="B193" s="66" t="s">
        <v>2864</v>
      </c>
      <c r="C193" s="66" t="s">
        <v>2528</v>
      </c>
      <c r="D193" s="67" t="s">
        <v>2416</v>
      </c>
      <c r="E193" s="68" t="str">
        <f>IFERROR(__xludf.DUMMYFUNCTION("""COMPUTED_VALUE"""),"Школа 1415")</f>
        <v>Школа 1415</v>
      </c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>
      <c r="A194" s="65" t="s">
        <v>2865</v>
      </c>
      <c r="B194" s="66" t="s">
        <v>2866</v>
      </c>
      <c r="C194" s="66" t="s">
        <v>2685</v>
      </c>
      <c r="D194" s="67" t="s">
        <v>2416</v>
      </c>
      <c r="E194" s="68" t="str">
        <f>IFERROR(__xludf.DUMMYFUNCTION("""COMPUTED_VALUE"""),"Школа 962")</f>
        <v>Школа 962</v>
      </c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>
      <c r="A195" s="65" t="s">
        <v>2867</v>
      </c>
      <c r="B195" s="66" t="s">
        <v>2868</v>
      </c>
      <c r="C195" s="66" t="s">
        <v>2869</v>
      </c>
      <c r="D195" s="67" t="s">
        <v>2416</v>
      </c>
      <c r="E195" s="68" t="str">
        <f>IFERROR(__xludf.DUMMYFUNCTION("""COMPUTED_VALUE"""),"Школа 1499")</f>
        <v>Школа 1499</v>
      </c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>
      <c r="A196" s="65" t="s">
        <v>2870</v>
      </c>
      <c r="B196" s="66" t="s">
        <v>2871</v>
      </c>
      <c r="C196" s="66" t="s">
        <v>2543</v>
      </c>
      <c r="D196" s="67" t="s">
        <v>2419</v>
      </c>
      <c r="E196" s="68" t="str">
        <f>IFERROR(__xludf.DUMMYFUNCTION("""COMPUTED_VALUE"""),"Школа 138")</f>
        <v>Школа 138</v>
      </c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>
      <c r="A197" s="65" t="s">
        <v>2872</v>
      </c>
      <c r="B197" s="66" t="s">
        <v>2873</v>
      </c>
      <c r="C197" s="66" t="s">
        <v>2543</v>
      </c>
      <c r="D197" s="67" t="s">
        <v>2419</v>
      </c>
      <c r="E197" s="68" t="str">
        <f>IFERROR(__xludf.DUMMYFUNCTION("""COMPUTED_VALUE"""),"Школа 1522")</f>
        <v>Школа 1522</v>
      </c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>
      <c r="A198" s="65" t="s">
        <v>2874</v>
      </c>
      <c r="B198" s="66" t="s">
        <v>2875</v>
      </c>
      <c r="C198" s="66" t="s">
        <v>2710</v>
      </c>
      <c r="D198" s="67" t="s">
        <v>2419</v>
      </c>
      <c r="E198" s="68" t="str">
        <f>IFERROR(__xludf.DUMMYFUNCTION("""COMPUTED_VALUE"""),"Школа 1551")</f>
        <v>Школа 1551</v>
      </c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>
      <c r="A199" s="65" t="s">
        <v>2876</v>
      </c>
      <c r="B199" s="66" t="s">
        <v>2877</v>
      </c>
      <c r="C199" s="66" t="s">
        <v>2716</v>
      </c>
      <c r="D199" s="67" t="s">
        <v>2422</v>
      </c>
      <c r="E199" s="68" t="str">
        <f>IFERROR(__xludf.DUMMYFUNCTION("""COMPUTED_VALUE"""),"Школа 1259")</f>
        <v>Школа 1259</v>
      </c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>
      <c r="A200" s="65" t="s">
        <v>2878</v>
      </c>
      <c r="B200" s="66" t="s">
        <v>2879</v>
      </c>
      <c r="C200" s="66" t="s">
        <v>2716</v>
      </c>
      <c r="D200" s="67" t="s">
        <v>2422</v>
      </c>
      <c r="E200" s="68" t="str">
        <f>IFERROR(__xludf.DUMMYFUNCTION("""COMPUTED_VALUE"""),"Экономический лицей им. Г. В Плеханова")</f>
        <v>Экономический лицей им. Г. В Плеханова</v>
      </c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>
      <c r="A201" s="65" t="s">
        <v>2880</v>
      </c>
      <c r="B201" s="66" t="s">
        <v>2881</v>
      </c>
      <c r="C201" s="66" t="s">
        <v>2549</v>
      </c>
      <c r="D201" s="67" t="s">
        <v>2422</v>
      </c>
      <c r="E201" s="68" t="str">
        <f>IFERROR(__xludf.DUMMYFUNCTION("""COMPUTED_VALUE"""),"Школа 2030")</f>
        <v>Школа 2030</v>
      </c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>
      <c r="A202" s="65" t="s">
        <v>2882</v>
      </c>
      <c r="B202" s="66" t="s">
        <v>2883</v>
      </c>
      <c r="C202" s="66" t="s">
        <v>2726</v>
      </c>
      <c r="D202" s="67" t="s">
        <v>2422</v>
      </c>
      <c r="E202" s="68" t="str">
        <f>IFERROR(__xludf.DUMMYFUNCTION("""COMPUTED_VALUE"""),"Школа 1468")</f>
        <v>Школа 1468</v>
      </c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>
      <c r="A203" s="65" t="s">
        <v>2884</v>
      </c>
      <c r="B203" s="66" t="s">
        <v>2885</v>
      </c>
      <c r="C203" s="66" t="s">
        <v>2726</v>
      </c>
      <c r="D203" s="67" t="s">
        <v>2422</v>
      </c>
      <c r="E203" s="68" t="str">
        <f>IFERROR(__xludf.DUMMYFUNCTION("""COMPUTED_VALUE"""),"Школа 2104")</f>
        <v>Школа 2104</v>
      </c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>
      <c r="A204" s="65" t="s">
        <v>2886</v>
      </c>
      <c r="B204" s="66" t="s">
        <v>2887</v>
      </c>
      <c r="C204" s="66" t="s">
        <v>2425</v>
      </c>
      <c r="D204" s="67" t="s">
        <v>2422</v>
      </c>
      <c r="E204" s="68" t="str">
        <f>IFERROR(__xludf.DUMMYFUNCTION("""COMPUTED_VALUE"""),"Школа 1540")</f>
        <v>Школа 1540</v>
      </c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>
      <c r="A205" s="65" t="s">
        <v>2888</v>
      </c>
      <c r="B205" s="66" t="s">
        <v>2889</v>
      </c>
      <c r="C205" s="66" t="s">
        <v>2430</v>
      </c>
      <c r="D205" s="67" t="s">
        <v>2422</v>
      </c>
      <c r="E205" s="68" t="str">
        <f>IFERROR(__xludf.DUMMYFUNCTION("""COMPUTED_VALUE"""),"Предуниверситарий МГЛУ")</f>
        <v>Предуниверситарий МГЛУ</v>
      </c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>
      <c r="A206" s="65" t="s">
        <v>2890</v>
      </c>
      <c r="B206" s="66" t="s">
        <v>2891</v>
      </c>
      <c r="C206" s="66" t="s">
        <v>2892</v>
      </c>
      <c r="D206" s="67" t="s">
        <v>2439</v>
      </c>
      <c r="E206" s="68" t="str">
        <f>IFERROR(__xludf.DUMMYFUNCTION("""COMPUTED_VALUE"""),"Школа им. В. В. Маяковского")</f>
        <v>Школа им. В. В. Маяковского</v>
      </c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>
      <c r="A207" s="65" t="s">
        <v>2893</v>
      </c>
      <c r="B207" s="66" t="s">
        <v>2894</v>
      </c>
      <c r="C207" s="66" t="s">
        <v>2895</v>
      </c>
      <c r="D207" s="67" t="s">
        <v>2446</v>
      </c>
      <c r="E207" s="68" t="str">
        <f>IFERROR(__xludf.DUMMYFUNCTION("""COMPUTED_VALUE"""),"Школа 1279")</f>
        <v>Школа 1279</v>
      </c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>
      <c r="A208" s="65" t="s">
        <v>2896</v>
      </c>
      <c r="B208" s="66" t="s">
        <v>2897</v>
      </c>
      <c r="C208" s="66" t="s">
        <v>2775</v>
      </c>
      <c r="D208" s="67" t="s">
        <v>2446</v>
      </c>
      <c r="E208" s="68" t="str">
        <f>IFERROR(__xludf.DUMMYFUNCTION("""COMPUTED_VALUE"""),"Школа 1273")</f>
        <v>Школа 1273</v>
      </c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>
      <c r="A209" s="65" t="s">
        <v>2898</v>
      </c>
      <c r="B209" s="66" t="s">
        <v>2899</v>
      </c>
      <c r="C209" s="66" t="s">
        <v>2900</v>
      </c>
      <c r="D209" s="67" t="s">
        <v>2446</v>
      </c>
      <c r="E209" s="68" t="str">
        <f>IFERROR(__xludf.DUMMYFUNCTION("""COMPUTED_VALUE"""),"Школа 626")</f>
        <v>Школа 626</v>
      </c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>
      <c r="A210" s="65" t="s">
        <v>2901</v>
      </c>
      <c r="B210" s="66" t="s">
        <v>2902</v>
      </c>
      <c r="C210" s="66" t="s">
        <v>2782</v>
      </c>
      <c r="D210" s="67" t="s">
        <v>2446</v>
      </c>
      <c r="E210" s="68" t="str">
        <f>IFERROR(__xludf.DUMMYFUNCTION("""COMPUTED_VALUE"""),"Школа 2006")</f>
        <v>Школа 2006</v>
      </c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>
      <c r="A211" s="65" t="s">
        <v>2903</v>
      </c>
      <c r="B211" s="66" t="s">
        <v>2904</v>
      </c>
      <c r="C211" s="66" t="s">
        <v>2576</v>
      </c>
      <c r="D211" s="67" t="s">
        <v>2446</v>
      </c>
      <c r="E211" s="68" t="str">
        <f>IFERROR(__xludf.DUMMYFUNCTION("""COMPUTED_VALUE"""),"Школа 1101")</f>
        <v>Школа 1101</v>
      </c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>
      <c r="A212" s="65" t="s">
        <v>2905</v>
      </c>
      <c r="B212" s="66" t="s">
        <v>2906</v>
      </c>
      <c r="C212" s="66" t="s">
        <v>2787</v>
      </c>
      <c r="D212" s="67" t="s">
        <v>2446</v>
      </c>
      <c r="E212" s="68" t="str">
        <f>IFERROR(__xludf.DUMMYFUNCTION("""COMPUTED_VALUE"""),"Школа 1205")</f>
        <v>Школа 1205</v>
      </c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>
      <c r="A213" s="65" t="s">
        <v>2907</v>
      </c>
      <c r="B213" s="66" t="s">
        <v>2908</v>
      </c>
      <c r="C213" s="66" t="s">
        <v>2449</v>
      </c>
      <c r="D213" s="67" t="s">
        <v>2446</v>
      </c>
      <c r="E213" s="68" t="str">
        <f>IFERROR(__xludf.DUMMYFUNCTION("""COMPUTED_VALUE"""),"Школа 1355")</f>
        <v>Школа 1355</v>
      </c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>
      <c r="A214" s="65" t="s">
        <v>2909</v>
      </c>
      <c r="B214" s="66" t="s">
        <v>2910</v>
      </c>
      <c r="C214" s="66" t="s">
        <v>2449</v>
      </c>
      <c r="D214" s="67" t="s">
        <v>2446</v>
      </c>
      <c r="E214" s="68" t="str">
        <f>IFERROR(__xludf.DUMMYFUNCTION("""COMPUTED_VALUE"""),"Школа 1492")</f>
        <v>Школа 1492</v>
      </c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>
      <c r="A215" s="65" t="s">
        <v>2911</v>
      </c>
      <c r="B215" s="66" t="s">
        <v>2912</v>
      </c>
      <c r="C215" s="66" t="s">
        <v>2913</v>
      </c>
      <c r="D215" s="67" t="s">
        <v>2453</v>
      </c>
      <c r="E215" s="68" t="str">
        <f>IFERROR(__xludf.DUMMYFUNCTION("""COMPUTED_VALUE"""),"Школа 1034")</f>
        <v>Школа 1034</v>
      </c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>
      <c r="A216" s="65" t="s">
        <v>2914</v>
      </c>
      <c r="B216" s="66" t="s">
        <v>2915</v>
      </c>
      <c r="C216" s="66" t="s">
        <v>2804</v>
      </c>
      <c r="D216" s="67" t="s">
        <v>2453</v>
      </c>
      <c r="E216" s="68" t="str">
        <f>IFERROR(__xludf.DUMMYFUNCTION("""COMPUTED_VALUE"""),"Школа 2116")</f>
        <v>Школа 2116</v>
      </c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>
      <c r="A217" s="65" t="s">
        <v>2916</v>
      </c>
      <c r="B217" s="66" t="s">
        <v>2917</v>
      </c>
      <c r="C217" s="66" t="s">
        <v>2811</v>
      </c>
      <c r="D217" s="67" t="s">
        <v>2453</v>
      </c>
      <c r="E217" s="68" t="str">
        <f>IFERROR(__xludf.DUMMYFUNCTION("""COMPUTED_VALUE"""),"Школа 1375")</f>
        <v>Школа 1375</v>
      </c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>
      <c r="A218" s="65" t="s">
        <v>2918</v>
      </c>
      <c r="B218" s="66" t="s">
        <v>2919</v>
      </c>
      <c r="C218" s="66" t="s">
        <v>2920</v>
      </c>
      <c r="D218" s="67" t="s">
        <v>2453</v>
      </c>
      <c r="E218" s="68" t="str">
        <f>IFERROR(__xludf.DUMMYFUNCTION("""COMPUTED_VALUE"""),"Школа 1770")</f>
        <v>Школа 1770</v>
      </c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>
      <c r="A219" s="65" t="s">
        <v>2921</v>
      </c>
      <c r="B219" s="66" t="s">
        <v>2922</v>
      </c>
      <c r="C219" s="66" t="s">
        <v>2923</v>
      </c>
      <c r="D219" s="67" t="s">
        <v>2453</v>
      </c>
      <c r="E219" s="68" t="str">
        <f>IFERROR(__xludf.DUMMYFUNCTION("""COMPUTED_VALUE"""),"Школа 878")</f>
        <v>Школа 878</v>
      </c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>
      <c r="A220" s="65" t="s">
        <v>2924</v>
      </c>
      <c r="B220" s="66" t="s">
        <v>2925</v>
      </c>
      <c r="C220" s="66" t="s">
        <v>2456</v>
      </c>
      <c r="D220" s="67" t="s">
        <v>2453</v>
      </c>
      <c r="E220" s="68" t="str">
        <f>IFERROR(__xludf.DUMMYFUNCTION("""COMPUTED_VALUE"""),"Школа 949")</f>
        <v>Школа 949</v>
      </c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>
      <c r="A221" s="65" t="s">
        <v>2926</v>
      </c>
      <c r="B221" s="66" t="s">
        <v>2927</v>
      </c>
      <c r="C221" s="66" t="s">
        <v>2816</v>
      </c>
      <c r="D221" s="67" t="s">
        <v>2453</v>
      </c>
      <c r="E221" s="68" t="str">
        <f>IFERROR(__xludf.DUMMYFUNCTION("""COMPUTED_VALUE"""),"Школа 1582")</f>
        <v>Школа 1582</v>
      </c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>
      <c r="A222" s="65" t="s">
        <v>2928</v>
      </c>
      <c r="B222" s="66" t="s">
        <v>2929</v>
      </c>
      <c r="C222" s="66" t="s">
        <v>2930</v>
      </c>
      <c r="D222" s="67" t="s">
        <v>2453</v>
      </c>
      <c r="E222" s="68" t="str">
        <f>IFERROR(__xludf.DUMMYFUNCTION("""COMPUTED_VALUE"""),"Школа 629")</f>
        <v>Школа 629</v>
      </c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>
      <c r="A223" s="65" t="s">
        <v>2931</v>
      </c>
      <c r="B223" s="66" t="s">
        <v>2932</v>
      </c>
      <c r="C223" s="66" t="s">
        <v>2822</v>
      </c>
      <c r="D223" s="67" t="s">
        <v>2396</v>
      </c>
      <c r="E223" s="68" t="str">
        <f>IFERROR(__xludf.DUMMYFUNCTION("""COMPUTED_VALUE"""),"Школа 1516")</f>
        <v>Школа 1516</v>
      </c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>
      <c r="A224" s="65" t="s">
        <v>2933</v>
      </c>
      <c r="B224" s="66" t="s">
        <v>2934</v>
      </c>
      <c r="C224" s="66" t="s">
        <v>2395</v>
      </c>
      <c r="D224" s="67" t="s">
        <v>2396</v>
      </c>
      <c r="E224" s="68" t="str">
        <f>IFERROR(__xludf.DUMMYFUNCTION("""COMPUTED_VALUE"""),"Школа 922")</f>
        <v>Школа 922</v>
      </c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>
      <c r="A225" s="65" t="s">
        <v>2935</v>
      </c>
      <c r="B225" s="66" t="s">
        <v>2936</v>
      </c>
      <c r="C225" s="66" t="s">
        <v>2937</v>
      </c>
      <c r="D225" s="67" t="s">
        <v>2396</v>
      </c>
      <c r="E225" s="68" t="str">
        <f>IFERROR(__xludf.DUMMYFUNCTION("""COMPUTED_VALUE"""),"Школа 1246")</f>
        <v>Школа 1246</v>
      </c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>
      <c r="A226" s="65" t="s">
        <v>2938</v>
      </c>
      <c r="B226" s="66" t="s">
        <v>2939</v>
      </c>
      <c r="C226" s="66" t="s">
        <v>2937</v>
      </c>
      <c r="D226" s="67" t="s">
        <v>2396</v>
      </c>
      <c r="E226" s="68" t="str">
        <f>IFERROR(__xludf.DUMMYFUNCTION("""COMPUTED_VALUE"""),"Школа 1795")</f>
        <v>Школа 1795</v>
      </c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>
      <c r="A227" s="65" t="s">
        <v>2940</v>
      </c>
      <c r="B227" s="66" t="s">
        <v>2941</v>
      </c>
      <c r="C227" s="66" t="s">
        <v>2461</v>
      </c>
      <c r="D227" s="67" t="s">
        <v>2396</v>
      </c>
      <c r="E227" s="68" t="str">
        <f>IFERROR(__xludf.DUMMYFUNCTION("""COMPUTED_VALUE"""),"Школа 2072")</f>
        <v>Школа 2072</v>
      </c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>
      <c r="A228" s="65" t="s">
        <v>2942</v>
      </c>
      <c r="B228" s="66" t="s">
        <v>2943</v>
      </c>
      <c r="C228" s="66" t="s">
        <v>2608</v>
      </c>
      <c r="D228" s="67" t="s">
        <v>2396</v>
      </c>
      <c r="E228" s="68" t="str">
        <f>IFERROR(__xludf.DUMMYFUNCTION("""COMPUTED_VALUE"""),"Школа 429")</f>
        <v>Школа 429</v>
      </c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>
      <c r="A229" s="65" t="s">
        <v>2944</v>
      </c>
      <c r="B229" s="66" t="s">
        <v>2945</v>
      </c>
      <c r="C229" s="66" t="s">
        <v>2946</v>
      </c>
      <c r="D229" s="67" t="s">
        <v>2396</v>
      </c>
      <c r="E229" s="68" t="str">
        <f>IFERROR(__xludf.DUMMYFUNCTION("""COMPUTED_VALUE"""),"Школа 1282")</f>
        <v>Школа 1282</v>
      </c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>
      <c r="A230" s="65" t="s">
        <v>2947</v>
      </c>
      <c r="B230" s="66" t="s">
        <v>2948</v>
      </c>
      <c r="C230" s="66" t="s">
        <v>2946</v>
      </c>
      <c r="D230" s="67" t="s">
        <v>2396</v>
      </c>
      <c r="E230" s="68" t="str">
        <f>IFERROR(__xludf.DUMMYFUNCTION("""COMPUTED_VALUE"""),"Школа 1530")</f>
        <v>Школа 1530</v>
      </c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>
      <c r="A231" s="65" t="s">
        <v>2949</v>
      </c>
      <c r="B231" s="66" t="s">
        <v>2950</v>
      </c>
      <c r="C231" s="66" t="s">
        <v>2834</v>
      </c>
      <c r="D231" s="67" t="s">
        <v>2406</v>
      </c>
      <c r="E231" s="68" t="str">
        <f>IFERROR(__xludf.DUMMYFUNCTION("""COMPUTED_VALUE"""),"Школа 1440")</f>
        <v>Школа 1440</v>
      </c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>
      <c r="A232" s="65" t="s">
        <v>2951</v>
      </c>
      <c r="B232" s="66" t="s">
        <v>2952</v>
      </c>
      <c r="C232" s="66" t="s">
        <v>2834</v>
      </c>
      <c r="D232" s="67" t="s">
        <v>2406</v>
      </c>
      <c r="E232" s="68" t="str">
        <f>IFERROR(__xludf.DUMMYFUNCTION("""COMPUTED_VALUE"""),"Школа 1593")</f>
        <v>Школа 1593</v>
      </c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>
      <c r="A233" s="65" t="s">
        <v>2953</v>
      </c>
      <c r="B233" s="66" t="s">
        <v>2954</v>
      </c>
      <c r="C233" s="66" t="s">
        <v>2611</v>
      </c>
      <c r="D233" s="67" t="s">
        <v>2406</v>
      </c>
      <c r="E233" s="68" t="str">
        <f>IFERROR(__xludf.DUMMYFUNCTION("""COMPUTED_VALUE"""),"Школа 887")</f>
        <v>Школа 887</v>
      </c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>
      <c r="A234" s="65" t="s">
        <v>2955</v>
      </c>
      <c r="B234" s="66" t="s">
        <v>2956</v>
      </c>
      <c r="C234" s="66" t="s">
        <v>2614</v>
      </c>
      <c r="D234" s="67" t="s">
        <v>2406</v>
      </c>
      <c r="E234" s="68" t="str">
        <f>IFERROR(__xludf.DUMMYFUNCTION("""COMPUTED_VALUE"""),"Школа 1195")</f>
        <v>Школа 1195</v>
      </c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>
      <c r="A235" s="65" t="s">
        <v>2957</v>
      </c>
      <c r="B235" s="66" t="s">
        <v>2958</v>
      </c>
      <c r="C235" s="66" t="s">
        <v>2617</v>
      </c>
      <c r="D235" s="67" t="s">
        <v>2406</v>
      </c>
      <c r="E235" s="68" t="str">
        <f>IFERROR(__xludf.DUMMYFUNCTION("""COMPUTED_VALUE"""),"Школа 1596")</f>
        <v>Школа 1596</v>
      </c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>
      <c r="A236" s="65" t="s">
        <v>2959</v>
      </c>
      <c r="B236" s="66" t="s">
        <v>2960</v>
      </c>
      <c r="C236" s="66" t="s">
        <v>2961</v>
      </c>
      <c r="D236" s="67" t="s">
        <v>2406</v>
      </c>
      <c r="E236" s="68" t="str">
        <f>IFERROR(__xludf.DUMMYFUNCTION("""COMPUTED_VALUE"""),"Школа 98")</f>
        <v>Школа 98</v>
      </c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>
      <c r="A237" s="65" t="s">
        <v>2962</v>
      </c>
      <c r="B237" s="66" t="s">
        <v>2963</v>
      </c>
      <c r="C237" s="66" t="s">
        <v>2961</v>
      </c>
      <c r="D237" s="67" t="s">
        <v>2406</v>
      </c>
      <c r="E237" s="68" t="str">
        <f>IFERROR(__xludf.DUMMYFUNCTION("""COMPUTED_VALUE"""),"Школа 1541")</f>
        <v>Школа 1541</v>
      </c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>
      <c r="A238" s="65" t="s">
        <v>2964</v>
      </c>
      <c r="B238" s="66" t="s">
        <v>2965</v>
      </c>
      <c r="C238" s="66" t="s">
        <v>2961</v>
      </c>
      <c r="D238" s="67" t="s">
        <v>2406</v>
      </c>
      <c r="E238" s="68" t="str">
        <f>IFERROR(__xludf.DUMMYFUNCTION("""COMPUTED_VALUE"""),"Школа 1498")</f>
        <v>Школа 1498</v>
      </c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>
      <c r="A239" s="65" t="s">
        <v>2966</v>
      </c>
      <c r="B239" s="66" t="s">
        <v>2967</v>
      </c>
      <c r="C239" s="66" t="s">
        <v>2469</v>
      </c>
      <c r="D239" s="67" t="s">
        <v>2406</v>
      </c>
      <c r="E239" s="68" t="str">
        <f>IFERROR(__xludf.DUMMYFUNCTION("""COMPUTED_VALUE"""),"Школа 37")</f>
        <v>Школа 37</v>
      </c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>
      <c r="A240" s="65" t="s">
        <v>2968</v>
      </c>
      <c r="B240" s="66" t="s">
        <v>2969</v>
      </c>
      <c r="C240" s="66" t="s">
        <v>2469</v>
      </c>
      <c r="D240" s="67" t="s">
        <v>2406</v>
      </c>
      <c r="E240" s="68" t="str">
        <f>IFERROR(__xludf.DUMMYFUNCTION("""COMPUTED_VALUE"""),"ОАНО Новая Школа")</f>
        <v>ОАНО Новая Школа</v>
      </c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>
      <c r="A241" s="65" t="s">
        <v>2970</v>
      </c>
      <c r="B241" s="66" t="s">
        <v>2971</v>
      </c>
      <c r="C241" s="66" t="s">
        <v>2972</v>
      </c>
      <c r="D241" s="67" t="s">
        <v>2406</v>
      </c>
      <c r="E241" s="68" t="str">
        <f>IFERROR(__xludf.DUMMYFUNCTION("""COMPUTED_VALUE"""),"Школа 1741")</f>
        <v>Школа 1741</v>
      </c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>
      <c r="A242" s="65" t="s">
        <v>2973</v>
      </c>
      <c r="B242" s="66" t="s">
        <v>2974</v>
      </c>
      <c r="C242" s="66" t="s">
        <v>2486</v>
      </c>
      <c r="D242" s="67" t="s">
        <v>2487</v>
      </c>
      <c r="E242" s="68" t="str">
        <f>IFERROR(__xludf.DUMMYFUNCTION("""COMPUTED_VALUE"""),"Школа 2045")</f>
        <v>Школа 2045</v>
      </c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>
      <c r="A243" s="65" t="s">
        <v>2975</v>
      </c>
      <c r="B243" s="66" t="s">
        <v>2976</v>
      </c>
      <c r="C243" s="66" t="s">
        <v>2977</v>
      </c>
      <c r="D243" s="67" t="s">
        <v>2487</v>
      </c>
      <c r="E243" s="68" t="str">
        <f>IFERROR(__xludf.DUMMYFUNCTION("""COMPUTED_VALUE"""),"Школа 1353")</f>
        <v>Школа 1353</v>
      </c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>
      <c r="A244" s="65" t="s">
        <v>2978</v>
      </c>
      <c r="B244" s="66" t="s">
        <v>2979</v>
      </c>
      <c r="C244" s="66" t="s">
        <v>2977</v>
      </c>
      <c r="D244" s="67" t="s">
        <v>2487</v>
      </c>
      <c r="E244" s="68" t="str">
        <f>IFERROR(__xludf.DUMMYFUNCTION("""COMPUTED_VALUE"""),"Школа 618")</f>
        <v>Школа 618</v>
      </c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>
      <c r="A245" s="65" t="s">
        <v>2980</v>
      </c>
      <c r="B245" s="66" t="s">
        <v>2981</v>
      </c>
      <c r="C245" s="66" t="s">
        <v>2982</v>
      </c>
      <c r="D245" s="67" t="s">
        <v>2487</v>
      </c>
      <c r="E245" s="68" t="str">
        <f>IFERROR(__xludf.DUMMYFUNCTION("""COMPUTED_VALUE"""),"Школа 853")</f>
        <v>Школа 853</v>
      </c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>
      <c r="A246" s="65" t="s">
        <v>2983</v>
      </c>
      <c r="B246" s="66" t="s">
        <v>2984</v>
      </c>
      <c r="C246" s="66" t="s">
        <v>2985</v>
      </c>
      <c r="D246" s="67" t="s">
        <v>2410</v>
      </c>
      <c r="E246" s="68" t="str">
        <f>IFERROR(__xludf.DUMMYFUNCTION("""COMPUTED_VALUE"""),"Школа 2094")</f>
        <v>Школа 2094</v>
      </c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>
      <c r="A247" s="65" t="s">
        <v>2986</v>
      </c>
      <c r="B247" s="66" t="s">
        <v>2987</v>
      </c>
      <c r="C247" s="66" t="s">
        <v>2985</v>
      </c>
      <c r="D247" s="67" t="s">
        <v>2410</v>
      </c>
      <c r="E247" s="68" t="str">
        <f>IFERROR(__xludf.DUMMYFUNCTION("""COMPUTED_VALUE"""),"Школа 547")</f>
        <v>Школа 547</v>
      </c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>
      <c r="A248" s="65" t="s">
        <v>2988</v>
      </c>
      <c r="B248" s="66" t="s">
        <v>2989</v>
      </c>
      <c r="C248" s="66" t="s">
        <v>2990</v>
      </c>
      <c r="D248" s="67" t="s">
        <v>2410</v>
      </c>
      <c r="E248" s="68" t="str">
        <f>IFERROR(__xludf.DUMMYFUNCTION("""COMPUTED_VALUE"""),"Школа 2109")</f>
        <v>Школа 2109</v>
      </c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>
      <c r="A249" s="65" t="s">
        <v>2991</v>
      </c>
      <c r="B249" s="66" t="s">
        <v>2992</v>
      </c>
      <c r="C249" s="66" t="s">
        <v>2650</v>
      </c>
      <c r="D249" s="67" t="s">
        <v>2497</v>
      </c>
      <c r="E249" s="68" t="str">
        <f>IFERROR(__xludf.DUMMYFUNCTION("""COMPUTED_VALUE"""),"Школа 771")</f>
        <v>Школа 771</v>
      </c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>
      <c r="A250" s="65" t="s">
        <v>2993</v>
      </c>
      <c r="B250" s="66" t="s">
        <v>2994</v>
      </c>
      <c r="C250" s="66" t="s">
        <v>2502</v>
      </c>
      <c r="D250" s="67" t="s">
        <v>2497</v>
      </c>
      <c r="E250" s="68" t="str">
        <f>IFERROR(__xludf.DUMMYFUNCTION("""COMPUTED_VALUE"""),"Школа 2100")</f>
        <v>Школа 2100</v>
      </c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>
      <c r="A251" s="65" t="s">
        <v>2995</v>
      </c>
      <c r="B251" s="66" t="s">
        <v>2996</v>
      </c>
      <c r="C251" s="66" t="s">
        <v>2653</v>
      </c>
      <c r="D251" s="67" t="s">
        <v>2497</v>
      </c>
      <c r="E251" s="68" t="str">
        <f>IFERROR(__xludf.DUMMYFUNCTION("""COMPUTED_VALUE"""),"Школа 1223")</f>
        <v>Школа 1223</v>
      </c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>
      <c r="A252" s="65" t="s">
        <v>2997</v>
      </c>
      <c r="B252" s="66" t="s">
        <v>2998</v>
      </c>
      <c r="C252" s="66" t="s">
        <v>2999</v>
      </c>
      <c r="D252" s="67" t="s">
        <v>2497</v>
      </c>
      <c r="E252" s="68" t="str">
        <f>IFERROR(__xludf.DUMMYFUNCTION("""COMPUTED_VALUE"""),"Школа 158")</f>
        <v>Школа 158</v>
      </c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>
      <c r="A253" s="65" t="s">
        <v>3000</v>
      </c>
      <c r="B253" s="66" t="s">
        <v>124</v>
      </c>
      <c r="C253" s="66" t="s">
        <v>3001</v>
      </c>
      <c r="D253" s="67" t="s">
        <v>2497</v>
      </c>
      <c r="E253" s="68" t="str">
        <f>IFERROR(__xludf.DUMMYFUNCTION("""COMPUTED_VALUE"""),"Школа Перспектива")</f>
        <v>Школа Перспектива</v>
      </c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>
      <c r="A254" s="65" t="s">
        <v>3002</v>
      </c>
      <c r="B254" s="66" t="s">
        <v>3003</v>
      </c>
      <c r="C254" s="66" t="s">
        <v>2505</v>
      </c>
      <c r="D254" s="67" t="s">
        <v>2497</v>
      </c>
      <c r="E254" s="68" t="str">
        <f>IFERROR(__xludf.DUMMYFUNCTION("""COMPUTED_VALUE"""),"Школа 1384")</f>
        <v>Школа 1384</v>
      </c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>
      <c r="A255" s="65" t="s">
        <v>3004</v>
      </c>
      <c r="B255" s="66" t="s">
        <v>3005</v>
      </c>
      <c r="C255" s="66" t="s">
        <v>2508</v>
      </c>
      <c r="D255" s="67" t="s">
        <v>2497</v>
      </c>
      <c r="E255" s="68" t="str">
        <f>IFERROR(__xludf.DUMMYFUNCTION("""COMPUTED_VALUE"""),"Школа 1454")</f>
        <v>Школа 1454</v>
      </c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>
      <c r="A256" s="65" t="s">
        <v>3006</v>
      </c>
      <c r="B256" s="66" t="s">
        <v>3007</v>
      </c>
      <c r="C256" s="66" t="s">
        <v>2514</v>
      </c>
      <c r="D256" s="67" t="s">
        <v>2497</v>
      </c>
      <c r="E256" s="68" t="str">
        <f>IFERROR(__xludf.DUMMYFUNCTION("""COMPUTED_VALUE"""),"Школа 141")</f>
        <v>Школа 141</v>
      </c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>
      <c r="A257" s="65" t="s">
        <v>3008</v>
      </c>
      <c r="B257" s="66" t="s">
        <v>3009</v>
      </c>
      <c r="C257" s="66" t="s">
        <v>2670</v>
      </c>
      <c r="D257" s="67" t="s">
        <v>2416</v>
      </c>
      <c r="E257" s="68" t="str">
        <f>IFERROR(__xludf.DUMMYFUNCTION("""COMPUTED_VALUE"""),"Школа 293")</f>
        <v>Школа 293</v>
      </c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>
      <c r="A258" s="65" t="s">
        <v>3010</v>
      </c>
      <c r="B258" s="66" t="s">
        <v>3011</v>
      </c>
      <c r="C258" s="66" t="s">
        <v>3012</v>
      </c>
      <c r="D258" s="67" t="s">
        <v>2416</v>
      </c>
      <c r="E258" s="68" t="str">
        <f>IFERROR(__xludf.DUMMYFUNCTION("""COMPUTED_VALUE"""),"Школа 1370")</f>
        <v>Школа 1370</v>
      </c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>
      <c r="A259" s="65" t="s">
        <v>3013</v>
      </c>
      <c r="B259" s="66" t="s">
        <v>3014</v>
      </c>
      <c r="C259" s="66" t="s">
        <v>2675</v>
      </c>
      <c r="D259" s="67" t="s">
        <v>2416</v>
      </c>
      <c r="E259" s="68" t="str">
        <f>IFERROR(__xludf.DUMMYFUNCTION("""COMPUTED_VALUE"""),"Школа 953")</f>
        <v>Школа 953</v>
      </c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>
      <c r="A260" s="65" t="s">
        <v>3015</v>
      </c>
      <c r="B260" s="66" t="s">
        <v>3016</v>
      </c>
      <c r="C260" s="66" t="s">
        <v>2682</v>
      </c>
      <c r="D260" s="67" t="s">
        <v>2416</v>
      </c>
      <c r="E260" s="68" t="str">
        <f>IFERROR(__xludf.DUMMYFUNCTION("""COMPUTED_VALUE"""),"Школа 763")</f>
        <v>Школа 763</v>
      </c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>
      <c r="A261" s="65" t="s">
        <v>3017</v>
      </c>
      <c r="B261" s="66" t="s">
        <v>3018</v>
      </c>
      <c r="C261" s="66" t="s">
        <v>3019</v>
      </c>
      <c r="D261" s="67" t="s">
        <v>2416</v>
      </c>
      <c r="E261" s="68" t="str">
        <f>IFERROR(__xludf.DUMMYFUNCTION("""COMPUTED_VALUE"""),"Гимназия РУТ")</f>
        <v>Гимназия РУТ</v>
      </c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>
      <c r="A262" s="65" t="s">
        <v>3020</v>
      </c>
      <c r="B262" s="66" t="s">
        <v>3021</v>
      </c>
      <c r="C262" s="66" t="s">
        <v>2528</v>
      </c>
      <c r="D262" s="67" t="s">
        <v>2416</v>
      </c>
      <c r="E262" s="68" t="str">
        <f>IFERROR(__xludf.DUMMYFUNCTION("""COMPUTED_VALUE"""),"Школа 16")</f>
        <v>Школа 16</v>
      </c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>
      <c r="A263" s="65" t="s">
        <v>3022</v>
      </c>
      <c r="B263" s="66" t="s">
        <v>3023</v>
      </c>
      <c r="C263" s="66" t="s">
        <v>2685</v>
      </c>
      <c r="D263" s="67" t="s">
        <v>2416</v>
      </c>
      <c r="E263" s="68" t="str">
        <f>IFERROR(__xludf.DUMMYFUNCTION("""COMPUTED_VALUE"""),"Школа 1554")</f>
        <v>Школа 1554</v>
      </c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>
      <c r="A264" s="65" t="s">
        <v>3024</v>
      </c>
      <c r="B264" s="66" t="s">
        <v>3025</v>
      </c>
      <c r="C264" s="66" t="s">
        <v>2685</v>
      </c>
      <c r="D264" s="67" t="s">
        <v>2416</v>
      </c>
      <c r="E264" s="68" t="str">
        <f>IFERROR(__xludf.DUMMYFUNCTION("""COMPUTED_VALUE"""),"Школа 950")</f>
        <v>Школа 950</v>
      </c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>
      <c r="A265" s="65" t="s">
        <v>3026</v>
      </c>
      <c r="B265" s="66" t="s">
        <v>3027</v>
      </c>
      <c r="C265" s="66" t="s">
        <v>2690</v>
      </c>
      <c r="D265" s="67" t="s">
        <v>2416</v>
      </c>
      <c r="E265" s="68" t="str">
        <f>IFERROR(__xludf.DUMMYFUNCTION("""COMPUTED_VALUE"""),"Школа 283")</f>
        <v>Школа 283</v>
      </c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>
      <c r="A266" s="65" t="s">
        <v>3028</v>
      </c>
      <c r="B266" s="66" t="s">
        <v>3029</v>
      </c>
      <c r="C266" s="66" t="s">
        <v>2531</v>
      </c>
      <c r="D266" s="67" t="s">
        <v>2416</v>
      </c>
      <c r="E266" s="68" t="str">
        <f>IFERROR(__xludf.DUMMYFUNCTION("""COMPUTED_VALUE"""),"Школа 1577")</f>
        <v>Школа 1577</v>
      </c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>
      <c r="A267" s="65" t="s">
        <v>3030</v>
      </c>
      <c r="B267" s="66" t="s">
        <v>3031</v>
      </c>
      <c r="C267" s="66" t="s">
        <v>2537</v>
      </c>
      <c r="D267" s="67" t="s">
        <v>2419</v>
      </c>
      <c r="E267" s="68" t="str">
        <f>IFERROR(__xludf.DUMMYFUNCTION("""COMPUTED_VALUE"""),"Школа 1358")</f>
        <v>Школа 1358</v>
      </c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>
      <c r="A268" s="65" t="s">
        <v>3032</v>
      </c>
      <c r="B268" s="66" t="s">
        <v>3033</v>
      </c>
      <c r="C268" s="66" t="s">
        <v>2537</v>
      </c>
      <c r="D268" s="67" t="s">
        <v>2419</v>
      </c>
      <c r="E268" s="68" t="str">
        <f>IFERROR(__xludf.DUMMYFUNCTION("""COMPUTED_VALUE"""),"Школа 1544")</f>
        <v>Школа 1544</v>
      </c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>
      <c r="A269" s="65" t="s">
        <v>3034</v>
      </c>
      <c r="B269" s="66" t="s">
        <v>3035</v>
      </c>
      <c r="C269" s="66" t="s">
        <v>2537</v>
      </c>
      <c r="D269" s="67" t="s">
        <v>2419</v>
      </c>
      <c r="E269" s="68" t="str">
        <f>IFERROR(__xludf.DUMMYFUNCTION("""COMPUTED_VALUE"""),"Школа 1900")</f>
        <v>Школа 1900</v>
      </c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>
      <c r="A270" s="65" t="s">
        <v>3036</v>
      </c>
      <c r="B270" s="66" t="s">
        <v>3037</v>
      </c>
      <c r="C270" s="66" t="s">
        <v>2540</v>
      </c>
      <c r="D270" s="67" t="s">
        <v>2419</v>
      </c>
      <c r="E270" s="68" t="str">
        <f>IFERROR(__xludf.DUMMYFUNCTION("""COMPUTED_VALUE"""),"Школа 1286")</f>
        <v>Школа 1286</v>
      </c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>
      <c r="A271" s="65" t="s">
        <v>3038</v>
      </c>
      <c r="B271" s="66" t="s">
        <v>3039</v>
      </c>
      <c r="C271" s="66" t="s">
        <v>2705</v>
      </c>
      <c r="D271" s="67" t="s">
        <v>2419</v>
      </c>
      <c r="E271" s="68" t="str">
        <f>IFERROR(__xludf.DUMMYFUNCTION("""COMPUTED_VALUE"""),"Школа 1155")</f>
        <v>Школа 1155</v>
      </c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>
      <c r="A272" s="65" t="s">
        <v>3040</v>
      </c>
      <c r="B272" s="66" t="s">
        <v>3041</v>
      </c>
      <c r="C272" s="66" t="s">
        <v>2705</v>
      </c>
      <c r="D272" s="67" t="s">
        <v>2419</v>
      </c>
      <c r="E272" s="68" t="str">
        <f>IFERROR(__xludf.DUMMYFUNCTION("""COMPUTED_VALUE"""),"Школа 1302")</f>
        <v>Школа 1302</v>
      </c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>
      <c r="A273" s="65" t="s">
        <v>3042</v>
      </c>
      <c r="B273" s="66" t="s">
        <v>3043</v>
      </c>
      <c r="C273" s="66" t="s">
        <v>2705</v>
      </c>
      <c r="D273" s="67" t="s">
        <v>2419</v>
      </c>
      <c r="E273" s="68" t="str">
        <f>IFERROR(__xludf.DUMMYFUNCTION("""COMPUTED_VALUE"""),"Школа 1519")</f>
        <v>Школа 1519</v>
      </c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>
      <c r="A274" s="65" t="s">
        <v>3044</v>
      </c>
      <c r="B274" s="66" t="s">
        <v>3045</v>
      </c>
      <c r="C274" s="66" t="s">
        <v>2543</v>
      </c>
      <c r="D274" s="67" t="s">
        <v>2419</v>
      </c>
      <c r="E274" s="68" t="str">
        <f>IFERROR(__xludf.DUMMYFUNCTION("""COMPUTED_VALUE"""),"Школа 1560")</f>
        <v>Школа 1560</v>
      </c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>
      <c r="A275" s="65" t="s">
        <v>3046</v>
      </c>
      <c r="B275" s="66" t="s">
        <v>3047</v>
      </c>
      <c r="C275" s="66" t="s">
        <v>2418</v>
      </c>
      <c r="D275" s="67" t="s">
        <v>2419</v>
      </c>
      <c r="E275" s="68" t="str">
        <f>IFERROR(__xludf.DUMMYFUNCTION("""COMPUTED_VALUE"""),"Школа 1212")</f>
        <v>Школа 1212</v>
      </c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>
      <c r="A276" s="65" t="s">
        <v>3048</v>
      </c>
      <c r="B276" s="66" t="s">
        <v>3049</v>
      </c>
      <c r="C276" s="66" t="s">
        <v>3050</v>
      </c>
      <c r="D276" s="67" t="s">
        <v>3051</v>
      </c>
      <c r="E276" s="68" t="str">
        <f>IFERROR(__xludf.DUMMYFUNCTION("""COMPUTED_VALUE"""),"Школа 2073")</f>
        <v>Школа 2073</v>
      </c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>
      <c r="A277" s="65" t="s">
        <v>3052</v>
      </c>
      <c r="B277" s="66" t="s">
        <v>3053</v>
      </c>
      <c r="C277" s="66" t="s">
        <v>3054</v>
      </c>
      <c r="D277" s="67" t="s">
        <v>3051</v>
      </c>
      <c r="E277" s="68" t="str">
        <f>IFERROR(__xludf.DUMMYFUNCTION("""COMPUTED_VALUE"""),"Гимназия им. Н. В. Пушкова")</f>
        <v>Гимназия им. Н. В. Пушкова</v>
      </c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>
      <c r="A278" s="65" t="s">
        <v>3055</v>
      </c>
      <c r="B278" s="66" t="s">
        <v>2373</v>
      </c>
      <c r="C278" s="66" t="s">
        <v>3054</v>
      </c>
      <c r="D278" s="67" t="s">
        <v>3051</v>
      </c>
      <c r="E278" s="68" t="str">
        <f>IFERROR(__xludf.DUMMYFUNCTION("""COMPUTED_VALUE"""),"Лицей города Троицка")</f>
        <v>Лицей города Троицка</v>
      </c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>
      <c r="A279" s="65" t="s">
        <v>3056</v>
      </c>
      <c r="B279" s="66" t="s">
        <v>3057</v>
      </c>
      <c r="C279" s="66" t="s">
        <v>3054</v>
      </c>
      <c r="D279" s="67" t="s">
        <v>3051</v>
      </c>
      <c r="E279" s="68" t="str">
        <f>IFERROR(__xludf.DUMMYFUNCTION("""COMPUTED_VALUE"""),"Школа 1392")</f>
        <v>Школа 1392</v>
      </c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>
      <c r="A280" s="65" t="s">
        <v>3058</v>
      </c>
      <c r="B280" s="66" t="s">
        <v>3059</v>
      </c>
      <c r="C280" s="66" t="s">
        <v>2713</v>
      </c>
      <c r="D280" s="67" t="s">
        <v>2422</v>
      </c>
      <c r="E280" s="68" t="str">
        <f>IFERROR(__xludf.DUMMYFUNCTION("""COMPUTED_VALUE"""),"Школа 1231")</f>
        <v>Школа 1231</v>
      </c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>
      <c r="A281" s="65" t="s">
        <v>3060</v>
      </c>
      <c r="B281" s="66" t="s">
        <v>3061</v>
      </c>
      <c r="C281" s="66" t="s">
        <v>3062</v>
      </c>
      <c r="D281" s="67" t="s">
        <v>2422</v>
      </c>
      <c r="E281" s="68" t="str">
        <f>IFERROR(__xludf.DUMMYFUNCTION("""COMPUTED_VALUE"""),"Школа 315")</f>
        <v>Школа 315</v>
      </c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>
      <c r="A282" s="65" t="s">
        <v>3063</v>
      </c>
      <c r="B282" s="66" t="s">
        <v>3064</v>
      </c>
      <c r="C282" s="66" t="s">
        <v>2726</v>
      </c>
      <c r="D282" s="67" t="s">
        <v>2422</v>
      </c>
      <c r="E282" s="68" t="str">
        <f>IFERROR(__xludf.DUMMYFUNCTION("""COMPUTED_VALUE"""),"Школа 1270")</f>
        <v>Школа 1270</v>
      </c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>
      <c r="A283" s="65" t="s">
        <v>3065</v>
      </c>
      <c r="B283" s="66" t="s">
        <v>3066</v>
      </c>
      <c r="C283" s="66" t="s">
        <v>2438</v>
      </c>
      <c r="D283" s="67" t="s">
        <v>2439</v>
      </c>
      <c r="E283" s="68" t="str">
        <f>IFERROR(__xludf.DUMMYFUNCTION("""COMPUTED_VALUE"""),"Школа 1905")</f>
        <v>Школа 1905</v>
      </c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>
      <c r="A284" s="65" t="s">
        <v>3067</v>
      </c>
      <c r="B284" s="66" t="s">
        <v>3068</v>
      </c>
      <c r="C284" s="66" t="s">
        <v>3069</v>
      </c>
      <c r="D284" s="67" t="s">
        <v>2439</v>
      </c>
      <c r="E284" s="68" t="str">
        <f>IFERROR(__xludf.DUMMYFUNCTION("""COMPUTED_VALUE"""),"Школа 2010")</f>
        <v>Школа 2010</v>
      </c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>
      <c r="A285" s="65" t="s">
        <v>3070</v>
      </c>
      <c r="B285" s="66" t="s">
        <v>3071</v>
      </c>
      <c r="C285" s="66" t="s">
        <v>3069</v>
      </c>
      <c r="D285" s="67" t="s">
        <v>2439</v>
      </c>
      <c r="E285" s="68" t="str">
        <f>IFERROR(__xludf.DUMMYFUNCTION("""COMPUTED_VALUE"""),"Школа 2121")</f>
        <v>Школа 2121</v>
      </c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>
      <c r="A286" s="65" t="s">
        <v>3072</v>
      </c>
      <c r="B286" s="66" t="s">
        <v>3073</v>
      </c>
      <c r="C286" s="66" t="s">
        <v>2561</v>
      </c>
      <c r="D286" s="67" t="s">
        <v>2439</v>
      </c>
      <c r="E286" s="68" t="str">
        <f>IFERROR(__xludf.DUMMYFUNCTION("""COMPUTED_VALUE"""),"Школа 2089")</f>
        <v>Школа 2089</v>
      </c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>
      <c r="A287" s="65" t="s">
        <v>3074</v>
      </c>
      <c r="B287" s="66" t="s">
        <v>3075</v>
      </c>
      <c r="C287" s="66" t="s">
        <v>3076</v>
      </c>
      <c r="D287" s="67" t="s">
        <v>2439</v>
      </c>
      <c r="E287" s="68" t="str">
        <f>IFERROR(__xludf.DUMMYFUNCTION("""COMPUTED_VALUE"""),"Школа 1222")</f>
        <v>Школа 1222</v>
      </c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>
      <c r="A288" s="65" t="s">
        <v>3077</v>
      </c>
      <c r="B288" s="66" t="s">
        <v>3078</v>
      </c>
      <c r="C288" s="66" t="s">
        <v>3079</v>
      </c>
      <c r="D288" s="67" t="s">
        <v>2439</v>
      </c>
      <c r="E288" s="68" t="str">
        <f>IFERROR(__xludf.DUMMYFUNCTION("""COMPUTED_VALUE"""),"Школа им. И. С. Полбина")</f>
        <v>Школа им. И. С. Полбина</v>
      </c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>
      <c r="A289" s="65" t="s">
        <v>3080</v>
      </c>
      <c r="B289" s="66" t="s">
        <v>3081</v>
      </c>
      <c r="C289" s="66" t="s">
        <v>2787</v>
      </c>
      <c r="D289" s="67" t="s">
        <v>2446</v>
      </c>
      <c r="E289" s="68" t="str">
        <f>IFERROR(__xludf.DUMMYFUNCTION("""COMPUTED_VALUE"""),"Школа 2115")</f>
        <v>Школа 2115</v>
      </c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>
      <c r="A290" s="65" t="s">
        <v>3082</v>
      </c>
      <c r="B290" s="66" t="s">
        <v>3083</v>
      </c>
      <c r="C290" s="66" t="s">
        <v>2787</v>
      </c>
      <c r="D290" s="67" t="s">
        <v>2446</v>
      </c>
      <c r="E290" s="68" t="str">
        <f>IFERROR(__xludf.DUMMYFUNCTION("""COMPUTED_VALUE"""),"Газпром школа")</f>
        <v>Газпром школа</v>
      </c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>
      <c r="A291" s="65" t="s">
        <v>3084</v>
      </c>
      <c r="B291" s="66" t="s">
        <v>3085</v>
      </c>
      <c r="C291" s="66" t="s">
        <v>2449</v>
      </c>
      <c r="D291" s="67" t="s">
        <v>2446</v>
      </c>
      <c r="E291" s="68" t="str">
        <f>IFERROR(__xludf.DUMMYFUNCTION("""COMPUTED_VALUE"""),"Школа 1368")</f>
        <v>Школа 1368</v>
      </c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>
      <c r="A292" s="65" t="s">
        <v>3086</v>
      </c>
      <c r="B292" s="66" t="s">
        <v>3087</v>
      </c>
      <c r="C292" s="66" t="s">
        <v>2449</v>
      </c>
      <c r="D292" s="67" t="s">
        <v>2446</v>
      </c>
      <c r="E292" s="68" t="str">
        <f>IFERROR(__xludf.DUMMYFUNCTION("""COMPUTED_VALUE"""),"Школа 1786")</f>
        <v>Школа 1786</v>
      </c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>
      <c r="A293" s="65" t="s">
        <v>3088</v>
      </c>
      <c r="B293" s="66" t="s">
        <v>3089</v>
      </c>
      <c r="C293" s="66" t="s">
        <v>3090</v>
      </c>
      <c r="D293" s="67" t="s">
        <v>2446</v>
      </c>
      <c r="E293" s="68" t="str">
        <f>IFERROR(__xludf.DUMMYFUNCTION("""COMPUTED_VALUE"""),"Школа 1206")</f>
        <v>Школа 1206</v>
      </c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>
      <c r="A294" s="65" t="s">
        <v>3091</v>
      </c>
      <c r="B294" s="66" t="s">
        <v>3092</v>
      </c>
      <c r="C294" s="66" t="s">
        <v>3090</v>
      </c>
      <c r="D294" s="67" t="s">
        <v>2446</v>
      </c>
      <c r="E294" s="68" t="str">
        <f>IFERROR(__xludf.DUMMYFUNCTION("""COMPUTED_VALUE"""),"Школа 1561")</f>
        <v>Школа 1561</v>
      </c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>
      <c r="A295" s="65" t="s">
        <v>3093</v>
      </c>
      <c r="B295" s="66" t="s">
        <v>3094</v>
      </c>
      <c r="C295" s="66" t="s">
        <v>3090</v>
      </c>
      <c r="D295" s="67" t="s">
        <v>2446</v>
      </c>
      <c r="E295" s="68" t="str">
        <f>IFERROR(__xludf.DUMMYFUNCTION("""COMPUTED_VALUE"""),"Школа 2103")</f>
        <v>Школа 2103</v>
      </c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>
      <c r="A296" s="65" t="s">
        <v>3095</v>
      </c>
      <c r="B296" s="66" t="s">
        <v>3096</v>
      </c>
      <c r="C296" s="66" t="s">
        <v>3097</v>
      </c>
      <c r="D296" s="67" t="s">
        <v>2453</v>
      </c>
      <c r="E296" s="68" t="str">
        <f>IFERROR(__xludf.DUMMYFUNCTION("""COMPUTED_VALUE"""),"Школа 667")</f>
        <v>Школа 667</v>
      </c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>
      <c r="A297" s="65" t="s">
        <v>3098</v>
      </c>
      <c r="B297" s="66" t="s">
        <v>3099</v>
      </c>
      <c r="C297" s="66" t="s">
        <v>2913</v>
      </c>
      <c r="D297" s="67" t="s">
        <v>2453</v>
      </c>
      <c r="E297" s="68" t="str">
        <f>IFERROR(__xludf.DUMMYFUNCTION("""COMPUTED_VALUE"""),"Школа 1998")</f>
        <v>Школа 1998</v>
      </c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>
      <c r="A298" s="65" t="s">
        <v>3100</v>
      </c>
      <c r="B298" s="66" t="s">
        <v>3101</v>
      </c>
      <c r="C298" s="66" t="s">
        <v>3102</v>
      </c>
      <c r="D298" s="67" t="s">
        <v>2453</v>
      </c>
      <c r="E298" s="68" t="str">
        <f>IFERROR(__xludf.DUMMYFUNCTION("""COMPUTED_VALUE"""),"Школа 463")</f>
        <v>Школа 463</v>
      </c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>
      <c r="A299" s="65" t="s">
        <v>3103</v>
      </c>
      <c r="B299" s="66" t="s">
        <v>3104</v>
      </c>
      <c r="C299" s="66" t="s">
        <v>2452</v>
      </c>
      <c r="D299" s="67" t="s">
        <v>2453</v>
      </c>
      <c r="E299" s="68" t="str">
        <f>IFERROR(__xludf.DUMMYFUNCTION("""COMPUTED_VALUE"""),"Школа 1862")</f>
        <v>Школа 1862</v>
      </c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>
      <c r="A300" s="65" t="s">
        <v>3105</v>
      </c>
      <c r="B300" s="66" t="s">
        <v>3106</v>
      </c>
      <c r="C300" s="66" t="s">
        <v>3107</v>
      </c>
      <c r="D300" s="67" t="s">
        <v>2453</v>
      </c>
      <c r="E300" s="68" t="str">
        <f>IFERROR(__xludf.DUMMYFUNCTION("""COMPUTED_VALUE"""),"Школа 904")</f>
        <v>Школа 904</v>
      </c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>
      <c r="A301" s="65" t="s">
        <v>3108</v>
      </c>
      <c r="B301" s="66" t="s">
        <v>3109</v>
      </c>
      <c r="C301" s="66" t="s">
        <v>2930</v>
      </c>
      <c r="D301" s="67" t="s">
        <v>2453</v>
      </c>
      <c r="E301" s="68" t="str">
        <f>IFERROR(__xludf.DUMMYFUNCTION("""COMPUTED_VALUE"""),"Школа 1245")</f>
        <v>Школа 1245</v>
      </c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>
      <c r="A302" s="65" t="s">
        <v>3110</v>
      </c>
      <c r="B302" s="66" t="s">
        <v>3111</v>
      </c>
      <c r="C302" s="66" t="s">
        <v>2930</v>
      </c>
      <c r="D302" s="67" t="s">
        <v>2453</v>
      </c>
      <c r="E302" s="68" t="str">
        <f>IFERROR(__xludf.DUMMYFUNCTION("""COMPUTED_VALUE"""),"Школа 924")</f>
        <v>Школа 924</v>
      </c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>
      <c r="A303" s="65" t="s">
        <v>3112</v>
      </c>
      <c r="B303" s="66" t="s">
        <v>3113</v>
      </c>
      <c r="C303" s="66" t="s">
        <v>2589</v>
      </c>
      <c r="D303" s="67" t="s">
        <v>2396</v>
      </c>
      <c r="E303" s="68" t="str">
        <f>IFERROR(__xludf.DUMMYFUNCTION("""COMPUTED_VALUE"""),"Школа 1360")</f>
        <v>Школа 1360</v>
      </c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>
      <c r="A304" s="65" t="s">
        <v>3114</v>
      </c>
      <c r="B304" s="66" t="s">
        <v>3115</v>
      </c>
      <c r="C304" s="66" t="s">
        <v>2819</v>
      </c>
      <c r="D304" s="67" t="s">
        <v>2396</v>
      </c>
      <c r="E304" s="68" t="str">
        <f>IFERROR(__xludf.DUMMYFUNCTION("""COMPUTED_VALUE"""),"Школа 734")</f>
        <v>Школа 734</v>
      </c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>
      <c r="A305" s="65" t="s">
        <v>3116</v>
      </c>
      <c r="B305" s="66" t="s">
        <v>3117</v>
      </c>
      <c r="C305" s="66" t="s">
        <v>2822</v>
      </c>
      <c r="D305" s="67" t="s">
        <v>2396</v>
      </c>
      <c r="E305" s="68" t="str">
        <f>IFERROR(__xludf.DUMMYFUNCTION("""COMPUTED_VALUE"""),"Школа 1598")</f>
        <v>Школа 1598</v>
      </c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>
      <c r="A306" s="65" t="s">
        <v>3118</v>
      </c>
      <c r="B306" s="66" t="s">
        <v>3119</v>
      </c>
      <c r="C306" s="66" t="s">
        <v>2822</v>
      </c>
      <c r="D306" s="67" t="s">
        <v>2396</v>
      </c>
      <c r="E306" s="68" t="str">
        <f>IFERROR(__xludf.DUMMYFUNCTION("""COMPUTED_VALUE"""),"Школа 368")</f>
        <v>Школа 368</v>
      </c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>
      <c r="A307" s="65" t="s">
        <v>3120</v>
      </c>
      <c r="B307" s="66" t="s">
        <v>3121</v>
      </c>
      <c r="C307" s="66" t="s">
        <v>3122</v>
      </c>
      <c r="D307" s="67" t="s">
        <v>2396</v>
      </c>
      <c r="E307" s="68" t="str">
        <f>IFERROR(__xludf.DUMMYFUNCTION("""COMPUTED_VALUE"""),"Школа 1798")</f>
        <v>Школа 1798</v>
      </c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>
      <c r="A308" s="65" t="s">
        <v>3123</v>
      </c>
      <c r="B308" s="66" t="s">
        <v>3124</v>
      </c>
      <c r="C308" s="66" t="s">
        <v>2461</v>
      </c>
      <c r="D308" s="67" t="s">
        <v>2396</v>
      </c>
      <c r="E308" s="68" t="str">
        <f>IFERROR(__xludf.DUMMYFUNCTION("""COMPUTED_VALUE"""),"Школа 1591")</f>
        <v>Школа 1591</v>
      </c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>
      <c r="A309" s="65" t="s">
        <v>3125</v>
      </c>
      <c r="B309" s="66" t="s">
        <v>70</v>
      </c>
      <c r="C309" s="66" t="s">
        <v>2827</v>
      </c>
      <c r="D309" s="67" t="s">
        <v>2396</v>
      </c>
      <c r="E309" s="68" t="str">
        <f>IFERROR(__xludf.DUMMYFUNCTION("""COMPUTED_VALUE"""),"Московская международная школа")</f>
        <v>Московская международная школа</v>
      </c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>
      <c r="A310" s="65" t="s">
        <v>3126</v>
      </c>
      <c r="B310" s="66" t="s">
        <v>3127</v>
      </c>
      <c r="C310" s="66" t="s">
        <v>2827</v>
      </c>
      <c r="D310" s="67" t="s">
        <v>2396</v>
      </c>
      <c r="E310" s="68" t="str">
        <f>IFERROR(__xludf.DUMMYFUNCTION("""COMPUTED_VALUE"""),"Школа 1637")</f>
        <v>Школа 1637</v>
      </c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>
      <c r="A311" s="65" t="s">
        <v>3128</v>
      </c>
      <c r="B311" s="66" t="s">
        <v>3129</v>
      </c>
      <c r="C311" s="66" t="s">
        <v>2827</v>
      </c>
      <c r="D311" s="67" t="s">
        <v>2396</v>
      </c>
      <c r="E311" s="68" t="str">
        <f>IFERROR(__xludf.DUMMYFUNCTION("""COMPUTED_VALUE"""),"Школа 2126")</f>
        <v>Школа 2126</v>
      </c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>
      <c r="A312" s="65" t="s">
        <v>3130</v>
      </c>
      <c r="B312" s="66" t="s">
        <v>3131</v>
      </c>
      <c r="C312" s="66" t="s">
        <v>2827</v>
      </c>
      <c r="D312" s="67" t="s">
        <v>2396</v>
      </c>
      <c r="E312" s="68" t="str">
        <f>IFERROR(__xludf.DUMMYFUNCTION("""COMPUTED_VALUE"""),"Школа 920")</f>
        <v>Школа 920</v>
      </c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>
      <c r="A313" s="65" t="s">
        <v>3132</v>
      </c>
      <c r="B313" s="66" t="s">
        <v>3133</v>
      </c>
      <c r="C313" s="66" t="s">
        <v>2605</v>
      </c>
      <c r="D313" s="67" t="s">
        <v>2396</v>
      </c>
      <c r="E313" s="68" t="str">
        <f>IFERROR(__xludf.DUMMYFUNCTION("""COMPUTED_VALUE"""),"Школа 2200")</f>
        <v>Школа 2200</v>
      </c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>
      <c r="A314" s="65" t="s">
        <v>3134</v>
      </c>
      <c r="B314" s="66" t="s">
        <v>3135</v>
      </c>
      <c r="C314" s="66" t="s">
        <v>2946</v>
      </c>
      <c r="D314" s="67" t="s">
        <v>2396</v>
      </c>
      <c r="E314" s="68" t="str">
        <f>IFERROR(__xludf.DUMMYFUNCTION("""COMPUTED_VALUE"""),"Школа 30")</f>
        <v>Школа 30</v>
      </c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>
      <c r="A315" s="65" t="s">
        <v>3136</v>
      </c>
      <c r="B315" s="66" t="s">
        <v>3137</v>
      </c>
      <c r="C315" s="66" t="s">
        <v>2464</v>
      </c>
      <c r="D315" s="67" t="s">
        <v>2406</v>
      </c>
      <c r="E315" s="68" t="str">
        <f>IFERROR(__xludf.DUMMYFUNCTION("""COMPUTED_VALUE"""),"Школа 56")</f>
        <v>Школа 56</v>
      </c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>
      <c r="A316" s="65" t="s">
        <v>3138</v>
      </c>
      <c r="B316" s="66" t="s">
        <v>3139</v>
      </c>
      <c r="C316" s="66" t="s">
        <v>2611</v>
      </c>
      <c r="D316" s="67" t="s">
        <v>2406</v>
      </c>
      <c r="E316" s="68" t="str">
        <f>IFERROR(__xludf.DUMMYFUNCTION("""COMPUTED_VALUE"""),"Школа 64")</f>
        <v>Школа 64</v>
      </c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>
      <c r="A317" s="65" t="s">
        <v>3140</v>
      </c>
      <c r="B317" s="66" t="s">
        <v>3141</v>
      </c>
      <c r="C317" s="66" t="s">
        <v>2611</v>
      </c>
      <c r="D317" s="67" t="s">
        <v>2406</v>
      </c>
      <c r="E317" s="68" t="str">
        <f>IFERROR(__xludf.DUMMYFUNCTION("""COMPUTED_VALUE"""),"Школа 806")</f>
        <v>Школа 806</v>
      </c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>
      <c r="A318" s="65" t="s">
        <v>3142</v>
      </c>
      <c r="B318" s="66" t="s">
        <v>2126</v>
      </c>
      <c r="C318" s="66" t="s">
        <v>2614</v>
      </c>
      <c r="D318" s="67" t="s">
        <v>2406</v>
      </c>
      <c r="E318" s="68" t="str">
        <f>IFERROR(__xludf.DUMMYFUNCTION("""COMPUTED_VALUE"""),"Западный комплекс непрерывного образования")</f>
        <v>Западный комплекс непрерывного образования</v>
      </c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>
      <c r="A319" s="65" t="s">
        <v>3143</v>
      </c>
      <c r="B319" s="66" t="s">
        <v>3144</v>
      </c>
      <c r="C319" s="66" t="s">
        <v>2614</v>
      </c>
      <c r="D319" s="67" t="s">
        <v>2406</v>
      </c>
      <c r="E319" s="68" t="str">
        <f>IFERROR(__xludf.DUMMYFUNCTION("""COMPUTED_VALUE"""),"Гимназия Сколково")</f>
        <v>Гимназия Сколково</v>
      </c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>
      <c r="A320" s="65" t="s">
        <v>3145</v>
      </c>
      <c r="B320" s="66" t="s">
        <v>3146</v>
      </c>
      <c r="C320" s="66" t="s">
        <v>2972</v>
      </c>
      <c r="D320" s="67" t="s">
        <v>2406</v>
      </c>
      <c r="E320" s="68" t="str">
        <f>IFERROR(__xludf.DUMMYFUNCTION("""COMPUTED_VALUE"""),"Школа 14")</f>
        <v>Школа 14</v>
      </c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>
      <c r="A321" s="65" t="s">
        <v>3147</v>
      </c>
      <c r="B321" s="66" t="s">
        <v>3148</v>
      </c>
      <c r="C321" s="66" t="s">
        <v>2972</v>
      </c>
      <c r="D321" s="67" t="s">
        <v>2406</v>
      </c>
      <c r="E321" s="68" t="str">
        <f>IFERROR(__xludf.DUMMYFUNCTION("""COMPUTED_VALUE"""),"Школа 875")</f>
        <v>Школа 875</v>
      </c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>
      <c r="A322" s="65" t="s">
        <v>3149</v>
      </c>
      <c r="B322" s="66" t="s">
        <v>3150</v>
      </c>
      <c r="C322" s="66" t="s">
        <v>2626</v>
      </c>
      <c r="D322" s="67" t="s">
        <v>2406</v>
      </c>
      <c r="E322" s="68" t="str">
        <f>IFERROR(__xludf.DUMMYFUNCTION("""COMPUTED_VALUE"""),"Школа 1248")</f>
        <v>Школа 1248</v>
      </c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>
      <c r="A323" s="65" t="s">
        <v>3151</v>
      </c>
      <c r="B323" s="66" t="s">
        <v>3152</v>
      </c>
      <c r="C323" s="66" t="s">
        <v>2626</v>
      </c>
      <c r="D323" s="67" t="s">
        <v>2406</v>
      </c>
      <c r="E323" s="68" t="str">
        <f>IFERROR(__xludf.DUMMYFUNCTION("""COMPUTED_VALUE"""),"Школа 97")</f>
        <v>Школа 97</v>
      </c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>
      <c r="A324" s="65" t="s">
        <v>3153</v>
      </c>
      <c r="B324" s="66" t="s">
        <v>3154</v>
      </c>
      <c r="C324" s="66" t="s">
        <v>3155</v>
      </c>
      <c r="D324" s="67" t="s">
        <v>2410</v>
      </c>
      <c r="E324" s="68" t="str">
        <f>IFERROR(__xludf.DUMMYFUNCTION("""COMPUTED_VALUE"""),"Школа 1788")</f>
        <v>Школа 1788</v>
      </c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>
      <c r="A325" s="65" t="s">
        <v>3156</v>
      </c>
      <c r="B325" s="66" t="s">
        <v>3157</v>
      </c>
      <c r="C325" s="66" t="s">
        <v>2985</v>
      </c>
      <c r="D325" s="67" t="s">
        <v>2410</v>
      </c>
      <c r="E325" s="68" t="str">
        <f>IFERROR(__xludf.DUMMYFUNCTION("""COMPUTED_VALUE"""),"Школа 338")</f>
        <v>Школа 338</v>
      </c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>
      <c r="A326" s="65" t="s">
        <v>3158</v>
      </c>
      <c r="B326" s="66" t="s">
        <v>3159</v>
      </c>
      <c r="C326" s="66" t="s">
        <v>3160</v>
      </c>
      <c r="D326" s="67" t="s">
        <v>2410</v>
      </c>
      <c r="E326" s="68" t="str">
        <f>IFERROR(__xludf.DUMMYFUNCTION("""COMPUTED_VALUE"""),"Школа 2120")</f>
        <v>Школа 2120</v>
      </c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>
      <c r="A327" s="65" t="s">
        <v>3161</v>
      </c>
      <c r="B327" s="66" t="s">
        <v>3162</v>
      </c>
      <c r="C327" s="66" t="s">
        <v>2990</v>
      </c>
      <c r="D327" s="67" t="s">
        <v>2410</v>
      </c>
      <c r="E327" s="68" t="str">
        <f>IFERROR(__xludf.DUMMYFUNCTION("""COMPUTED_VALUE"""),"Школа 2122")</f>
        <v>Школа 2122</v>
      </c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>
      <c r="A328" s="65" t="s">
        <v>3163</v>
      </c>
      <c r="B328" s="66" t="s">
        <v>3164</v>
      </c>
      <c r="C328" s="66" t="s">
        <v>2644</v>
      </c>
      <c r="D328" s="67" t="s">
        <v>2497</v>
      </c>
      <c r="E328" s="68" t="str">
        <f>IFERROR(__xludf.DUMMYFUNCTION("""COMPUTED_VALUE"""),"Школа 1550")</f>
        <v>Школа 1550</v>
      </c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>
      <c r="A329" s="65" t="s">
        <v>3165</v>
      </c>
      <c r="B329" s="66" t="s">
        <v>3166</v>
      </c>
      <c r="C329" s="66" t="s">
        <v>2853</v>
      </c>
      <c r="D329" s="67" t="s">
        <v>2497</v>
      </c>
      <c r="E329" s="68" t="str">
        <f>IFERROR(__xludf.DUMMYFUNCTION("""COMPUTED_VALUE"""),"Школа им. Е. Н. Чернышева")</f>
        <v>Школа им. Е. Н. Чернышева</v>
      </c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>
      <c r="A330" s="65" t="s">
        <v>3167</v>
      </c>
      <c r="B330" s="66" t="s">
        <v>3168</v>
      </c>
      <c r="C330" s="66" t="s">
        <v>2853</v>
      </c>
      <c r="D330" s="67" t="s">
        <v>2497</v>
      </c>
      <c r="E330" s="68" t="str">
        <f>IFERROR(__xludf.DUMMYFUNCTION("""COMPUTED_VALUE"""),"Школа 1383")</f>
        <v>Школа 1383</v>
      </c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>
      <c r="A331" s="65" t="s">
        <v>3169</v>
      </c>
      <c r="B331" s="66" t="s">
        <v>3170</v>
      </c>
      <c r="C331" s="66" t="s">
        <v>2853</v>
      </c>
      <c r="D331" s="67" t="s">
        <v>2497</v>
      </c>
      <c r="E331" s="68" t="str">
        <f>IFERROR(__xludf.DUMMYFUNCTION("""COMPUTED_VALUE"""),"Школа 656")</f>
        <v>Школа 656</v>
      </c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>
      <c r="A332" s="65" t="s">
        <v>3171</v>
      </c>
      <c r="B332" s="66" t="s">
        <v>3172</v>
      </c>
      <c r="C332" s="66" t="s">
        <v>2647</v>
      </c>
      <c r="D332" s="67" t="s">
        <v>2497</v>
      </c>
      <c r="E332" s="68" t="str">
        <f>IFERROR(__xludf.DUMMYFUNCTION("""COMPUTED_VALUE"""),"Школа 1250")</f>
        <v>Школа 1250</v>
      </c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>
      <c r="A333" s="65" t="s">
        <v>3173</v>
      </c>
      <c r="B333" s="66" t="s">
        <v>3174</v>
      </c>
      <c r="C333" s="66" t="s">
        <v>3175</v>
      </c>
      <c r="D333" s="67" t="s">
        <v>2497</v>
      </c>
      <c r="E333" s="68" t="str">
        <f>IFERROR(__xludf.DUMMYFUNCTION("""COMPUTED_VALUE"""),"Школа 1296")</f>
        <v>Школа 1296</v>
      </c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>
      <c r="A334" s="65" t="s">
        <v>3176</v>
      </c>
      <c r="B334" s="66" t="s">
        <v>3177</v>
      </c>
      <c r="C334" s="66" t="s">
        <v>3175</v>
      </c>
      <c r="D334" s="67" t="s">
        <v>2497</v>
      </c>
      <c r="E334" s="68" t="str">
        <f>IFERROR(__xludf.DUMMYFUNCTION("""COMPUTED_VALUE"""),"Школа 1794")</f>
        <v>Школа 1794</v>
      </c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>
      <c r="A335" s="65" t="s">
        <v>3178</v>
      </c>
      <c r="B335" s="66" t="s">
        <v>3179</v>
      </c>
      <c r="C335" s="66" t="s">
        <v>2858</v>
      </c>
      <c r="D335" s="67" t="s">
        <v>2497</v>
      </c>
      <c r="E335" s="68" t="str">
        <f>IFERROR(__xludf.DUMMYFUNCTION("""COMPUTED_VALUE"""),"Школа 1159")</f>
        <v>Школа 1159</v>
      </c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>
      <c r="A336" s="65" t="s">
        <v>3180</v>
      </c>
      <c r="B336" s="66" t="s">
        <v>3181</v>
      </c>
      <c r="C336" s="66" t="s">
        <v>2650</v>
      </c>
      <c r="D336" s="67" t="s">
        <v>2497</v>
      </c>
      <c r="E336" s="68" t="str">
        <f>IFERROR(__xludf.DUMMYFUNCTION("""COMPUTED_VALUE"""),"Школа 236")</f>
        <v>Школа 236</v>
      </c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>
      <c r="A337" s="65" t="s">
        <v>3182</v>
      </c>
      <c r="B337" s="66" t="s">
        <v>3183</v>
      </c>
      <c r="C337" s="66" t="s">
        <v>2502</v>
      </c>
      <c r="D337" s="67" t="s">
        <v>2497</v>
      </c>
      <c r="E337" s="68" t="str">
        <f>IFERROR(__xludf.DUMMYFUNCTION("""COMPUTED_VALUE"""),"Школа 1125")</f>
        <v>Школа 1125</v>
      </c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>
      <c r="A338" s="65" t="s">
        <v>3184</v>
      </c>
      <c r="B338" s="66" t="s">
        <v>3185</v>
      </c>
      <c r="C338" s="66" t="s">
        <v>3186</v>
      </c>
      <c r="D338" s="67" t="s">
        <v>2497</v>
      </c>
      <c r="E338" s="68" t="str">
        <f>IFERROR(__xludf.DUMMYFUNCTION("""COMPUTED_VALUE"""),"Школа 1164")</f>
        <v>Школа 1164</v>
      </c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>
      <c r="A339" s="65" t="s">
        <v>3187</v>
      </c>
      <c r="B339" s="66" t="s">
        <v>3188</v>
      </c>
      <c r="C339" s="66" t="s">
        <v>3186</v>
      </c>
      <c r="D339" s="67" t="s">
        <v>2497</v>
      </c>
      <c r="E339" s="68" t="str">
        <f>IFERROR(__xludf.DUMMYFUNCTION("""COMPUTED_VALUE"""),"Школа 1601")</f>
        <v>Школа 1601</v>
      </c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>
      <c r="A340" s="65" t="s">
        <v>3189</v>
      </c>
      <c r="B340" s="66" t="s">
        <v>3190</v>
      </c>
      <c r="C340" s="66" t="s">
        <v>2505</v>
      </c>
      <c r="D340" s="67" t="s">
        <v>2497</v>
      </c>
      <c r="E340" s="68" t="str">
        <f>IFERROR(__xludf.DUMMYFUNCTION("""COMPUTED_VALUE"""),"Школа 1249")</f>
        <v>Школа 1249</v>
      </c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>
      <c r="A341" s="65" t="s">
        <v>3191</v>
      </c>
      <c r="B341" s="66" t="s">
        <v>3192</v>
      </c>
      <c r="C341" s="66" t="s">
        <v>2505</v>
      </c>
      <c r="D341" s="67" t="s">
        <v>2497</v>
      </c>
      <c r="E341" s="68" t="str">
        <f>IFERROR(__xludf.DUMMYFUNCTION("""COMPUTED_VALUE"""),"Предуниверсарий МАИ")</f>
        <v>Предуниверсарий МАИ</v>
      </c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>
      <c r="A342" s="65" t="s">
        <v>3193</v>
      </c>
      <c r="B342" s="66" t="s">
        <v>3194</v>
      </c>
      <c r="C342" s="66" t="s">
        <v>2670</v>
      </c>
      <c r="D342" s="67" t="s">
        <v>2416</v>
      </c>
      <c r="E342" s="68" t="str">
        <f>IFERROR(__xludf.DUMMYFUNCTION("""COMPUTED_VALUE"""),"Школа 1503")</f>
        <v>Школа 1503</v>
      </c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>
      <c r="A343" s="65" t="s">
        <v>3195</v>
      </c>
      <c r="B343" s="66" t="s">
        <v>3196</v>
      </c>
      <c r="C343" s="66" t="s">
        <v>2519</v>
      </c>
      <c r="D343" s="67" t="s">
        <v>2416</v>
      </c>
      <c r="E343" s="68" t="str">
        <f>IFERROR(__xludf.DUMMYFUNCTION("""COMPUTED_VALUE"""),"Школа 1095")</f>
        <v>Школа 1095</v>
      </c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>
      <c r="A344" s="65" t="s">
        <v>3197</v>
      </c>
      <c r="B344" s="66" t="s">
        <v>3198</v>
      </c>
      <c r="C344" s="66" t="s">
        <v>2519</v>
      </c>
      <c r="D344" s="67" t="s">
        <v>2416</v>
      </c>
      <c r="E344" s="68" t="str">
        <f>IFERROR(__xludf.DUMMYFUNCTION("""COMPUTED_VALUE"""),"Школа 281")</f>
        <v>Школа 281</v>
      </c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>
      <c r="A345" s="65" t="s">
        <v>3199</v>
      </c>
      <c r="B345" s="66" t="s">
        <v>3200</v>
      </c>
      <c r="C345" s="66" t="s">
        <v>2675</v>
      </c>
      <c r="D345" s="67" t="s">
        <v>2416</v>
      </c>
      <c r="E345" s="68" t="str">
        <f>IFERROR(__xludf.DUMMYFUNCTION("""COMPUTED_VALUE"""),"Школа 1412")</f>
        <v>Школа 1412</v>
      </c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>
      <c r="A346" s="65" t="s">
        <v>3201</v>
      </c>
      <c r="B346" s="66" t="s">
        <v>3202</v>
      </c>
      <c r="C346" s="66" t="s">
        <v>2675</v>
      </c>
      <c r="D346" s="67" t="s">
        <v>2416</v>
      </c>
      <c r="E346" s="68" t="str">
        <f>IFERROR(__xludf.DUMMYFUNCTION("""COMPUTED_VALUE"""),"Школа 1413")</f>
        <v>Школа 1413</v>
      </c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>
      <c r="A347" s="65" t="s">
        <v>3203</v>
      </c>
      <c r="B347" s="66" t="s">
        <v>3204</v>
      </c>
      <c r="C347" s="66" t="s">
        <v>3205</v>
      </c>
      <c r="D347" s="67" t="s">
        <v>2416</v>
      </c>
      <c r="E347" s="68" t="str">
        <f>IFERROR(__xludf.DUMMYFUNCTION("""COMPUTED_VALUE"""),"Школа 1236")</f>
        <v>Школа 1236</v>
      </c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>
      <c r="A348" s="65" t="s">
        <v>3206</v>
      </c>
      <c r="B348" s="66" t="s">
        <v>3207</v>
      </c>
      <c r="C348" s="66" t="s">
        <v>2522</v>
      </c>
      <c r="D348" s="67" t="s">
        <v>2416</v>
      </c>
      <c r="E348" s="68" t="str">
        <f>IFERROR(__xludf.DUMMYFUNCTION("""COMPUTED_VALUE"""),"Школа 1416")</f>
        <v>Школа 1416</v>
      </c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>
      <c r="A349" s="65" t="s">
        <v>3208</v>
      </c>
      <c r="B349" s="66" t="s">
        <v>3209</v>
      </c>
      <c r="C349" s="66" t="s">
        <v>2682</v>
      </c>
      <c r="D349" s="67" t="s">
        <v>2416</v>
      </c>
      <c r="E349" s="68" t="str">
        <f>IFERROR(__xludf.DUMMYFUNCTION("""COMPUTED_VALUE"""),"Школа 1381")</f>
        <v>Школа 1381</v>
      </c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>
      <c r="A350" s="65" t="s">
        <v>3210</v>
      </c>
      <c r="B350" s="66" t="s">
        <v>3211</v>
      </c>
      <c r="C350" s="66" t="s">
        <v>3212</v>
      </c>
      <c r="D350" s="67" t="s">
        <v>2416</v>
      </c>
      <c r="E350" s="68" t="str">
        <f>IFERROR(__xludf.DUMMYFUNCTION("""COMPUTED_VALUE"""),"Школа 1494")</f>
        <v>Школа 1494</v>
      </c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>
      <c r="A351" s="65" t="s">
        <v>3213</v>
      </c>
      <c r="B351" s="66" t="s">
        <v>3214</v>
      </c>
      <c r="C351" s="66" t="s">
        <v>2528</v>
      </c>
      <c r="D351" s="67" t="s">
        <v>2416</v>
      </c>
      <c r="E351" s="68" t="str">
        <f>IFERROR(__xludf.DUMMYFUNCTION("""COMPUTED_VALUE"""),"Школа 1531")</f>
        <v>Школа 1531</v>
      </c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>
      <c r="A352" s="65" t="s">
        <v>3215</v>
      </c>
      <c r="B352" s="66" t="s">
        <v>3216</v>
      </c>
      <c r="C352" s="66" t="s">
        <v>2415</v>
      </c>
      <c r="D352" s="67" t="s">
        <v>2416</v>
      </c>
      <c r="E352" s="68" t="str">
        <f>IFERROR(__xludf.DUMMYFUNCTION("""COMPUTED_VALUE"""),"Школа 285")</f>
        <v>Школа 285</v>
      </c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>
      <c r="A353" s="65" t="s">
        <v>3217</v>
      </c>
      <c r="B353" s="66" t="s">
        <v>3218</v>
      </c>
      <c r="C353" s="66" t="s">
        <v>2415</v>
      </c>
      <c r="D353" s="67" t="s">
        <v>2416</v>
      </c>
      <c r="E353" s="68" t="str">
        <f>IFERROR(__xludf.DUMMYFUNCTION("""COMPUTED_VALUE"""),"Школа 956")</f>
        <v>Школа 956</v>
      </c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>
      <c r="A354" s="65" t="s">
        <v>3219</v>
      </c>
      <c r="B354" s="66" t="s">
        <v>3220</v>
      </c>
      <c r="C354" s="66" t="s">
        <v>2534</v>
      </c>
      <c r="D354" s="67" t="s">
        <v>2419</v>
      </c>
      <c r="E354" s="68" t="str">
        <f>IFERROR(__xludf.DUMMYFUNCTION("""COMPUTED_VALUE"""),"Школа 1387")</f>
        <v>Школа 1387</v>
      </c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>
      <c r="A355" s="65" t="s">
        <v>3221</v>
      </c>
      <c r="B355" s="66" t="s">
        <v>3222</v>
      </c>
      <c r="C355" s="66" t="s">
        <v>2537</v>
      </c>
      <c r="D355" s="67" t="s">
        <v>2419</v>
      </c>
      <c r="E355" s="68" t="str">
        <f>IFERROR(__xludf.DUMMYFUNCTION("""COMPUTED_VALUE"""),"Школа 1747")</f>
        <v>Школа 1747</v>
      </c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>
      <c r="A356" s="65" t="s">
        <v>3223</v>
      </c>
      <c r="B356" s="66" t="s">
        <v>3224</v>
      </c>
      <c r="C356" s="66" t="s">
        <v>3225</v>
      </c>
      <c r="D356" s="67" t="s">
        <v>2419</v>
      </c>
      <c r="E356" s="68" t="str">
        <f>IFERROR(__xludf.DUMMYFUNCTION("""COMPUTED_VALUE"""),"Школа 830")</f>
        <v>Школа 830</v>
      </c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>
      <c r="A357" s="65" t="s">
        <v>3226</v>
      </c>
      <c r="B357" s="66" t="s">
        <v>3227</v>
      </c>
      <c r="C357" s="66" t="s">
        <v>2540</v>
      </c>
      <c r="D357" s="67" t="s">
        <v>2419</v>
      </c>
      <c r="E357" s="68" t="str">
        <f>IFERROR(__xludf.DUMMYFUNCTION("""COMPUTED_VALUE"""),"Школа 883")</f>
        <v>Школа 883</v>
      </c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>
      <c r="A358" s="65" t="s">
        <v>3228</v>
      </c>
      <c r="B358" s="66" t="s">
        <v>3229</v>
      </c>
      <c r="C358" s="66" t="s">
        <v>2705</v>
      </c>
      <c r="D358" s="67" t="s">
        <v>2419</v>
      </c>
      <c r="E358" s="68" t="str">
        <f>IFERROR(__xludf.DUMMYFUNCTION("""COMPUTED_VALUE"""),"Школа 69")</f>
        <v>Школа 69</v>
      </c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>
      <c r="A359" s="65" t="s">
        <v>3230</v>
      </c>
      <c r="B359" s="66" t="s">
        <v>3231</v>
      </c>
      <c r="C359" s="66" t="s">
        <v>2705</v>
      </c>
      <c r="D359" s="67" t="s">
        <v>2419</v>
      </c>
      <c r="E359" s="68" t="str">
        <f>IFERROR(__xludf.DUMMYFUNCTION("""COMPUTED_VALUE"""),"Школа 705")</f>
        <v>Школа 705</v>
      </c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>
      <c r="A360" s="65" t="s">
        <v>3232</v>
      </c>
      <c r="B360" s="66" t="s">
        <v>3233</v>
      </c>
      <c r="C360" s="66" t="s">
        <v>2418</v>
      </c>
      <c r="D360" s="67" t="s">
        <v>2419</v>
      </c>
      <c r="E360" s="68" t="str">
        <f>IFERROR(__xludf.DUMMYFUNCTION("""COMPUTED_VALUE"""),"Школа 1210")</f>
        <v>Школа 1210</v>
      </c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>
      <c r="A361" s="65" t="s">
        <v>3234</v>
      </c>
      <c r="B361" s="66" t="s">
        <v>3235</v>
      </c>
      <c r="C361" s="66" t="s">
        <v>2418</v>
      </c>
      <c r="D361" s="67" t="s">
        <v>2419</v>
      </c>
      <c r="E361" s="68" t="str">
        <f>IFERROR(__xludf.DUMMYFUNCTION("""COMPUTED_VALUE"""),"Школа 1874")</f>
        <v>Школа 1874</v>
      </c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>
      <c r="A362" s="65" t="s">
        <v>3236</v>
      </c>
      <c r="B362" s="66" t="s">
        <v>3237</v>
      </c>
      <c r="C362" s="66" t="s">
        <v>3054</v>
      </c>
      <c r="D362" s="67" t="s">
        <v>3051</v>
      </c>
      <c r="E362" s="68" t="str">
        <f>IFERROR(__xludf.DUMMYFUNCTION("""COMPUTED_VALUE"""),"Гимназия города Троицка")</f>
        <v>Гимназия города Троицка</v>
      </c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>
      <c r="A363" s="65" t="s">
        <v>3238</v>
      </c>
      <c r="B363" s="66" t="s">
        <v>3239</v>
      </c>
      <c r="C363" s="66" t="s">
        <v>2713</v>
      </c>
      <c r="D363" s="67" t="s">
        <v>2422</v>
      </c>
      <c r="E363" s="68" t="str">
        <f>IFERROR(__xludf.DUMMYFUNCTION("""COMPUTED_VALUE"""),"Школа 91")</f>
        <v>Школа 91</v>
      </c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>
      <c r="A364" s="65" t="s">
        <v>3240</v>
      </c>
      <c r="B364" s="66" t="s">
        <v>121</v>
      </c>
      <c r="C364" s="66" t="s">
        <v>2421</v>
      </c>
      <c r="D364" s="67" t="s">
        <v>2422</v>
      </c>
      <c r="E364" s="68" t="str">
        <f>IFERROR(__xludf.DUMMYFUNCTION("""COMPUTED_VALUE"""),"Школа на Яузе")</f>
        <v>Школа на Яузе</v>
      </c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>
      <c r="A365" s="65" t="s">
        <v>3241</v>
      </c>
      <c r="B365" s="66" t="s">
        <v>3242</v>
      </c>
      <c r="C365" s="66" t="s">
        <v>2421</v>
      </c>
      <c r="D365" s="67" t="s">
        <v>2422</v>
      </c>
      <c r="E365" s="68" t="str">
        <f>IFERROR(__xludf.DUMMYFUNCTION("""COMPUTED_VALUE"""),"Школа 354")</f>
        <v>Школа 354</v>
      </c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>
      <c r="A366" s="65" t="s">
        <v>3243</v>
      </c>
      <c r="B366" s="66" t="s">
        <v>3244</v>
      </c>
      <c r="C366" s="66" t="s">
        <v>2421</v>
      </c>
      <c r="D366" s="67" t="s">
        <v>2422</v>
      </c>
      <c r="E366" s="68" t="str">
        <f>IFERROR(__xludf.DUMMYFUNCTION("""COMPUTED_VALUE"""),"Православная Свято-Петровская школа")</f>
        <v>Православная Свято-Петровская школа</v>
      </c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>
      <c r="A367" s="65" t="s">
        <v>3245</v>
      </c>
      <c r="B367" s="66" t="s">
        <v>3246</v>
      </c>
      <c r="C367" s="66" t="s">
        <v>3062</v>
      </c>
      <c r="D367" s="67" t="s">
        <v>2422</v>
      </c>
      <c r="E367" s="68" t="str">
        <f>IFERROR(__xludf.DUMMYFUNCTION("""COMPUTED_VALUE"""),"Школа 1500")</f>
        <v>Школа 1500</v>
      </c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>
      <c r="A368" s="65" t="s">
        <v>3247</v>
      </c>
      <c r="B368" s="66" t="s">
        <v>3248</v>
      </c>
      <c r="C368" s="66" t="s">
        <v>3062</v>
      </c>
      <c r="D368" s="67" t="s">
        <v>2422</v>
      </c>
      <c r="E368" s="68" t="str">
        <f>IFERROR(__xludf.DUMMYFUNCTION("""COMPUTED_VALUE"""),"Школа 1284")</f>
        <v>Школа 1284</v>
      </c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>
      <c r="A369" s="65" t="s">
        <v>3249</v>
      </c>
      <c r="B369" s="66" t="s">
        <v>3250</v>
      </c>
      <c r="C369" s="66" t="s">
        <v>2549</v>
      </c>
      <c r="D369" s="67" t="s">
        <v>2422</v>
      </c>
      <c r="E369" s="68" t="str">
        <f>IFERROR(__xludf.DUMMYFUNCTION("""COMPUTED_VALUE"""),"Школа 1239")</f>
        <v>Школа 1239</v>
      </c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>
      <c r="A370" s="65" t="s">
        <v>3251</v>
      </c>
      <c r="B370" s="66" t="s">
        <v>3252</v>
      </c>
      <c r="C370" s="66" t="s">
        <v>2549</v>
      </c>
      <c r="D370" s="67" t="s">
        <v>2422</v>
      </c>
      <c r="E370" s="68" t="str">
        <f>IFERROR(__xludf.DUMMYFUNCTION("""COMPUTED_VALUE"""),"Школа 1241")</f>
        <v>Школа 1241</v>
      </c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>
      <c r="A371" s="65" t="s">
        <v>3253</v>
      </c>
      <c r="B371" s="66" t="s">
        <v>3254</v>
      </c>
      <c r="C371" s="66" t="s">
        <v>2425</v>
      </c>
      <c r="D371" s="67" t="s">
        <v>2422</v>
      </c>
      <c r="E371" s="68" t="str">
        <f>IFERROR(__xludf.DUMMYFUNCTION("""COMPUTED_VALUE"""),"Лицей МПГУ")</f>
        <v>Лицей МПГУ</v>
      </c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>
      <c r="A372" s="65" t="s">
        <v>3255</v>
      </c>
      <c r="B372" s="66" t="s">
        <v>82</v>
      </c>
      <c r="C372" s="66" t="s">
        <v>3256</v>
      </c>
      <c r="D372" s="67" t="s">
        <v>2439</v>
      </c>
      <c r="E372" s="68" t="str">
        <f>IFERROR(__xludf.DUMMYFUNCTION("""COMPUTED_VALUE"""),"Школа в Капотне")</f>
        <v>Школа в Капотне</v>
      </c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>
      <c r="A373" s="65" t="s">
        <v>3257</v>
      </c>
      <c r="B373" s="66" t="s">
        <v>3258</v>
      </c>
      <c r="C373" s="66" t="s">
        <v>2442</v>
      </c>
      <c r="D373" s="67" t="s">
        <v>2439</v>
      </c>
      <c r="E373" s="68" t="str">
        <f>IFERROR(__xludf.DUMMYFUNCTION("""COMPUTED_VALUE"""),"Школа 641")</f>
        <v>Школа 641</v>
      </c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>
      <c r="A374" s="65" t="s">
        <v>3259</v>
      </c>
      <c r="B374" s="66" t="s">
        <v>133</v>
      </c>
      <c r="C374" s="66" t="s">
        <v>3260</v>
      </c>
      <c r="D374" s="67" t="s">
        <v>2439</v>
      </c>
      <c r="E374" s="68" t="str">
        <f>IFERROR(__xludf.DUMMYFUNCTION("""COMPUTED_VALUE"""),"Школа Содружество")</f>
        <v>Школа Содружество</v>
      </c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>
      <c r="A375" s="65" t="s">
        <v>3261</v>
      </c>
      <c r="B375" s="66" t="s">
        <v>3262</v>
      </c>
      <c r="C375" s="66" t="s">
        <v>3260</v>
      </c>
      <c r="D375" s="67" t="s">
        <v>2439</v>
      </c>
      <c r="E375" s="68" t="str">
        <f>IFERROR(__xludf.DUMMYFUNCTION("""COMPUTED_VALUE"""),"Школа 1228")</f>
        <v>Школа 1228</v>
      </c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>
      <c r="A376" s="65" t="s">
        <v>3263</v>
      </c>
      <c r="B376" s="66" t="s">
        <v>3264</v>
      </c>
      <c r="C376" s="66" t="s">
        <v>3069</v>
      </c>
      <c r="D376" s="67" t="s">
        <v>2439</v>
      </c>
      <c r="E376" s="68" t="str">
        <f>IFERROR(__xludf.DUMMYFUNCTION("""COMPUTED_VALUE"""),"Школа им. Ф. М. Достоевского")</f>
        <v>Школа им. Ф. М. Достоевского</v>
      </c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>
      <c r="A377" s="65" t="s">
        <v>3265</v>
      </c>
      <c r="B377" s="66" t="s">
        <v>3266</v>
      </c>
      <c r="C377" s="66" t="s">
        <v>3069</v>
      </c>
      <c r="D377" s="67" t="s">
        <v>2439</v>
      </c>
      <c r="E377" s="68" t="str">
        <f>IFERROR(__xludf.DUMMYFUNCTION("""COMPUTED_VALUE"""),"Школа 460")</f>
        <v>Школа 460</v>
      </c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>
      <c r="A378" s="65" t="s">
        <v>3267</v>
      </c>
      <c r="B378" s="66" t="s">
        <v>3268</v>
      </c>
      <c r="C378" s="66" t="s">
        <v>2761</v>
      </c>
      <c r="D378" s="67" t="s">
        <v>2439</v>
      </c>
      <c r="E378" s="68" t="str">
        <f>IFERROR(__xludf.DUMMYFUNCTION("""COMPUTED_VALUE"""),"Школа 2090")</f>
        <v>Школа 2090</v>
      </c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>
      <c r="A379" s="65" t="s">
        <v>3269</v>
      </c>
      <c r="B379" s="66" t="s">
        <v>3270</v>
      </c>
      <c r="C379" s="66" t="s">
        <v>2892</v>
      </c>
      <c r="D379" s="67" t="s">
        <v>2439</v>
      </c>
      <c r="E379" s="68" t="str">
        <f>IFERROR(__xludf.DUMMYFUNCTION("""COMPUTED_VALUE"""),"Школа 2129")</f>
        <v>Школа 2129</v>
      </c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>
      <c r="A380" s="65" t="s">
        <v>3271</v>
      </c>
      <c r="B380" s="66" t="s">
        <v>3272</v>
      </c>
      <c r="C380" s="66" t="s">
        <v>2564</v>
      </c>
      <c r="D380" s="67" t="s">
        <v>2446</v>
      </c>
      <c r="E380" s="68" t="str">
        <f>IFERROR(__xludf.DUMMYFUNCTION("""COMPUTED_VALUE"""),"Школа 45")</f>
        <v>Школа 45</v>
      </c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>
      <c r="A381" s="65" t="s">
        <v>3273</v>
      </c>
      <c r="B381" s="66" t="s">
        <v>3274</v>
      </c>
      <c r="C381" s="66" t="s">
        <v>2445</v>
      </c>
      <c r="D381" s="67" t="s">
        <v>2446</v>
      </c>
      <c r="E381" s="68" t="str">
        <f>IFERROR(__xludf.DUMMYFUNCTION("""COMPUTED_VALUE"""),"Школа 1265")</f>
        <v>Школа 1265</v>
      </c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>
      <c r="A382" s="65" t="s">
        <v>3275</v>
      </c>
      <c r="B382" s="66" t="s">
        <v>3276</v>
      </c>
      <c r="C382" s="66" t="s">
        <v>2895</v>
      </c>
      <c r="D382" s="67" t="s">
        <v>2446</v>
      </c>
      <c r="E382" s="68" t="str">
        <f>IFERROR(__xludf.DUMMYFUNCTION("""COMPUTED_VALUE"""),"Школа Ника")</f>
        <v>Школа Ника</v>
      </c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>
      <c r="A383" s="65" t="s">
        <v>3277</v>
      </c>
      <c r="B383" s="66" t="s">
        <v>3278</v>
      </c>
      <c r="C383" s="66" t="s">
        <v>2775</v>
      </c>
      <c r="D383" s="67" t="s">
        <v>2446</v>
      </c>
      <c r="E383" s="68" t="str">
        <f>IFERROR(__xludf.DUMMYFUNCTION("""COMPUTED_VALUE"""),"Школа 170")</f>
        <v>Школа 170</v>
      </c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>
      <c r="A384" s="65" t="s">
        <v>3279</v>
      </c>
      <c r="B384" s="66" t="s">
        <v>3280</v>
      </c>
      <c r="C384" s="66" t="s">
        <v>2573</v>
      </c>
      <c r="D384" s="67" t="s">
        <v>2446</v>
      </c>
      <c r="E384" s="68" t="str">
        <f>IFERROR(__xludf.DUMMYFUNCTION("""COMPUTED_VALUE"""),"Школа 7")</f>
        <v>Школа 7</v>
      </c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>
      <c r="A385" s="65" t="s">
        <v>3281</v>
      </c>
      <c r="B385" s="66" t="s">
        <v>3282</v>
      </c>
      <c r="C385" s="66" t="s">
        <v>3283</v>
      </c>
      <c r="D385" s="67" t="s">
        <v>2446</v>
      </c>
      <c r="E385" s="68" t="str">
        <f>IFERROR(__xludf.DUMMYFUNCTION("""COMPUTED_VALUE"""),"Школа 1995")</f>
        <v>Школа 1995</v>
      </c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>
      <c r="A386" s="65" t="s">
        <v>3284</v>
      </c>
      <c r="B386" s="66" t="s">
        <v>3285</v>
      </c>
      <c r="C386" s="66" t="s">
        <v>2782</v>
      </c>
      <c r="D386" s="67" t="s">
        <v>2446</v>
      </c>
      <c r="E386" s="68" t="str">
        <f>IFERROR(__xludf.DUMMYFUNCTION("""COMPUTED_VALUE"""),"Школа 1356")</f>
        <v>Школа 1356</v>
      </c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>
      <c r="A387" s="65" t="s">
        <v>3286</v>
      </c>
      <c r="B387" s="66" t="s">
        <v>3287</v>
      </c>
      <c r="C387" s="66" t="s">
        <v>2782</v>
      </c>
      <c r="D387" s="67" t="s">
        <v>2446</v>
      </c>
      <c r="E387" s="68" t="str">
        <f>IFERROR(__xludf.DUMMYFUNCTION("""COMPUTED_VALUE"""),"Школа 1613")</f>
        <v>Школа 1613</v>
      </c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>
      <c r="A388" s="65" t="s">
        <v>3288</v>
      </c>
      <c r="B388" s="66" t="s">
        <v>3289</v>
      </c>
      <c r="C388" s="66" t="s">
        <v>2787</v>
      </c>
      <c r="D388" s="67" t="s">
        <v>2446</v>
      </c>
      <c r="E388" s="68" t="str">
        <f>IFERROR(__xludf.DUMMYFUNCTION("""COMPUTED_VALUE"""),"Школа 15")</f>
        <v>Школа 15</v>
      </c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>
      <c r="A389" s="65" t="s">
        <v>3290</v>
      </c>
      <c r="B389" s="66" t="s">
        <v>3291</v>
      </c>
      <c r="C389" s="66" t="s">
        <v>2449</v>
      </c>
      <c r="D389" s="67" t="s">
        <v>2446</v>
      </c>
      <c r="E389" s="68" t="str">
        <f>IFERROR(__xludf.DUMMYFUNCTION("""COMPUTED_VALUE"""),"Школа 1981")</f>
        <v>Школа 1981</v>
      </c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>
      <c r="A390" s="65" t="s">
        <v>3292</v>
      </c>
      <c r="B390" s="66" t="s">
        <v>3293</v>
      </c>
      <c r="C390" s="66" t="s">
        <v>3090</v>
      </c>
      <c r="D390" s="67" t="s">
        <v>2446</v>
      </c>
      <c r="E390" s="68" t="str">
        <f>IFERROR(__xludf.DUMMYFUNCTION("""COMPUTED_VALUE"""),"Школа им. Н. М. Карамзина")</f>
        <v>Школа им. Н. М. Карамзина</v>
      </c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>
      <c r="A391" s="65" t="s">
        <v>3294</v>
      </c>
      <c r="B391" s="66" t="s">
        <v>3295</v>
      </c>
      <c r="C391" s="66" t="s">
        <v>3090</v>
      </c>
      <c r="D391" s="67" t="s">
        <v>2446</v>
      </c>
      <c r="E391" s="68" t="str">
        <f>IFERROR(__xludf.DUMMYFUNCTION("""COMPUTED_VALUE"""),"Школа 1212")</f>
        <v>Школа 1212</v>
      </c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>
      <c r="A392" s="65" t="s">
        <v>3296</v>
      </c>
      <c r="B392" s="66" t="s">
        <v>3297</v>
      </c>
      <c r="C392" s="66" t="s">
        <v>2796</v>
      </c>
      <c r="D392" s="67" t="s">
        <v>2453</v>
      </c>
      <c r="E392" s="68" t="str">
        <f>IFERROR(__xludf.DUMMYFUNCTION("""COMPUTED_VALUE"""),"Школа 1861")</f>
        <v>Школа 1861</v>
      </c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>
      <c r="A393" s="65" t="s">
        <v>3298</v>
      </c>
      <c r="B393" s="66" t="s">
        <v>3299</v>
      </c>
      <c r="C393" s="66" t="s">
        <v>2796</v>
      </c>
      <c r="D393" s="67" t="s">
        <v>2453</v>
      </c>
      <c r="E393" s="68" t="str">
        <f>IFERROR(__xludf.DUMMYFUNCTION("""COMPUTED_VALUE"""),"Школа 902")</f>
        <v>Школа 902</v>
      </c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>
      <c r="A394" s="65" t="s">
        <v>3300</v>
      </c>
      <c r="B394" s="66" t="s">
        <v>3301</v>
      </c>
      <c r="C394" s="66" t="s">
        <v>3097</v>
      </c>
      <c r="D394" s="67" t="s">
        <v>2453</v>
      </c>
      <c r="E394" s="68" t="str">
        <f>IFERROR(__xludf.DUMMYFUNCTION("""COMPUTED_VALUE"""),"Школа 2001")</f>
        <v>Школа 2001</v>
      </c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>
      <c r="A395" s="65" t="s">
        <v>3302</v>
      </c>
      <c r="B395" s="66" t="s">
        <v>3303</v>
      </c>
      <c r="C395" s="66" t="s">
        <v>2913</v>
      </c>
      <c r="D395" s="67" t="s">
        <v>2453</v>
      </c>
      <c r="E395" s="68" t="str">
        <f>IFERROR(__xludf.DUMMYFUNCTION("""COMPUTED_VALUE"""),"Школа 998")</f>
        <v>Школа 998</v>
      </c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>
      <c r="A396" s="65" t="s">
        <v>3304</v>
      </c>
      <c r="B396" s="66" t="s">
        <v>3305</v>
      </c>
      <c r="C396" s="66" t="s">
        <v>2801</v>
      </c>
      <c r="D396" s="67" t="s">
        <v>2453</v>
      </c>
      <c r="E396" s="68" t="str">
        <f>IFERROR(__xludf.DUMMYFUNCTION("""COMPUTED_VALUE"""),"Школа 1272")</f>
        <v>Школа 1272</v>
      </c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>
      <c r="A397" s="65" t="s">
        <v>3306</v>
      </c>
      <c r="B397" s="66" t="s">
        <v>3307</v>
      </c>
      <c r="C397" s="66" t="s">
        <v>3308</v>
      </c>
      <c r="D397" s="67" t="s">
        <v>2453</v>
      </c>
      <c r="E397" s="68" t="str">
        <f>IFERROR(__xludf.DUMMYFUNCTION("""COMPUTED_VALUE"""),"Школа 630")</f>
        <v>Школа 630</v>
      </c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>
      <c r="A398" s="65" t="s">
        <v>3309</v>
      </c>
      <c r="B398" s="66" t="s">
        <v>3310</v>
      </c>
      <c r="C398" s="66" t="s">
        <v>2452</v>
      </c>
      <c r="D398" s="67" t="s">
        <v>2453</v>
      </c>
      <c r="E398" s="68" t="str">
        <f>IFERROR(__xludf.DUMMYFUNCTION("""COMPUTED_VALUE"""),"Школа 1450")</f>
        <v>Школа 1450</v>
      </c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>
      <c r="A399" s="65" t="s">
        <v>3311</v>
      </c>
      <c r="B399" s="66" t="s">
        <v>3312</v>
      </c>
      <c r="C399" s="66" t="s">
        <v>2456</v>
      </c>
      <c r="D399" s="67" t="s">
        <v>2453</v>
      </c>
      <c r="E399" s="68" t="str">
        <f>IFERROR(__xludf.DUMMYFUNCTION("""COMPUTED_VALUE"""),"Школа 1207")</f>
        <v>Школа 1207</v>
      </c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>
      <c r="A400" s="65" t="s">
        <v>3313</v>
      </c>
      <c r="B400" s="66" t="s">
        <v>3314</v>
      </c>
      <c r="C400" s="66" t="s">
        <v>3107</v>
      </c>
      <c r="D400" s="67" t="s">
        <v>2453</v>
      </c>
      <c r="E400" s="68" t="str">
        <f>IFERROR(__xludf.DUMMYFUNCTION("""COMPUTED_VALUE"""),"Школа 1466")</f>
        <v>Школа 1466</v>
      </c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>
      <c r="A401" s="65" t="s">
        <v>3315</v>
      </c>
      <c r="B401" s="66" t="s">
        <v>3316</v>
      </c>
      <c r="C401" s="66" t="s">
        <v>2816</v>
      </c>
      <c r="D401" s="67" t="s">
        <v>2453</v>
      </c>
      <c r="E401" s="68" t="str">
        <f>IFERROR(__xludf.DUMMYFUNCTION("""COMPUTED_VALUE"""),"Школа 556")</f>
        <v>Школа 556</v>
      </c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>
      <c r="A402" s="69" t="s">
        <v>3317</v>
      </c>
      <c r="B402" s="70" t="s">
        <v>3318</v>
      </c>
      <c r="C402" s="70" t="s">
        <v>2930</v>
      </c>
      <c r="D402" s="71" t="s">
        <v>2453</v>
      </c>
      <c r="E402" s="68" t="str">
        <f>IFERROR(__xludf.DUMMYFUNCTION("""COMPUTED_VALUE"""),"Школа 1526")</f>
        <v>Школа 1526</v>
      </c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>
      <c r="A403" s="61"/>
      <c r="B403" s="61"/>
      <c r="C403" s="61"/>
      <c r="D403" s="61"/>
      <c r="E403" s="68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>
      <c r="A404" s="61"/>
      <c r="B404" s="61"/>
      <c r="C404" s="61"/>
      <c r="D404" s="61"/>
      <c r="E404" s="68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>
      <c r="A405" s="61"/>
      <c r="B405" s="61"/>
      <c r="C405" s="61"/>
      <c r="D405" s="61"/>
      <c r="E405" s="68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</row>
    <row r="991">
      <c r="A991" s="72"/>
      <c r="B991" s="72"/>
      <c r="C991" s="72"/>
      <c r="D991" s="72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</row>
    <row r="992">
      <c r="A992" s="72"/>
      <c r="B992" s="72"/>
      <c r="C992" s="72"/>
      <c r="D992" s="72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</row>
    <row r="993">
      <c r="A993" s="72"/>
      <c r="B993" s="72"/>
      <c r="C993" s="72"/>
      <c r="D993" s="72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3" max="3" width="174.13"/>
    <col customWidth="1" min="4" max="4" width="18.13"/>
    <col customWidth="1" min="5" max="5" width="18.75"/>
  </cols>
  <sheetData>
    <row r="1">
      <c r="A1" s="32" t="s">
        <v>27</v>
      </c>
      <c r="B1" s="32" t="s">
        <v>3319</v>
      </c>
      <c r="C1" s="19" t="s">
        <v>56</v>
      </c>
      <c r="D1" s="19" t="s">
        <v>3320</v>
      </c>
      <c r="E1" s="19" t="s">
        <v>59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7" t="s">
        <v>30</v>
      </c>
      <c r="B2" s="73">
        <v>1.0</v>
      </c>
      <c r="C2" s="74" t="s">
        <v>3321</v>
      </c>
      <c r="D2" s="26" t="s">
        <v>3322</v>
      </c>
      <c r="E2" s="33" t="str">
        <f>IFERROR(__xludf.DUMMYFUNCTION("ARRAYFORMULA(IF(C2:C912="""",,MAP(C2:C912,LAMBDA(текст,LET(
  ш1, REGEXREPLACE(текст, ""\n"", "" ""),
  ш2, REGEXREPLACE(ш1, ""(?i)(государственное|бюджетное|автономное|общеобразовательное|учреждение|города\s+москвы|г\.\s*москвы|гбоу|гаоу|сош|ноу|чоу)"", "&amp;"""""),
  ш3, REGEXREPLACE(ш2, ""(?i)(имени|им\.)"", ""им.""),
  ш4, REGEXREPLACE(ш3, ""[«»""""]"", """"),
  ш5, REGEXREPLACE(ш4, ""\([^)]*\)"", """"),
  ш6, REGEXREPLACE(ш5, ""(?i)^школа\s+школа\s+"", ""Школа ""),
  ш7, REGEXREPLACE(ш6, ""\s*\.\s*"", "". "&amp;"""),
  ш8, REGEXREPLACE(ш7, ""\s*,\s*"", "" ""),
  ш9, REGEXREPLACE(ш8, ""\s+"", "" ""),
  ш10, TRIM(SUBSTITUTE(SUBSTITUTE(ш9, ""ё"", ""е""), ""Ё"", ""Е"")),
  номер, IFERROR(REGEXEXTRACT(ш10, ""(?i)(?:^|[^0-9])(?:школа\s*)?(?:№|N|N°)?\s*(\d{1,4})(?:[^0-9"&amp;"]|$)""), """"),
  итог, IF(номер&lt;&gt;"""", ""Школа "" &amp; номер, ш10),
  REGEXREPLACE(итог, ""[\.,\- ]+$"", """")
)))))"),"Школа 1034")</f>
        <v>Школа 1034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7" t="s">
        <v>30</v>
      </c>
      <c r="B3" s="75">
        <v>2.0</v>
      </c>
      <c r="C3" s="26" t="s">
        <v>3323</v>
      </c>
      <c r="D3" s="26" t="s">
        <v>3322</v>
      </c>
      <c r="E3" s="33" t="str">
        <f>IFERROR(__xludf.DUMMYFUNCTION("""COMPUTED_VALUE"""),"Школа 1505")</f>
        <v>Школа 1505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7" t="s">
        <v>30</v>
      </c>
      <c r="B4" s="76">
        <v>3.0</v>
      </c>
      <c r="C4" s="77" t="s">
        <v>3324</v>
      </c>
      <c r="D4" s="26" t="s">
        <v>3322</v>
      </c>
      <c r="E4" s="33" t="str">
        <f>IFERROR(__xludf.DUMMYFUNCTION("""COMPUTED_VALUE"""),"Школа 1637")</f>
        <v>Школа 1637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7" t="s">
        <v>29</v>
      </c>
      <c r="B5" s="75">
        <v>1.0</v>
      </c>
      <c r="C5" s="78" t="s">
        <v>3325</v>
      </c>
      <c r="D5" s="26" t="s">
        <v>3322</v>
      </c>
      <c r="E5" s="33" t="str">
        <f>IFERROR(__xludf.DUMMYFUNCTION("""COMPUTED_VALUE"""),"Школа 224")</f>
        <v>Школа 224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7" t="s">
        <v>29</v>
      </c>
      <c r="B6" s="79">
        <v>2.0</v>
      </c>
      <c r="C6" s="77" t="s">
        <v>3326</v>
      </c>
      <c r="D6" s="26" t="s">
        <v>3322</v>
      </c>
      <c r="E6" s="33" t="str">
        <f>IFERROR(__xludf.DUMMYFUNCTION("""COMPUTED_VALUE"""),"Школа 491")</f>
        <v>Школа 491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7" t="s">
        <v>29</v>
      </c>
      <c r="B7" s="80">
        <v>3.0</v>
      </c>
      <c r="C7" s="81" t="s">
        <v>3327</v>
      </c>
      <c r="D7" s="26" t="s">
        <v>3322</v>
      </c>
      <c r="E7" s="33" t="str">
        <f>IFERROR(__xludf.DUMMYFUNCTION("""COMPUTED_VALUE"""),"Школа 556")</f>
        <v>Школа 556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7" t="s">
        <v>29</v>
      </c>
      <c r="B8" s="82">
        <v>4.0</v>
      </c>
      <c r="C8" s="26" t="s">
        <v>3328</v>
      </c>
      <c r="D8" s="26" t="s">
        <v>3322</v>
      </c>
      <c r="E8" s="33" t="str">
        <f>IFERROR(__xludf.DUMMYFUNCTION("""COMPUTED_VALUE"""),"Школа 1207")</f>
        <v>Школа 1207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7" t="s">
        <v>29</v>
      </c>
      <c r="B9" s="79">
        <v>5.0</v>
      </c>
      <c r="C9" s="83" t="s">
        <v>3329</v>
      </c>
      <c r="D9" s="26" t="s">
        <v>3322</v>
      </c>
      <c r="E9" s="33" t="str">
        <f>IFERROR(__xludf.DUMMYFUNCTION("""COMPUTED_VALUE"""),"Школа 1392")</f>
        <v>Школа 1392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7" t="s">
        <v>29</v>
      </c>
      <c r="B10" s="76">
        <v>6.0</v>
      </c>
      <c r="C10" s="26" t="s">
        <v>3330</v>
      </c>
      <c r="D10" s="26" t="s">
        <v>3322</v>
      </c>
      <c r="E10" s="33" t="str">
        <f>IFERROR(__xludf.DUMMYFUNCTION("""COMPUTED_VALUE"""),"Школа 1430")</f>
        <v>Школа 1430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7" t="s">
        <v>29</v>
      </c>
      <c r="B11" s="84">
        <v>7.0</v>
      </c>
      <c r="C11" s="85" t="s">
        <v>3331</v>
      </c>
      <c r="D11" s="26" t="s">
        <v>3322</v>
      </c>
      <c r="E11" s="33" t="str">
        <f>IFERROR(__xludf.DUMMYFUNCTION("""COMPUTED_VALUE"""),"Школа 1500")</f>
        <v>Школа 1500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7" t="s">
        <v>29</v>
      </c>
      <c r="B12" s="86">
        <v>8.0</v>
      </c>
      <c r="C12" s="85" t="s">
        <v>3332</v>
      </c>
      <c r="D12" s="26" t="s">
        <v>3322</v>
      </c>
      <c r="E12" s="33" t="str">
        <f>IFERROR(__xludf.DUMMYFUNCTION("""COMPUTED_VALUE"""),"Школа 1539")</f>
        <v>Школа 1539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7" t="s">
        <v>29</v>
      </c>
      <c r="B13" s="86">
        <v>9.0</v>
      </c>
      <c r="C13" s="78" t="s">
        <v>3333</v>
      </c>
      <c r="D13" s="26" t="s">
        <v>3322</v>
      </c>
      <c r="E13" s="33" t="str">
        <f>IFERROR(__xludf.DUMMYFUNCTION("""COMPUTED_VALUE"""),"Школа 1550")</f>
        <v>Школа 1550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7" t="s">
        <v>29</v>
      </c>
      <c r="B14" s="87">
        <v>10.0</v>
      </c>
      <c r="C14" s="88" t="s">
        <v>3334</v>
      </c>
      <c r="D14" s="26" t="s">
        <v>3322</v>
      </c>
      <c r="E14" s="33" t="str">
        <f>IFERROR(__xludf.DUMMYFUNCTION("""COMPUTED_VALUE"""),"Школа 1788")</f>
        <v>Школа 1788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7" t="s">
        <v>29</v>
      </c>
      <c r="B15" s="84">
        <v>11.0</v>
      </c>
      <c r="C15" s="85" t="s">
        <v>3335</v>
      </c>
      <c r="D15" s="26" t="s">
        <v>3322</v>
      </c>
      <c r="E15" s="33" t="str">
        <f>IFERROR(__xludf.DUMMYFUNCTION("""COMPUTED_VALUE"""),"Школа 1852")</f>
        <v>Школа 1852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7" t="s">
        <v>29</v>
      </c>
      <c r="B16" s="76">
        <v>12.0</v>
      </c>
      <c r="C16" s="89" t="s">
        <v>3336</v>
      </c>
      <c r="D16" s="26" t="s">
        <v>3322</v>
      </c>
      <c r="E16" s="33" t="str">
        <f>IFERROR(__xludf.DUMMYFUNCTION("""COMPUTED_VALUE"""),"Школа 1998")</f>
        <v>Школа 1998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7" t="s">
        <v>29</v>
      </c>
      <c r="B17" s="90">
        <v>13.0</v>
      </c>
      <c r="C17" s="91" t="s">
        <v>3337</v>
      </c>
      <c r="D17" s="26" t="s">
        <v>3322</v>
      </c>
      <c r="E17" s="33" t="str">
        <f>IFERROR(__xludf.DUMMYFUNCTION("""COMPUTED_VALUE"""),"Школа 2000")</f>
        <v>Школа 2000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7" t="s">
        <v>29</v>
      </c>
      <c r="B18" s="84">
        <v>14.0</v>
      </c>
      <c r="C18" s="92" t="s">
        <v>3338</v>
      </c>
      <c r="D18" s="26" t="s">
        <v>3322</v>
      </c>
      <c r="E18" s="33" t="str">
        <f>IFERROR(__xludf.DUMMYFUNCTION("""COMPUTED_VALUE"""),"Школа 2115")</f>
        <v>Школа 2115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7" t="s">
        <v>29</v>
      </c>
      <c r="B19" s="93">
        <v>15.0</v>
      </c>
      <c r="C19" s="94" t="s">
        <v>3339</v>
      </c>
      <c r="D19" s="26" t="s">
        <v>3322</v>
      </c>
      <c r="E19" s="33" t="str">
        <f>IFERROR(__xludf.DUMMYFUNCTION("""COMPUTED_VALUE"""),"Школа 2117")</f>
        <v>Школа 2117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7" t="s">
        <v>31</v>
      </c>
      <c r="B20" s="7">
        <v>1.0</v>
      </c>
      <c r="C20" s="94" t="s">
        <v>3340</v>
      </c>
      <c r="D20" s="26" t="s">
        <v>3322</v>
      </c>
      <c r="E20" s="33" t="str">
        <f>IFERROR(__xludf.DUMMYFUNCTION("""COMPUTED_VALUE"""),"Школа 56")</f>
        <v>Школа 56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7" t="s">
        <v>31</v>
      </c>
      <c r="B21" s="7">
        <v>2.0</v>
      </c>
      <c r="C21" s="91" t="s">
        <v>3341</v>
      </c>
      <c r="D21" s="26" t="s">
        <v>3322</v>
      </c>
      <c r="E21" s="33" t="str">
        <f>IFERROR(__xludf.DUMMYFUNCTION("""COMPUTED_VALUE"""),"Школа 67")</f>
        <v>Школа 67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7" t="s">
        <v>31</v>
      </c>
      <c r="B22" s="76">
        <v>3.0</v>
      </c>
      <c r="C22" s="94" t="s">
        <v>3342</v>
      </c>
      <c r="D22" s="26" t="s">
        <v>3322</v>
      </c>
      <c r="E22" s="33" t="str">
        <f>IFERROR(__xludf.DUMMYFUNCTION("""COMPUTED_VALUE"""),"Школа 236")</f>
        <v>Школа 236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7" t="s">
        <v>31</v>
      </c>
      <c r="B23" s="80">
        <v>4.0</v>
      </c>
      <c r="C23" s="92" t="s">
        <v>3343</v>
      </c>
      <c r="D23" s="26" t="s">
        <v>3322</v>
      </c>
      <c r="E23" s="33" t="str">
        <f>IFERROR(__xludf.DUMMYFUNCTION("""COMPUTED_VALUE"""),"Школа 544")</f>
        <v>Школа 544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7" t="s">
        <v>31</v>
      </c>
      <c r="B24" s="76">
        <v>5.0</v>
      </c>
      <c r="C24" s="26" t="s">
        <v>3344</v>
      </c>
      <c r="D24" s="26" t="s">
        <v>3322</v>
      </c>
      <c r="E24" s="33" t="str">
        <f>IFERROR(__xludf.DUMMYFUNCTION("""COMPUTED_VALUE"""),"Школа 777")</f>
        <v>Школа 777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7" t="s">
        <v>31</v>
      </c>
      <c r="B25" s="90">
        <v>6.0</v>
      </c>
      <c r="C25" s="95" t="s">
        <v>3345</v>
      </c>
      <c r="D25" s="26" t="s">
        <v>3322</v>
      </c>
      <c r="E25" s="33" t="str">
        <f>IFERROR(__xludf.DUMMYFUNCTION("""COMPUTED_VALUE"""),"Школа 1195")</f>
        <v>Школа 1195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7" t="s">
        <v>31</v>
      </c>
      <c r="B26" s="96">
        <v>7.0</v>
      </c>
      <c r="C26" s="94" t="s">
        <v>3346</v>
      </c>
      <c r="D26" s="26" t="s">
        <v>3322</v>
      </c>
      <c r="E26" s="33" t="str">
        <f>IFERROR(__xludf.DUMMYFUNCTION("""COMPUTED_VALUE"""),"Школа 1273")</f>
        <v>Школа 1273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7" t="s">
        <v>31</v>
      </c>
      <c r="B27" s="87">
        <v>8.0</v>
      </c>
      <c r="C27" s="97" t="s">
        <v>3347</v>
      </c>
      <c r="D27" s="26" t="s">
        <v>3322</v>
      </c>
      <c r="E27" s="33" t="str">
        <f>IFERROR(__xludf.DUMMYFUNCTION("""COMPUTED_VALUE"""),"Школа 1355")</f>
        <v>Школа 1355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7" t="s">
        <v>31</v>
      </c>
      <c r="B28" s="87">
        <v>9.0</v>
      </c>
      <c r="C28" s="95" t="s">
        <v>3348</v>
      </c>
      <c r="D28" s="26" t="s">
        <v>3322</v>
      </c>
      <c r="E28" s="33" t="str">
        <f>IFERROR(__xludf.DUMMYFUNCTION("""COMPUTED_VALUE"""),"Школа 1498")</f>
        <v>Школа 1498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7" t="s">
        <v>31</v>
      </c>
      <c r="B29" s="7">
        <v>10.0</v>
      </c>
      <c r="C29" s="98" t="s">
        <v>3349</v>
      </c>
      <c r="D29" s="26" t="s">
        <v>3322</v>
      </c>
      <c r="E29" s="33" t="str">
        <f>IFERROR(__xludf.DUMMYFUNCTION("""COMPUTED_VALUE"""),"Школа 1533")</f>
        <v>Школа 1533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7" t="s">
        <v>31</v>
      </c>
      <c r="B30" s="79">
        <v>11.0</v>
      </c>
      <c r="C30" s="89" t="s">
        <v>3350</v>
      </c>
      <c r="D30" s="26" t="s">
        <v>3322</v>
      </c>
      <c r="E30" s="33" t="str">
        <f>IFERROR(__xludf.DUMMYFUNCTION("""COMPUTED_VALUE"""),"Школа 1540")</f>
        <v>Школа 1540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7" t="s">
        <v>31</v>
      </c>
      <c r="B31" s="76">
        <v>12.0</v>
      </c>
      <c r="C31" s="92" t="s">
        <v>3351</v>
      </c>
      <c r="D31" s="26" t="s">
        <v>3322</v>
      </c>
      <c r="E31" s="33" t="str">
        <f>IFERROR(__xludf.DUMMYFUNCTION("""COMPUTED_VALUE"""),"Школа 1566")</f>
        <v>Школа 1566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7" t="s">
        <v>31</v>
      </c>
      <c r="B32" s="99"/>
      <c r="C32" s="91" t="s">
        <v>3352</v>
      </c>
      <c r="D32" s="26" t="s">
        <v>3322</v>
      </c>
      <c r="E32" s="33" t="str">
        <f>IFERROR(__xludf.DUMMYFUNCTION("""COMPUTED_VALUE"""),"Школа 1679")</f>
        <v>Школа 1679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7" t="s">
        <v>31</v>
      </c>
      <c r="B33" s="79">
        <v>14.0</v>
      </c>
      <c r="C33" s="89" t="s">
        <v>3353</v>
      </c>
      <c r="D33" s="26" t="s">
        <v>3322</v>
      </c>
      <c r="E33" s="33" t="str">
        <f>IFERROR(__xludf.DUMMYFUNCTION("""COMPUTED_VALUE"""),"Школа 1861")</f>
        <v>Школа 1861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7" t="s">
        <v>31</v>
      </c>
      <c r="B34" s="93">
        <v>15.0</v>
      </c>
      <c r="C34" s="89" t="s">
        <v>3354</v>
      </c>
      <c r="D34" s="26" t="s">
        <v>3322</v>
      </c>
      <c r="E34" s="33" t="str">
        <f>IFERROR(__xludf.DUMMYFUNCTION("""COMPUTED_VALUE"""),"Школа 1862")</f>
        <v>Школа 1862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7" t="s">
        <v>31</v>
      </c>
      <c r="B35" s="93">
        <v>16.0</v>
      </c>
      <c r="C35" s="89" t="s">
        <v>3355</v>
      </c>
      <c r="D35" s="26" t="s">
        <v>3322</v>
      </c>
      <c r="E35" s="33" t="str">
        <f>IFERROR(__xludf.DUMMYFUNCTION("""COMPUTED_VALUE"""),"Школа 1945")</f>
        <v>Школа 1945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7" t="s">
        <v>31</v>
      </c>
      <c r="B36" s="100">
        <v>17.0</v>
      </c>
      <c r="C36" s="85" t="s">
        <v>3356</v>
      </c>
      <c r="D36" s="26" t="s">
        <v>3322</v>
      </c>
      <c r="E36" s="33" t="str">
        <f>IFERROR(__xludf.DUMMYFUNCTION("""COMPUTED_VALUE"""),"Школа 2006")</f>
        <v>Школа 2006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7" t="s">
        <v>31</v>
      </c>
      <c r="B37" s="101">
        <v>18.0</v>
      </c>
      <c r="C37" s="85" t="s">
        <v>3357</v>
      </c>
      <c r="D37" s="26" t="s">
        <v>3322</v>
      </c>
      <c r="E37" s="33" t="str">
        <f>IFERROR(__xludf.DUMMYFUNCTION("""COMPUTED_VALUE"""),"Школа 2010")</f>
        <v>Школа 2010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7" t="s">
        <v>31</v>
      </c>
      <c r="B38" s="93">
        <v>19.0</v>
      </c>
      <c r="C38" s="85" t="s">
        <v>3358</v>
      </c>
      <c r="D38" s="26" t="s">
        <v>3322</v>
      </c>
      <c r="E38" s="33" t="str">
        <f>IFERROR(__xludf.DUMMYFUNCTION("""COMPUTED_VALUE"""),"Школа 2045")</f>
        <v>Школа 2045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7" t="s">
        <v>31</v>
      </c>
      <c r="B39" s="93">
        <v>20.0</v>
      </c>
      <c r="C39" s="94" t="s">
        <v>3359</v>
      </c>
      <c r="D39" s="26" t="s">
        <v>3322</v>
      </c>
      <c r="E39" s="33" t="str">
        <f>IFERROR(__xludf.DUMMYFUNCTION("""COMPUTED_VALUE"""),"Школа 2073")</f>
        <v>Школа 2073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7" t="s">
        <v>31</v>
      </c>
      <c r="B40" s="90">
        <v>21.0</v>
      </c>
      <c r="C40" s="95" t="s">
        <v>3360</v>
      </c>
      <c r="D40" s="26" t="s">
        <v>3322</v>
      </c>
      <c r="E40" s="33" t="str">
        <f>IFERROR(__xludf.DUMMYFUNCTION("""COMPUTED_VALUE"""),"Школа 2094")</f>
        <v>Школа 2094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7" t="s">
        <v>31</v>
      </c>
      <c r="B41" s="7">
        <v>22.0</v>
      </c>
      <c r="C41" s="92" t="s">
        <v>3361</v>
      </c>
      <c r="D41" s="26" t="s">
        <v>3322</v>
      </c>
      <c r="E41" s="33" t="str">
        <f>IFERROR(__xludf.DUMMYFUNCTION("""COMPUTED_VALUE"""),"Школа 2103")</f>
        <v>Школа 2103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7" t="s">
        <v>31</v>
      </c>
      <c r="B42" s="7">
        <v>23.0</v>
      </c>
      <c r="C42" s="74" t="s">
        <v>3362</v>
      </c>
      <c r="D42" s="26" t="s">
        <v>3322</v>
      </c>
      <c r="E42" s="33" t="str">
        <f>IFERROR(__xludf.DUMMYFUNCTION("""COMPUTED_VALUE"""),"Школа 2120")</f>
        <v>Школа 2120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7" t="s">
        <v>31</v>
      </c>
      <c r="B43" s="76">
        <v>24.0</v>
      </c>
      <c r="C43" s="94" t="s">
        <v>3363</v>
      </c>
      <c r="D43" s="26" t="s">
        <v>3322</v>
      </c>
      <c r="E43" s="33" t="str">
        <f>IFERROR(__xludf.DUMMYFUNCTION("""COMPUTED_VALUE"""),"Школа Бескудниково")</f>
        <v>Школа Бескудниково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7" t="s">
        <v>31</v>
      </c>
      <c r="B44" s="102">
        <v>25.0</v>
      </c>
      <c r="C44" s="83" t="s">
        <v>3364</v>
      </c>
      <c r="D44" s="26" t="s">
        <v>3322</v>
      </c>
      <c r="E44" s="33" t="str">
        <f>IFERROR(__xludf.DUMMYFUNCTION("""COMPUTED_VALUE"""),"Романовская школа")</f>
        <v>Романовская школа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7" t="s">
        <v>31</v>
      </c>
      <c r="B45" s="90">
        <v>26.0</v>
      </c>
      <c r="C45" s="89" t="s">
        <v>3365</v>
      </c>
      <c r="D45" s="26" t="s">
        <v>3322</v>
      </c>
      <c r="E45" s="33" t="str">
        <f>IFERROR(__xludf.DUMMYFUNCTION("""COMPUTED_VALUE"""),"Цифровая школа")</f>
        <v>Цифровая школа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7" t="s">
        <v>31</v>
      </c>
      <c r="B46" s="103">
        <v>27.0</v>
      </c>
      <c r="C46" s="104" t="s">
        <v>3366</v>
      </c>
      <c r="D46" s="26" t="s">
        <v>3322</v>
      </c>
      <c r="E46" s="33" t="str">
        <f>IFERROR(__xludf.DUMMYFUNCTION("""COMPUTED_VALUE"""),"Школа им. дважды Героя Советского Союза И. С. Полбина")</f>
        <v>Школа им. дважды Героя Советского Союза И. С. Полбина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7" t="s">
        <v>31</v>
      </c>
      <c r="B47" s="105">
        <v>28.0</v>
      </c>
      <c r="C47" s="92" t="s">
        <v>3367</v>
      </c>
      <c r="D47" s="26" t="s">
        <v>3322</v>
      </c>
      <c r="E47" s="33" t="str">
        <f>IFERROR(__xludf.DUMMYFUNCTION("""COMPUTED_VALUE"""),"Школа им. В. В. Маяковского")</f>
        <v>Школа им. В. В. Маяковского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7" t="s">
        <v>32</v>
      </c>
      <c r="B48" s="76">
        <v>1.0</v>
      </c>
      <c r="C48" s="98" t="s">
        <v>3368</v>
      </c>
      <c r="D48" s="26" t="s">
        <v>3322</v>
      </c>
      <c r="E48" s="33" t="str">
        <f>IFERROR(__xludf.DUMMYFUNCTION("""COMPUTED_VALUE"""),"Школа 7")</f>
        <v>Школа 7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7" t="s">
        <v>32</v>
      </c>
      <c r="B49" s="93">
        <v>2.0</v>
      </c>
      <c r="C49" s="78" t="s">
        <v>3369</v>
      </c>
      <c r="D49" s="26" t="s">
        <v>3322</v>
      </c>
      <c r="E49" s="33" t="str">
        <f>IFERROR(__xludf.DUMMYFUNCTION("""COMPUTED_VALUE"""),"Школа 69")</f>
        <v>Школа 69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7" t="s">
        <v>32</v>
      </c>
      <c r="B50" s="86">
        <v>3.0</v>
      </c>
      <c r="C50" s="95" t="s">
        <v>3370</v>
      </c>
      <c r="D50" s="26" t="s">
        <v>3322</v>
      </c>
      <c r="E50" s="33" t="str">
        <f>IFERROR(__xludf.DUMMYFUNCTION("""COMPUTED_VALUE"""),"Школа 113")</f>
        <v>Школа 113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7" t="s">
        <v>32</v>
      </c>
      <c r="B51" s="101">
        <v>4.0</v>
      </c>
      <c r="C51" s="89" t="s">
        <v>3371</v>
      </c>
      <c r="D51" s="26" t="s">
        <v>3322</v>
      </c>
      <c r="E51" s="33" t="str">
        <f>IFERROR(__xludf.DUMMYFUNCTION("""COMPUTED_VALUE"""),"Школа 185")</f>
        <v>Школа 185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7" t="s">
        <v>32</v>
      </c>
      <c r="B52" s="90">
        <v>5.0</v>
      </c>
      <c r="C52" s="89" t="s">
        <v>3372</v>
      </c>
      <c r="D52" s="26" t="s">
        <v>3322</v>
      </c>
      <c r="E52" s="33" t="str">
        <f>IFERROR(__xludf.DUMMYFUNCTION("""COMPUTED_VALUE"""),"Школа 236")</f>
        <v>Школа 236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7" t="s">
        <v>32</v>
      </c>
      <c r="B53" s="106">
        <v>6.0</v>
      </c>
      <c r="C53" s="89" t="s">
        <v>3373</v>
      </c>
      <c r="D53" s="26" t="s">
        <v>3322</v>
      </c>
      <c r="E53" s="33" t="str">
        <f>IFERROR(__xludf.DUMMYFUNCTION("""COMPUTED_VALUE"""),"Школа 507")</f>
        <v>Школа 507</v>
      </c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7" t="s">
        <v>32</v>
      </c>
      <c r="B54" s="101">
        <v>7.0</v>
      </c>
      <c r="C54" s="89" t="s">
        <v>3374</v>
      </c>
      <c r="D54" s="26" t="s">
        <v>3322</v>
      </c>
      <c r="E54" s="33" t="str">
        <f>IFERROR(__xludf.DUMMYFUNCTION("""COMPUTED_VALUE"""),"Школа 648")</f>
        <v>Школа 648</v>
      </c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7" t="s">
        <v>32</v>
      </c>
      <c r="B55" s="79">
        <v>8.0</v>
      </c>
      <c r="C55" s="77" t="s">
        <v>3375</v>
      </c>
      <c r="D55" s="26" t="s">
        <v>3322</v>
      </c>
      <c r="E55" s="33" t="str">
        <f>IFERROR(__xludf.DUMMYFUNCTION("""COMPUTED_VALUE"""),"Школа 654")</f>
        <v>Школа 654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7" t="s">
        <v>32</v>
      </c>
      <c r="B56" s="90">
        <v>9.0</v>
      </c>
      <c r="C56" s="94" t="s">
        <v>3376</v>
      </c>
      <c r="D56" s="26" t="s">
        <v>3322</v>
      </c>
      <c r="E56" s="33" t="str">
        <f>IFERROR(__xludf.DUMMYFUNCTION("""COMPUTED_VALUE"""),"Школа 763")</f>
        <v>Школа 763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7" t="s">
        <v>32</v>
      </c>
      <c r="B57" s="93">
        <v>10.0</v>
      </c>
      <c r="C57" s="83" t="s">
        <v>3377</v>
      </c>
      <c r="D57" s="26" t="s">
        <v>3322</v>
      </c>
      <c r="E57" s="33" t="str">
        <f>IFERROR(__xludf.DUMMYFUNCTION("""COMPUTED_VALUE"""),"Школа 814")</f>
        <v>Школа 814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7" t="s">
        <v>32</v>
      </c>
      <c r="B58" s="79">
        <v>11.0</v>
      </c>
      <c r="C58" s="85" t="s">
        <v>3378</v>
      </c>
      <c r="D58" s="26" t="s">
        <v>3322</v>
      </c>
      <c r="E58" s="33" t="str">
        <f>IFERROR(__xludf.DUMMYFUNCTION("""COMPUTED_VALUE"""),"Школа 875")</f>
        <v>Школа 875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7" t="s">
        <v>32</v>
      </c>
      <c r="B59" s="82">
        <v>12.0</v>
      </c>
      <c r="C59" s="95" t="s">
        <v>3379</v>
      </c>
      <c r="D59" s="26" t="s">
        <v>3322</v>
      </c>
      <c r="E59" s="33" t="str">
        <f>IFERROR(__xludf.DUMMYFUNCTION("""COMPUTED_VALUE"""),"Школа 887")</f>
        <v>Школа 887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7" t="s">
        <v>32</v>
      </c>
      <c r="B60" s="76">
        <v>13.0</v>
      </c>
      <c r="C60" s="94" t="s">
        <v>3380</v>
      </c>
      <c r="D60" s="26" t="s">
        <v>3322</v>
      </c>
      <c r="E60" s="33" t="str">
        <f>IFERROR(__xludf.DUMMYFUNCTION("""COMPUTED_VALUE"""),"Школа 924")</f>
        <v>Школа 924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7" t="s">
        <v>32</v>
      </c>
      <c r="B61" s="101">
        <v>14.0</v>
      </c>
      <c r="C61" s="78" t="s">
        <v>3381</v>
      </c>
      <c r="D61" s="26" t="s">
        <v>3322</v>
      </c>
      <c r="E61" s="33" t="str">
        <f>IFERROR(__xludf.DUMMYFUNCTION("""COMPUTED_VALUE"""),"Школа 950")</f>
        <v>Школа 950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7" t="s">
        <v>32</v>
      </c>
      <c r="B62" s="90">
        <v>15.0</v>
      </c>
      <c r="C62" s="26" t="s">
        <v>3382</v>
      </c>
      <c r="D62" s="26" t="s">
        <v>3322</v>
      </c>
      <c r="E62" s="33" t="str">
        <f>IFERROR(__xludf.DUMMYFUNCTION("""COMPUTED_VALUE"""),"Школа 1018")</f>
        <v>Школа 1018</v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7" t="s">
        <v>32</v>
      </c>
      <c r="B63" s="96">
        <v>16.0</v>
      </c>
      <c r="C63" s="94" t="s">
        <v>3383</v>
      </c>
      <c r="D63" s="26" t="s">
        <v>3322</v>
      </c>
      <c r="E63" s="33" t="str">
        <f>IFERROR(__xludf.DUMMYFUNCTION("""COMPUTED_VALUE"""),"Школа 1095")</f>
        <v>Школа 1095</v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7" t="s">
        <v>32</v>
      </c>
      <c r="B64" s="96">
        <v>17.0</v>
      </c>
      <c r="C64" s="89" t="s">
        <v>3345</v>
      </c>
      <c r="D64" s="26" t="s">
        <v>3322</v>
      </c>
      <c r="E64" s="33" t="str">
        <f>IFERROR(__xludf.DUMMYFUNCTION("""COMPUTED_VALUE"""),"Школа 1195")</f>
        <v>Школа 1195</v>
      </c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7" t="s">
        <v>32</v>
      </c>
      <c r="B65" s="96">
        <v>18.0</v>
      </c>
      <c r="C65" s="97" t="s">
        <v>3384</v>
      </c>
      <c r="D65" s="26" t="s">
        <v>3322</v>
      </c>
      <c r="E65" s="33" t="str">
        <f>IFERROR(__xludf.DUMMYFUNCTION("""COMPUTED_VALUE"""),"Школа 1206")</f>
        <v>Школа 1206</v>
      </c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7" t="s">
        <v>32</v>
      </c>
      <c r="B66" s="80">
        <v>19.0</v>
      </c>
      <c r="C66" s="97" t="s">
        <v>3385</v>
      </c>
      <c r="D66" s="26" t="s">
        <v>3322</v>
      </c>
      <c r="E66" s="33" t="str">
        <f>IFERROR(__xludf.DUMMYFUNCTION("""COMPUTED_VALUE"""),"Школа 1208")</f>
        <v>Школа 1208</v>
      </c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7" t="s">
        <v>32</v>
      </c>
      <c r="B67" s="93">
        <v>20.0</v>
      </c>
      <c r="C67" s="94" t="s">
        <v>3386</v>
      </c>
      <c r="D67" s="26" t="s">
        <v>3322</v>
      </c>
      <c r="E67" s="33" t="str">
        <f>IFERROR(__xludf.DUMMYFUNCTION("""COMPUTED_VALUE"""),"Школа 1231")</f>
        <v>Школа 1231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7" t="s">
        <v>32</v>
      </c>
      <c r="B68" s="73">
        <v>21.0</v>
      </c>
      <c r="C68" s="94" t="s">
        <v>3387</v>
      </c>
      <c r="D68" s="26" t="s">
        <v>3322</v>
      </c>
      <c r="E68" s="33" t="str">
        <f>IFERROR(__xludf.DUMMYFUNCTION("""COMPUTED_VALUE"""),"Школа 1238")</f>
        <v>Школа 1238</v>
      </c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7" t="s">
        <v>32</v>
      </c>
      <c r="B69" s="107">
        <v>22.0</v>
      </c>
      <c r="C69" s="95" t="s">
        <v>3388</v>
      </c>
      <c r="D69" s="26" t="s">
        <v>3322</v>
      </c>
      <c r="E69" s="33" t="str">
        <f>IFERROR(__xludf.DUMMYFUNCTION("""COMPUTED_VALUE"""),"Школа 1249")</f>
        <v>Школа 1249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7" t="s">
        <v>32</v>
      </c>
      <c r="B70" s="79">
        <v>23.0</v>
      </c>
      <c r="C70" s="95" t="s">
        <v>3389</v>
      </c>
      <c r="D70" s="26" t="s">
        <v>3322</v>
      </c>
      <c r="E70" s="33" t="str">
        <f>IFERROR(__xludf.DUMMYFUNCTION("""COMPUTED_VALUE"""),"Школа 1251")</f>
        <v>Школа 1251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7" t="s">
        <v>32</v>
      </c>
      <c r="B71" s="76">
        <v>24.0</v>
      </c>
      <c r="C71" s="95" t="s">
        <v>3390</v>
      </c>
      <c r="D71" s="26" t="s">
        <v>3322</v>
      </c>
      <c r="E71" s="33" t="str">
        <f>IFERROR(__xludf.DUMMYFUNCTION("""COMPUTED_VALUE"""),"Школа 1259")</f>
        <v>Школа 1259</v>
      </c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7" t="s">
        <v>32</v>
      </c>
      <c r="B72" s="101">
        <v>25.0</v>
      </c>
      <c r="C72" s="85" t="s">
        <v>3391</v>
      </c>
      <c r="D72" s="26" t="s">
        <v>3322</v>
      </c>
      <c r="E72" s="33" t="str">
        <f>IFERROR(__xludf.DUMMYFUNCTION("""COMPUTED_VALUE"""),"Школа 1286")</f>
        <v>Школа 1286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7" t="s">
        <v>32</v>
      </c>
      <c r="B73" s="108">
        <v>26.0</v>
      </c>
      <c r="C73" s="94" t="s">
        <v>3392</v>
      </c>
      <c r="D73" s="26" t="s">
        <v>3322</v>
      </c>
      <c r="E73" s="33" t="str">
        <f>IFERROR(__xludf.DUMMYFUNCTION("""COMPUTED_VALUE"""),"Школа 1288")</f>
        <v>Школа 1288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7" t="s">
        <v>32</v>
      </c>
      <c r="B74" s="84">
        <v>27.0</v>
      </c>
      <c r="C74" s="92" t="s">
        <v>3393</v>
      </c>
      <c r="D74" s="26" t="s">
        <v>3322</v>
      </c>
      <c r="E74" s="33" t="str">
        <f>IFERROR(__xludf.DUMMYFUNCTION("""COMPUTED_VALUE"""),"Школа 1290")</f>
        <v>Школа 1290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7" t="s">
        <v>32</v>
      </c>
      <c r="B75" s="101">
        <v>28.0</v>
      </c>
      <c r="C75" s="85" t="s">
        <v>3394</v>
      </c>
      <c r="D75" s="26" t="s">
        <v>3322</v>
      </c>
      <c r="E75" s="33" t="str">
        <f>IFERROR(__xludf.DUMMYFUNCTION("""COMPUTED_VALUE"""),"Школа 1298")</f>
        <v>Школа 1298</v>
      </c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7" t="s">
        <v>32</v>
      </c>
      <c r="B76" s="80">
        <v>29.0</v>
      </c>
      <c r="C76" s="92" t="s">
        <v>3395</v>
      </c>
      <c r="D76" s="26" t="s">
        <v>3322</v>
      </c>
      <c r="E76" s="33" t="str">
        <f>IFERROR(__xludf.DUMMYFUNCTION("""COMPUTED_VALUE"""),"Школа 1311")</f>
        <v>Школа 1311</v>
      </c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7" t="s">
        <v>32</v>
      </c>
      <c r="B77" s="107">
        <v>30.0</v>
      </c>
      <c r="C77" s="95" t="s">
        <v>3396</v>
      </c>
      <c r="D77" s="26" t="s">
        <v>3322</v>
      </c>
      <c r="E77" s="33" t="str">
        <f>IFERROR(__xludf.DUMMYFUNCTION("""COMPUTED_VALUE"""),"Школа 1315")</f>
        <v>Школа 1315</v>
      </c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7" t="s">
        <v>32</v>
      </c>
      <c r="B78" s="107">
        <v>31.0</v>
      </c>
      <c r="C78" s="91" t="s">
        <v>3397</v>
      </c>
      <c r="D78" s="26" t="s">
        <v>3322</v>
      </c>
      <c r="E78" s="33" t="str">
        <f>IFERROR(__xludf.DUMMYFUNCTION("""COMPUTED_VALUE"""),"Школа 1347")</f>
        <v>Школа 1347</v>
      </c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7" t="s">
        <v>32</v>
      </c>
      <c r="B79" s="96">
        <v>32.0</v>
      </c>
      <c r="C79" s="26" t="s">
        <v>3398</v>
      </c>
      <c r="D79" s="26" t="s">
        <v>3322</v>
      </c>
      <c r="E79" s="33" t="str">
        <f>IFERROR(__xludf.DUMMYFUNCTION("""COMPUTED_VALUE"""),"Школа 1353")</f>
        <v>Школа 1353</v>
      </c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7" t="s">
        <v>32</v>
      </c>
      <c r="B80" s="90">
        <v>33.0</v>
      </c>
      <c r="C80" s="88" t="s">
        <v>3347</v>
      </c>
      <c r="D80" s="26" t="s">
        <v>3322</v>
      </c>
      <c r="E80" s="33" t="str">
        <f>IFERROR(__xludf.DUMMYFUNCTION("""COMPUTED_VALUE"""),"Школа 1355")</f>
        <v>Школа 1355</v>
      </c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7" t="s">
        <v>32</v>
      </c>
      <c r="B81" s="73">
        <v>34.0</v>
      </c>
      <c r="C81" s="78" t="s">
        <v>3399</v>
      </c>
      <c r="D81" s="26" t="s">
        <v>3322</v>
      </c>
      <c r="E81" s="33" t="str">
        <f>IFERROR(__xludf.DUMMYFUNCTION("""COMPUTED_VALUE"""),"Школа 1359")</f>
        <v>Школа 1359</v>
      </c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7" t="s">
        <v>32</v>
      </c>
      <c r="B82" s="84">
        <v>35.0</v>
      </c>
      <c r="C82" s="81" t="s">
        <v>3400</v>
      </c>
      <c r="D82" s="26" t="s">
        <v>3322</v>
      </c>
      <c r="E82" s="33" t="str">
        <f>IFERROR(__xludf.DUMMYFUNCTION("""COMPUTED_VALUE"""),"Школа 1371")</f>
        <v>Школа 1371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7" t="s">
        <v>32</v>
      </c>
      <c r="B83" s="90">
        <v>36.0</v>
      </c>
      <c r="C83" s="92" t="s">
        <v>3401</v>
      </c>
      <c r="D83" s="26" t="s">
        <v>3322</v>
      </c>
      <c r="E83" s="33" t="str">
        <f>IFERROR(__xludf.DUMMYFUNCTION("""COMPUTED_VALUE"""),"Школа 1391")</f>
        <v>Школа 1391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7" t="s">
        <v>32</v>
      </c>
      <c r="B84" s="107">
        <v>37.0</v>
      </c>
      <c r="C84" s="74" t="s">
        <v>3329</v>
      </c>
      <c r="D84" s="26" t="s">
        <v>3322</v>
      </c>
      <c r="E84" s="33" t="str">
        <f>IFERROR(__xludf.DUMMYFUNCTION("""COMPUTED_VALUE"""),"Школа 1392")</f>
        <v>Школа 1392</v>
      </c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7" t="s">
        <v>32</v>
      </c>
      <c r="B85" s="87">
        <v>38.0</v>
      </c>
      <c r="C85" s="97" t="s">
        <v>3330</v>
      </c>
      <c r="D85" s="26" t="s">
        <v>3322</v>
      </c>
      <c r="E85" s="33" t="str">
        <f>IFERROR(__xludf.DUMMYFUNCTION("""COMPUTED_VALUE"""),"Школа 1430")</f>
        <v>Школа 1430</v>
      </c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7" t="s">
        <v>32</v>
      </c>
      <c r="B86" s="82">
        <v>39.0</v>
      </c>
      <c r="C86" s="104" t="s">
        <v>3402</v>
      </c>
      <c r="D86" s="26" t="s">
        <v>3322</v>
      </c>
      <c r="E86" s="33" t="str">
        <f>IFERROR(__xludf.DUMMYFUNCTION("""COMPUTED_VALUE"""),"Школа 467")</f>
        <v>Школа 467</v>
      </c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7" t="s">
        <v>32</v>
      </c>
      <c r="B87" s="76">
        <v>40.0</v>
      </c>
      <c r="C87" s="95" t="s">
        <v>3403</v>
      </c>
      <c r="D87" s="26" t="s">
        <v>3322</v>
      </c>
      <c r="E87" s="33" t="str">
        <f>IFERROR(__xludf.DUMMYFUNCTION("""COMPUTED_VALUE"""),"Школа 1468")</f>
        <v>Школа 1468</v>
      </c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7" t="s">
        <v>32</v>
      </c>
      <c r="B88" s="107">
        <v>41.0</v>
      </c>
      <c r="C88" s="95" t="s">
        <v>3404</v>
      </c>
      <c r="D88" s="26" t="s">
        <v>3322</v>
      </c>
      <c r="E88" s="33" t="str">
        <f>IFERROR(__xludf.DUMMYFUNCTION("""COMPUTED_VALUE"""),"Школа 1494")</f>
        <v>Школа 1494</v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7" t="s">
        <v>32</v>
      </c>
      <c r="B89" s="79">
        <v>42.0</v>
      </c>
      <c r="C89" s="83" t="s">
        <v>3405</v>
      </c>
      <c r="D89" s="26" t="s">
        <v>3322</v>
      </c>
      <c r="E89" s="33" t="str">
        <f>IFERROR(__xludf.DUMMYFUNCTION("""COMPUTED_VALUE"""),"Школа 1508")</f>
        <v>Школа 1508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7" t="s">
        <v>32</v>
      </c>
      <c r="B90" s="87">
        <v>43.0</v>
      </c>
      <c r="C90" s="95" t="s">
        <v>3406</v>
      </c>
      <c r="D90" s="26" t="s">
        <v>3322</v>
      </c>
      <c r="E90" s="33" t="str">
        <f>IFERROR(__xludf.DUMMYFUNCTION("""COMPUTED_VALUE"""),"Школа 1520")</f>
        <v>Школа 1520</v>
      </c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7" t="s">
        <v>32</v>
      </c>
      <c r="B91" s="108">
        <v>44.0</v>
      </c>
      <c r="C91" s="91" t="s">
        <v>3407</v>
      </c>
      <c r="D91" s="26" t="s">
        <v>3322</v>
      </c>
      <c r="E91" s="33" t="str">
        <f>IFERROR(__xludf.DUMMYFUNCTION("""COMPUTED_VALUE"""),"Школа 1541")</f>
        <v>Школа 1541</v>
      </c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7" t="s">
        <v>32</v>
      </c>
      <c r="B92" s="108">
        <v>45.0</v>
      </c>
      <c r="C92" s="85" t="s">
        <v>3408</v>
      </c>
      <c r="D92" s="26" t="s">
        <v>3322</v>
      </c>
      <c r="E92" s="33" t="str">
        <f>IFERROR(__xludf.DUMMYFUNCTION("""COMPUTED_VALUE"""),"Школа 1551")</f>
        <v>Школа 1551</v>
      </c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7" t="s">
        <v>32</v>
      </c>
      <c r="B93" s="109">
        <v>46.0</v>
      </c>
      <c r="C93" s="110" t="s">
        <v>3351</v>
      </c>
      <c r="D93" s="26" t="s">
        <v>3322</v>
      </c>
      <c r="E93" s="33" t="str">
        <f>IFERROR(__xludf.DUMMYFUNCTION("""COMPUTED_VALUE"""),"Школа 1566")</f>
        <v>Школа 1566</v>
      </c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7" t="s">
        <v>32</v>
      </c>
      <c r="B94" s="87">
        <v>47.0</v>
      </c>
      <c r="C94" s="92" t="s">
        <v>3409</v>
      </c>
      <c r="D94" s="26" t="s">
        <v>3322</v>
      </c>
      <c r="E94" s="33" t="str">
        <f>IFERROR(__xludf.DUMMYFUNCTION("""COMPUTED_VALUE"""),"Школа 1569")</f>
        <v>Школа 1569</v>
      </c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7" t="s">
        <v>32</v>
      </c>
      <c r="B95" s="84">
        <v>48.0</v>
      </c>
      <c r="C95" s="85" t="s">
        <v>3410</v>
      </c>
      <c r="D95" s="26" t="s">
        <v>3322</v>
      </c>
      <c r="E95" s="33" t="str">
        <f>IFERROR(__xludf.DUMMYFUNCTION("""COMPUTED_VALUE"""),"Школа 1570")</f>
        <v>Школа 1570</v>
      </c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7" t="s">
        <v>32</v>
      </c>
      <c r="B96" s="93">
        <v>49.0</v>
      </c>
      <c r="C96" s="85" t="s">
        <v>3411</v>
      </c>
      <c r="D96" s="26" t="s">
        <v>3322</v>
      </c>
      <c r="E96" s="33" t="str">
        <f>IFERROR(__xludf.DUMMYFUNCTION("""COMPUTED_VALUE"""),"Школа 1580")</f>
        <v>Школа 1580</v>
      </c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7" t="s">
        <v>32</v>
      </c>
      <c r="B97" s="108">
        <v>50.0</v>
      </c>
      <c r="C97" s="94" t="s">
        <v>3412</v>
      </c>
      <c r="D97" s="26" t="s">
        <v>3322</v>
      </c>
      <c r="E97" s="33" t="str">
        <f>IFERROR(__xludf.DUMMYFUNCTION("""COMPUTED_VALUE"""),"Школа 1582")</f>
        <v>Школа 1582</v>
      </c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7" t="s">
        <v>32</v>
      </c>
      <c r="B98" s="87">
        <v>51.0</v>
      </c>
      <c r="C98" s="98" t="s">
        <v>3413</v>
      </c>
      <c r="D98" s="26" t="s">
        <v>3322</v>
      </c>
      <c r="E98" s="33" t="str">
        <f>IFERROR(__xludf.DUMMYFUNCTION("""COMPUTED_VALUE"""),"Школа 1601")</f>
        <v>Школа 1601</v>
      </c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7" t="s">
        <v>32</v>
      </c>
      <c r="B99" s="80">
        <v>52.0</v>
      </c>
      <c r="C99" s="89" t="s">
        <v>3414</v>
      </c>
      <c r="D99" s="26" t="s">
        <v>3322</v>
      </c>
      <c r="E99" s="33" t="str">
        <f>IFERROR(__xludf.DUMMYFUNCTION("""COMPUTED_VALUE"""),"Школа 1679")</f>
        <v>Школа 1679</v>
      </c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7" t="s">
        <v>32</v>
      </c>
      <c r="B100" s="82">
        <v>53.0</v>
      </c>
      <c r="C100" s="85" t="s">
        <v>3415</v>
      </c>
      <c r="D100" s="26" t="s">
        <v>3322</v>
      </c>
      <c r="E100" s="33" t="str">
        <f>IFERROR(__xludf.DUMMYFUNCTION("""COMPUTED_VALUE"""),"Школа 1861")</f>
        <v>Школа 1861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7" t="s">
        <v>32</v>
      </c>
      <c r="B101" s="108">
        <v>54.0</v>
      </c>
      <c r="C101" s="92" t="s">
        <v>3416</v>
      </c>
      <c r="D101" s="26" t="s">
        <v>3322</v>
      </c>
      <c r="E101" s="33" t="str">
        <f>IFERROR(__xludf.DUMMYFUNCTION("""COMPUTED_VALUE"""),"Школа 1883")</f>
        <v>Школа 1883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7" t="s">
        <v>32</v>
      </c>
      <c r="B102" s="96">
        <v>55.0</v>
      </c>
      <c r="C102" s="94" t="s">
        <v>3417</v>
      </c>
      <c r="D102" s="26" t="s">
        <v>3322</v>
      </c>
      <c r="E102" s="33" t="str">
        <f>IFERROR(__xludf.DUMMYFUNCTION("""COMPUTED_VALUE"""),"Школа 1944")</f>
        <v>Школа 1944</v>
      </c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7" t="s">
        <v>32</v>
      </c>
      <c r="B103" s="84">
        <v>56.0</v>
      </c>
      <c r="C103" s="110" t="s">
        <v>3418</v>
      </c>
      <c r="D103" s="26" t="s">
        <v>3322</v>
      </c>
      <c r="E103" s="33" t="str">
        <f>IFERROR(__xludf.DUMMYFUNCTION("""COMPUTED_VALUE"""),"Школа 1945")</f>
        <v>Школа 1945</v>
      </c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7" t="s">
        <v>32</v>
      </c>
      <c r="B104" s="79">
        <v>57.0</v>
      </c>
      <c r="C104" s="98" t="s">
        <v>3419</v>
      </c>
      <c r="D104" s="26" t="s">
        <v>3322</v>
      </c>
      <c r="E104" s="33" t="str">
        <f>IFERROR(__xludf.DUMMYFUNCTION("""COMPUTED_VALUE"""),"Школа 1995")</f>
        <v>Школа 1995</v>
      </c>
      <c r="F104" s="110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7" t="s">
        <v>32</v>
      </c>
      <c r="B105" s="93">
        <v>58.0</v>
      </c>
      <c r="C105" s="89" t="s">
        <v>3420</v>
      </c>
      <c r="D105" s="26" t="s">
        <v>3322</v>
      </c>
      <c r="E105" s="33" t="str">
        <f>IFERROR(__xludf.DUMMYFUNCTION("""COMPUTED_VALUE"""),"Школа 2005")</f>
        <v>Школа 2005</v>
      </c>
      <c r="F105" s="92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7" t="s">
        <v>32</v>
      </c>
      <c r="B106" s="101">
        <v>59.0</v>
      </c>
      <c r="C106" s="83" t="s">
        <v>3421</v>
      </c>
      <c r="D106" s="26" t="s">
        <v>3322</v>
      </c>
      <c r="E106" s="33" t="str">
        <f>IFERROR(__xludf.DUMMYFUNCTION("""COMPUTED_VALUE"""),"Школа 2006")</f>
        <v>Школа 2006</v>
      </c>
      <c r="F106" s="92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7" t="s">
        <v>32</v>
      </c>
      <c r="B107" s="96">
        <v>60.0</v>
      </c>
      <c r="C107" s="98" t="s">
        <v>3358</v>
      </c>
      <c r="D107" s="26" t="s">
        <v>3322</v>
      </c>
      <c r="E107" s="33" t="str">
        <f>IFERROR(__xludf.DUMMYFUNCTION("""COMPUTED_VALUE"""),"Школа 2045")</f>
        <v>Школа 2045</v>
      </c>
      <c r="F107" s="111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7" t="s">
        <v>32</v>
      </c>
      <c r="B108" s="73">
        <v>61.0</v>
      </c>
      <c r="C108" s="88" t="s">
        <v>3422</v>
      </c>
      <c r="D108" s="26" t="s">
        <v>3322</v>
      </c>
      <c r="E108" s="33" t="str">
        <f>IFERROR(__xludf.DUMMYFUNCTION("""COMPUTED_VALUE"""),"Школа 2083")</f>
        <v>Школа 2083</v>
      </c>
      <c r="F108" s="92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7" t="s">
        <v>32</v>
      </c>
      <c r="B109" s="76">
        <v>62.0</v>
      </c>
      <c r="C109" s="92" t="s">
        <v>3423</v>
      </c>
      <c r="D109" s="26" t="s">
        <v>3322</v>
      </c>
      <c r="E109" s="33" t="str">
        <f>IFERROR(__xludf.DUMMYFUNCTION("""COMPUTED_VALUE"""),"Школа 2087")</f>
        <v>Школа 2087</v>
      </c>
      <c r="F109" s="81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7" t="s">
        <v>32</v>
      </c>
      <c r="B110" s="73">
        <v>63.0</v>
      </c>
      <c r="C110" s="94" t="s">
        <v>3424</v>
      </c>
      <c r="D110" s="26" t="s">
        <v>3322</v>
      </c>
      <c r="E110" s="33" t="str">
        <f>IFERROR(__xludf.DUMMYFUNCTION("""COMPUTED_VALUE"""),"Школа 2104")</f>
        <v>Школа 2104</v>
      </c>
      <c r="F110" s="95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7" t="s">
        <v>32</v>
      </c>
      <c r="B111" s="84">
        <v>64.0</v>
      </c>
      <c r="C111" s="94" t="s">
        <v>3425</v>
      </c>
      <c r="D111" s="26" t="s">
        <v>3322</v>
      </c>
      <c r="E111" s="33" t="str">
        <f>IFERROR(__xludf.DUMMYFUNCTION("""COMPUTED_VALUE"""),"Школа 2115")</f>
        <v>Школа 2115</v>
      </c>
      <c r="F111" s="110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7" t="s">
        <v>32</v>
      </c>
      <c r="B112" s="87">
        <v>65.0</v>
      </c>
      <c r="C112" s="92" t="s">
        <v>3339</v>
      </c>
      <c r="D112" s="26" t="s">
        <v>3322</v>
      </c>
      <c r="E112" s="33" t="str">
        <f>IFERROR(__xludf.DUMMYFUNCTION("""COMPUTED_VALUE"""),"Школа 2117")</f>
        <v>Школа 2117</v>
      </c>
      <c r="F112" s="92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7" t="s">
        <v>32</v>
      </c>
      <c r="B113" s="112">
        <v>66.0</v>
      </c>
      <c r="C113" s="113" t="s">
        <v>3426</v>
      </c>
      <c r="D113" s="26" t="s">
        <v>3322</v>
      </c>
      <c r="E113" s="33" t="str">
        <f>IFERROR(__xludf.DUMMYFUNCTION("""COMPUTED_VALUE"""),"Школа 2120")</f>
        <v>Школа 2120</v>
      </c>
      <c r="F113" s="111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7" t="s">
        <v>32</v>
      </c>
      <c r="B114" s="76">
        <v>67.0</v>
      </c>
      <c r="C114" s="92" t="s">
        <v>3427</v>
      </c>
      <c r="D114" s="26" t="s">
        <v>3322</v>
      </c>
      <c r="E114" s="33" t="str">
        <f>IFERROR(__xludf.DUMMYFUNCTION("""COMPUTED_VALUE"""),"Школа 2200")</f>
        <v>Школа 2200</v>
      </c>
      <c r="F114" s="81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7" t="s">
        <v>32</v>
      </c>
      <c r="B115" s="101">
        <v>68.0</v>
      </c>
      <c r="C115" s="91" t="s">
        <v>3428</v>
      </c>
      <c r="D115" s="26" t="s">
        <v>3322</v>
      </c>
      <c r="E115" s="33" t="str">
        <f>IFERROR(__xludf.DUMMYFUNCTION("""COMPUTED_VALUE"""),"Московская международная школа")</f>
        <v>Московская международная школа</v>
      </c>
      <c r="F115" s="89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7" t="s">
        <v>32</v>
      </c>
      <c r="B116" s="84">
        <v>69.0</v>
      </c>
      <c r="C116" s="85" t="s">
        <v>3429</v>
      </c>
      <c r="D116" s="26" t="s">
        <v>3322</v>
      </c>
      <c r="E116" s="33" t="str">
        <f>IFERROR(__xludf.DUMMYFUNCTION("""COMPUTED_VALUE"""),"Инженерно-техническая школа им. дважды Героя Советского Союза П. Р. Поповича")</f>
        <v>Инженерно-техническая школа им. дважды Героя Советского Союза П. Р. Поповича</v>
      </c>
      <c r="F116" s="111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7" t="s">
        <v>33</v>
      </c>
      <c r="B117" s="7">
        <v>1.0</v>
      </c>
      <c r="C117" s="78" t="s">
        <v>3430</v>
      </c>
      <c r="D117" s="26" t="s">
        <v>3322</v>
      </c>
      <c r="E117" s="33" t="str">
        <f>IFERROR(__xludf.DUMMYFUNCTION("""COMPUTED_VALUE"""),"Школа 7")</f>
        <v>Школа 7</v>
      </c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7" t="s">
        <v>33</v>
      </c>
      <c r="B118" s="76">
        <v>2.0</v>
      </c>
      <c r="C118" s="89" t="s">
        <v>3431</v>
      </c>
      <c r="D118" s="26" t="s">
        <v>3322</v>
      </c>
      <c r="E118" s="33" t="str">
        <f>IFERROR(__xludf.DUMMYFUNCTION("""COMPUTED_VALUE"""),"Школа 123")</f>
        <v>Школа 123</v>
      </c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7" t="s">
        <v>33</v>
      </c>
      <c r="B119" s="93">
        <v>3.0</v>
      </c>
      <c r="C119" s="98" t="s">
        <v>3432</v>
      </c>
      <c r="D119" s="26" t="s">
        <v>3322</v>
      </c>
      <c r="E119" s="33" t="str">
        <f>IFERROR(__xludf.DUMMYFUNCTION("""COMPUTED_VALUE"""),"Школа 149")</f>
        <v>Школа 149</v>
      </c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7" t="s">
        <v>33</v>
      </c>
      <c r="B120" s="80">
        <v>4.0</v>
      </c>
      <c r="C120" s="95" t="s">
        <v>3433</v>
      </c>
      <c r="D120" s="26" t="s">
        <v>3322</v>
      </c>
      <c r="E120" s="33" t="str">
        <f>IFERROR(__xludf.DUMMYFUNCTION("""COMPUTED_VALUE"""),"Школа 158")</f>
        <v>Школа 158</v>
      </c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7" t="s">
        <v>33</v>
      </c>
      <c r="B121" s="90">
        <v>5.0</v>
      </c>
      <c r="C121" s="89" t="s">
        <v>3434</v>
      </c>
      <c r="D121" s="26" t="s">
        <v>3322</v>
      </c>
      <c r="E121" s="33" t="str">
        <f>IFERROR(__xludf.DUMMYFUNCTION("""COMPUTED_VALUE"""),"Школа 199")</f>
        <v>Школа 199</v>
      </c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7" t="s">
        <v>33</v>
      </c>
      <c r="B122" s="93">
        <v>6.0</v>
      </c>
      <c r="C122" s="94" t="s">
        <v>3435</v>
      </c>
      <c r="D122" s="26" t="s">
        <v>3322</v>
      </c>
      <c r="E122" s="33" t="str">
        <f>IFERROR(__xludf.DUMMYFUNCTION("""COMPUTED_VALUE"""),"Школа 283")</f>
        <v>Школа 283</v>
      </c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7" t="s">
        <v>33</v>
      </c>
      <c r="B123" s="101">
        <v>7.0</v>
      </c>
      <c r="C123" s="91" t="s">
        <v>3343</v>
      </c>
      <c r="D123" s="26" t="s">
        <v>3322</v>
      </c>
      <c r="E123" s="33" t="str">
        <f>IFERROR(__xludf.DUMMYFUNCTION("""COMPUTED_VALUE"""),"Школа 544")</f>
        <v>Школа 544</v>
      </c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7" t="s">
        <v>33</v>
      </c>
      <c r="B124" s="87">
        <v>8.0</v>
      </c>
      <c r="C124" s="98" t="s">
        <v>3436</v>
      </c>
      <c r="D124" s="26" t="s">
        <v>3322</v>
      </c>
      <c r="E124" s="33" t="str">
        <f>IFERROR(__xludf.DUMMYFUNCTION("""COMPUTED_VALUE"""),"Школа 827")</f>
        <v>Школа 827</v>
      </c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7" t="s">
        <v>33</v>
      </c>
      <c r="B125" s="87">
        <v>9.0</v>
      </c>
      <c r="C125" s="91" t="s">
        <v>3437</v>
      </c>
      <c r="D125" s="26" t="s">
        <v>3322</v>
      </c>
      <c r="E125" s="33" t="str">
        <f>IFERROR(__xludf.DUMMYFUNCTION("""COMPUTED_VALUE"""),"Школа 947")</f>
        <v>Школа 947</v>
      </c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7" t="s">
        <v>33</v>
      </c>
      <c r="B126" s="73">
        <v>10.0</v>
      </c>
      <c r="C126" s="89" t="s">
        <v>3438</v>
      </c>
      <c r="D126" s="26" t="s">
        <v>3322</v>
      </c>
      <c r="E126" s="33" t="str">
        <f>IFERROR(__xludf.DUMMYFUNCTION("""COMPUTED_VALUE"""),"Школа 956")</f>
        <v>Школа 956</v>
      </c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7" t="s">
        <v>33</v>
      </c>
      <c r="B127" s="96">
        <v>11.0</v>
      </c>
      <c r="C127" s="94" t="s">
        <v>3439</v>
      </c>
      <c r="D127" s="26" t="s">
        <v>3322</v>
      </c>
      <c r="E127" s="33" t="str">
        <f>IFERROR(__xludf.DUMMYFUNCTION("""COMPUTED_VALUE"""),"Школа 998")</f>
        <v>Школа 998</v>
      </c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7" t="s">
        <v>33</v>
      </c>
      <c r="B128" s="93">
        <v>12.0</v>
      </c>
      <c r="C128" s="97" t="s">
        <v>3328</v>
      </c>
      <c r="D128" s="26" t="s">
        <v>3322</v>
      </c>
      <c r="E128" s="33" t="str">
        <f>IFERROR(__xludf.DUMMYFUNCTION("""COMPUTED_VALUE"""),"Школа 1207")</f>
        <v>Школа 1207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7" t="s">
        <v>33</v>
      </c>
      <c r="B129" s="84">
        <v>13.0</v>
      </c>
      <c r="C129" s="95" t="s">
        <v>3385</v>
      </c>
      <c r="D129" s="26" t="s">
        <v>3322</v>
      </c>
      <c r="E129" s="33" t="str">
        <f>IFERROR(__xludf.DUMMYFUNCTION("""COMPUTED_VALUE"""),"Школа 1208")</f>
        <v>Школа 1208</v>
      </c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7" t="s">
        <v>33</v>
      </c>
      <c r="B130" s="93">
        <v>14.0</v>
      </c>
      <c r="C130" s="110" t="s">
        <v>3387</v>
      </c>
      <c r="D130" s="26" t="s">
        <v>3322</v>
      </c>
      <c r="E130" s="33" t="str">
        <f>IFERROR(__xludf.DUMMYFUNCTION("""COMPUTED_VALUE"""),"Школа 1238")</f>
        <v>Школа 1238</v>
      </c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7" t="s">
        <v>33</v>
      </c>
      <c r="B131" s="93">
        <v>15.0</v>
      </c>
      <c r="C131" s="110" t="s">
        <v>3440</v>
      </c>
      <c r="D131" s="26" t="s">
        <v>3322</v>
      </c>
      <c r="E131" s="33" t="str">
        <f>IFERROR(__xludf.DUMMYFUNCTION("""COMPUTED_VALUE"""),"Школа 1347")</f>
        <v>Школа 1347</v>
      </c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7" t="s">
        <v>33</v>
      </c>
      <c r="B132" s="93">
        <v>16.0</v>
      </c>
      <c r="C132" s="95" t="s">
        <v>3441</v>
      </c>
      <c r="D132" s="26" t="s">
        <v>3322</v>
      </c>
      <c r="E132" s="33" t="str">
        <f>IFERROR(__xludf.DUMMYFUNCTION("""COMPUTED_VALUE"""),"Школа 1387")</f>
        <v>Школа 1387</v>
      </c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7" t="s">
        <v>33</v>
      </c>
      <c r="B133" s="79">
        <v>17.0</v>
      </c>
      <c r="C133" s="74" t="s">
        <v>3442</v>
      </c>
      <c r="D133" s="26" t="s">
        <v>3322</v>
      </c>
      <c r="E133" s="33" t="str">
        <f>IFERROR(__xludf.DUMMYFUNCTION("""COMPUTED_VALUE"""),"Школа 1416")</f>
        <v>Школа 1416</v>
      </c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7" t="s">
        <v>33</v>
      </c>
      <c r="B134" s="84">
        <v>18.0</v>
      </c>
      <c r="C134" s="98" t="s">
        <v>3443</v>
      </c>
      <c r="D134" s="26" t="s">
        <v>3322</v>
      </c>
      <c r="E134" s="33" t="str">
        <f>IFERROR(__xludf.DUMMYFUNCTION("""COMPUTED_VALUE"""),"Школа 1449")</f>
        <v>Школа 1449</v>
      </c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7" t="s">
        <v>33</v>
      </c>
      <c r="B135" s="73">
        <v>19.0</v>
      </c>
      <c r="C135" s="94" t="s">
        <v>3444</v>
      </c>
      <c r="D135" s="26" t="s">
        <v>3322</v>
      </c>
      <c r="E135" s="33" t="str">
        <f>IFERROR(__xludf.DUMMYFUNCTION("""COMPUTED_VALUE"""),"Школа 1507")</f>
        <v>Школа 1507</v>
      </c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7" t="s">
        <v>33</v>
      </c>
      <c r="B136" s="7">
        <v>20.0</v>
      </c>
      <c r="C136" s="92" t="s">
        <v>3445</v>
      </c>
      <c r="D136" s="26" t="s">
        <v>3322</v>
      </c>
      <c r="E136" s="33" t="str">
        <f>IFERROR(__xludf.DUMMYFUNCTION("""COMPUTED_VALUE"""),"Школа 1537")</f>
        <v>Школа 1537</v>
      </c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7" t="s">
        <v>33</v>
      </c>
      <c r="B137" s="82">
        <v>21.0</v>
      </c>
      <c r="C137" s="77" t="s">
        <v>3446</v>
      </c>
      <c r="D137" s="26" t="s">
        <v>3322</v>
      </c>
      <c r="E137" s="33" t="str">
        <f>IFERROR(__xludf.DUMMYFUNCTION("""COMPUTED_VALUE"""),"Школа 1539")</f>
        <v>Школа 1539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7" t="s">
        <v>33</v>
      </c>
      <c r="B138" s="7">
        <v>22.0</v>
      </c>
      <c r="C138" s="95" t="s">
        <v>3447</v>
      </c>
      <c r="D138" s="26" t="s">
        <v>3322</v>
      </c>
      <c r="E138" s="33" t="str">
        <f>IFERROR(__xludf.DUMMYFUNCTION("""COMPUTED_VALUE"""),"Школа 1542")</f>
        <v>Школа 1542</v>
      </c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7" t="s">
        <v>33</v>
      </c>
      <c r="B139" s="90">
        <v>23.0</v>
      </c>
      <c r="C139" s="95" t="s">
        <v>3448</v>
      </c>
      <c r="D139" s="26" t="s">
        <v>3322</v>
      </c>
      <c r="E139" s="33" t="str">
        <f>IFERROR(__xludf.DUMMYFUNCTION("""COMPUTED_VALUE"""),"Школа 1552")</f>
        <v>Школа 1552</v>
      </c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7" t="s">
        <v>33</v>
      </c>
      <c r="B140" s="76">
        <v>24.0</v>
      </c>
      <c r="C140" s="98" t="s">
        <v>3351</v>
      </c>
      <c r="D140" s="26" t="s">
        <v>3322</v>
      </c>
      <c r="E140" s="33" t="str">
        <f>IFERROR(__xludf.DUMMYFUNCTION("""COMPUTED_VALUE"""),"Школа 1566")</f>
        <v>Школа 1566</v>
      </c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7" t="s">
        <v>33</v>
      </c>
      <c r="B141" s="90">
        <v>25.0</v>
      </c>
      <c r="C141" s="97" t="s">
        <v>3449</v>
      </c>
      <c r="D141" s="26" t="s">
        <v>3322</v>
      </c>
      <c r="E141" s="33" t="str">
        <f>IFERROR(__xludf.DUMMYFUNCTION("""COMPUTED_VALUE"""),"Школа 1570")</f>
        <v>Школа 1570</v>
      </c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7" t="s">
        <v>33</v>
      </c>
      <c r="B142" s="84">
        <v>26.0</v>
      </c>
      <c r="C142" s="85" t="s">
        <v>3415</v>
      </c>
      <c r="D142" s="26" t="s">
        <v>3322</v>
      </c>
      <c r="E142" s="33" t="str">
        <f>IFERROR(__xludf.DUMMYFUNCTION("""COMPUTED_VALUE"""),"Школа 1861")</f>
        <v>Школа 1861</v>
      </c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7" t="s">
        <v>33</v>
      </c>
      <c r="B143" s="76">
        <v>27.0</v>
      </c>
      <c r="C143" s="81" t="s">
        <v>3450</v>
      </c>
      <c r="D143" s="26" t="s">
        <v>3322</v>
      </c>
      <c r="E143" s="33" t="str">
        <f>IFERROR(__xludf.DUMMYFUNCTION("""COMPUTED_VALUE"""),"Школа 1862")</f>
        <v>Школа 1862</v>
      </c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7" t="s">
        <v>33</v>
      </c>
      <c r="B144" s="107">
        <v>28.0</v>
      </c>
      <c r="C144" s="98" t="s">
        <v>3451</v>
      </c>
      <c r="D144" s="26" t="s">
        <v>3322</v>
      </c>
      <c r="E144" s="33" t="str">
        <f>IFERROR(__xludf.DUMMYFUNCTION("""COMPUTED_VALUE"""),"Школа 2048")</f>
        <v>Школа 2048</v>
      </c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7" t="s">
        <v>33</v>
      </c>
      <c r="B145" s="96">
        <v>29.0</v>
      </c>
      <c r="C145" s="94" t="s">
        <v>3452</v>
      </c>
      <c r="D145" s="26" t="s">
        <v>3322</v>
      </c>
      <c r="E145" s="33" t="str">
        <f>IFERROR(__xludf.DUMMYFUNCTION("""COMPUTED_VALUE"""),"Школа 2100")</f>
        <v>Школа 2100</v>
      </c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7" t="s">
        <v>33</v>
      </c>
      <c r="B146" s="79">
        <v>30.0</v>
      </c>
      <c r="C146" s="92" t="s">
        <v>3453</v>
      </c>
      <c r="D146" s="26" t="s">
        <v>3322</v>
      </c>
      <c r="E146" s="33" t="str">
        <f>IFERROR(__xludf.DUMMYFUNCTION("""COMPUTED_VALUE"""),"Школа 2127")</f>
        <v>Школа 2127</v>
      </c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7" t="s">
        <v>33</v>
      </c>
      <c r="B147" s="93">
        <v>31.0</v>
      </c>
      <c r="C147" s="91" t="s">
        <v>3454</v>
      </c>
      <c r="D147" s="26" t="s">
        <v>3322</v>
      </c>
      <c r="E147" s="33" t="str">
        <f>IFERROR(__xludf.DUMMYFUNCTION("""COMPUTED_VALUE"""),"Школа Марьино им. маршала авиации А. Е. Голованова")</f>
        <v>Школа Марьино им. маршала авиации А. Е. Голованова</v>
      </c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7" t="s">
        <v>33</v>
      </c>
      <c r="B148" s="112">
        <v>32.0</v>
      </c>
      <c r="C148" s="92" t="s">
        <v>3455</v>
      </c>
      <c r="D148" s="26" t="s">
        <v>3322</v>
      </c>
      <c r="E148" s="33" t="str">
        <f>IFERROR(__xludf.DUMMYFUNCTION("""COMPUTED_VALUE"""),"Школа Тропарево")</f>
        <v>Школа Тропарево</v>
      </c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7" t="s">
        <v>33</v>
      </c>
      <c r="B149" s="76">
        <v>33.0</v>
      </c>
      <c r="C149" s="89" t="s">
        <v>3456</v>
      </c>
      <c r="D149" s="26" t="s">
        <v>3322</v>
      </c>
      <c r="E149" s="33" t="str">
        <f>IFERROR(__xludf.DUMMYFUNCTION("""COMPUTED_VALUE"""),"Школа им. Ф. М. Достоевского")</f>
        <v>Школа им. Ф. М. Достоевского</v>
      </c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114" t="s">
        <v>34</v>
      </c>
      <c r="B150" s="87">
        <v>1.0</v>
      </c>
      <c r="C150" s="95" t="s">
        <v>3384</v>
      </c>
      <c r="D150" s="26" t="s">
        <v>3322</v>
      </c>
      <c r="E150" s="33" t="str">
        <f>IFERROR(__xludf.DUMMYFUNCTION("""COMPUTED_VALUE"""),"Школа 1206")</f>
        <v>Школа 1206</v>
      </c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114" t="s">
        <v>34</v>
      </c>
      <c r="B151" s="7">
        <v>2.0</v>
      </c>
      <c r="C151" s="91" t="s">
        <v>3387</v>
      </c>
      <c r="D151" s="26" t="s">
        <v>3322</v>
      </c>
      <c r="E151" s="33" t="str">
        <f>IFERROR(__xludf.DUMMYFUNCTION("""COMPUTED_VALUE"""),"Школа 1238")</f>
        <v>Школа 1238</v>
      </c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114" t="s">
        <v>34</v>
      </c>
      <c r="B152" s="7">
        <v>3.0</v>
      </c>
      <c r="C152" s="92" t="s">
        <v>3457</v>
      </c>
      <c r="D152" s="26" t="s">
        <v>3322</v>
      </c>
      <c r="E152" s="33" t="str">
        <f>IFERROR(__xludf.DUMMYFUNCTION("""COMPUTED_VALUE"""),"Школа 1368")</f>
        <v>Школа 1368</v>
      </c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114" t="s">
        <v>34</v>
      </c>
      <c r="B153" s="115">
        <v>4.0</v>
      </c>
      <c r="C153" s="26" t="s">
        <v>3458</v>
      </c>
      <c r="D153" s="26" t="s">
        <v>3322</v>
      </c>
      <c r="E153" s="33" t="str">
        <f>IFERROR(__xludf.DUMMYFUNCTION("""COMPUTED_VALUE"""),"Школа 1793")</f>
        <v>Школа 1793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114" t="s">
        <v>34</v>
      </c>
      <c r="B154" s="116">
        <v>5.0</v>
      </c>
      <c r="C154" s="83" t="s">
        <v>3426</v>
      </c>
      <c r="D154" s="26" t="s">
        <v>3322</v>
      </c>
      <c r="E154" s="33" t="str">
        <f>IFERROR(__xludf.DUMMYFUNCTION("""COMPUTED_VALUE"""),"Школа 2120")</f>
        <v>Школа 2120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7" t="s">
        <v>30</v>
      </c>
      <c r="B155" s="107">
        <v>1.0</v>
      </c>
      <c r="C155" s="91" t="s">
        <v>3459</v>
      </c>
      <c r="D155" s="83" t="s">
        <v>3460</v>
      </c>
      <c r="E155" s="33" t="str">
        <f>IFERROR(__xludf.DUMMYFUNCTION("""COMPUTED_VALUE"""),"Школа 138")</f>
        <v>Школа 138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7" t="s">
        <v>30</v>
      </c>
      <c r="B156" s="101">
        <v>2.0</v>
      </c>
      <c r="C156" s="91" t="s">
        <v>3461</v>
      </c>
      <c r="D156" s="83" t="s">
        <v>3460</v>
      </c>
      <c r="E156" s="33" t="str">
        <f>IFERROR(__xludf.DUMMYFUNCTION("""COMPUTED_VALUE"""),"Школа 141")</f>
        <v>Школа 141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7" t="s">
        <v>30</v>
      </c>
      <c r="B157" s="101">
        <v>3.0</v>
      </c>
      <c r="C157" s="83" t="s">
        <v>3371</v>
      </c>
      <c r="D157" s="83" t="s">
        <v>3460</v>
      </c>
      <c r="E157" s="33" t="str">
        <f>IFERROR(__xludf.DUMMYFUNCTION("""COMPUTED_VALUE"""),"Школа 185")</f>
        <v>Школа 185</v>
      </c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7" t="s">
        <v>30</v>
      </c>
      <c r="B158" s="79">
        <v>4.0</v>
      </c>
      <c r="C158" s="94" t="s">
        <v>3434</v>
      </c>
      <c r="D158" s="83" t="s">
        <v>3460</v>
      </c>
      <c r="E158" s="33" t="str">
        <f>IFERROR(__xludf.DUMMYFUNCTION("""COMPUTED_VALUE"""),"Школа 199")</f>
        <v>Школа 199</v>
      </c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7" t="s">
        <v>30</v>
      </c>
      <c r="B159" s="73">
        <v>5.0</v>
      </c>
      <c r="C159" s="83" t="s">
        <v>3435</v>
      </c>
      <c r="D159" s="83" t="s">
        <v>3460</v>
      </c>
      <c r="E159" s="33" t="str">
        <f>IFERROR(__xludf.DUMMYFUNCTION("""COMPUTED_VALUE"""),"Школа 283")</f>
        <v>Школа 283</v>
      </c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7" t="s">
        <v>30</v>
      </c>
      <c r="B160" s="93">
        <v>6.0</v>
      </c>
      <c r="C160" s="98" t="s">
        <v>3462</v>
      </c>
      <c r="D160" s="83" t="s">
        <v>3460</v>
      </c>
      <c r="E160" s="33" t="str">
        <f>IFERROR(__xludf.DUMMYFUNCTION("""COMPUTED_VALUE"""),"Школа 648")</f>
        <v>Школа 648</v>
      </c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7" t="s">
        <v>30</v>
      </c>
      <c r="B161" s="84">
        <v>7.0</v>
      </c>
      <c r="C161" s="92" t="s">
        <v>3463</v>
      </c>
      <c r="D161" s="83" t="s">
        <v>3460</v>
      </c>
      <c r="E161" s="33" t="str">
        <f>IFERROR(__xludf.DUMMYFUNCTION("""COMPUTED_VALUE"""),"Школа 667")</f>
        <v>Школа 667</v>
      </c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7" t="s">
        <v>30</v>
      </c>
      <c r="B162" s="79">
        <v>8.0</v>
      </c>
      <c r="C162" s="97" t="s">
        <v>3464</v>
      </c>
      <c r="D162" s="83" t="s">
        <v>3460</v>
      </c>
      <c r="E162" s="33" t="str">
        <f>IFERROR(__xludf.DUMMYFUNCTION("""COMPUTED_VALUE"""),"Школа 727")</f>
        <v>Школа 727</v>
      </c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7" t="s">
        <v>30</v>
      </c>
      <c r="B163" s="82">
        <v>9.0</v>
      </c>
      <c r="C163" s="91" t="s">
        <v>3465</v>
      </c>
      <c r="D163" s="83" t="s">
        <v>3460</v>
      </c>
      <c r="E163" s="33" t="str">
        <f>IFERROR(__xludf.DUMMYFUNCTION("""COMPUTED_VALUE"""),"Школа 777")</f>
        <v>Школа 777</v>
      </c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7" t="s">
        <v>30</v>
      </c>
      <c r="B164" s="116">
        <v>10.0</v>
      </c>
      <c r="C164" s="83" t="s">
        <v>3436</v>
      </c>
      <c r="D164" s="83" t="s">
        <v>3460</v>
      </c>
      <c r="E164" s="33" t="str">
        <f>IFERROR(__xludf.DUMMYFUNCTION("""COMPUTED_VALUE"""),"Школа 827")</f>
        <v>Школа 827</v>
      </c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7" t="s">
        <v>30</v>
      </c>
      <c r="B165" s="84">
        <v>11.0</v>
      </c>
      <c r="C165" s="26" t="s">
        <v>3466</v>
      </c>
      <c r="D165" s="83" t="s">
        <v>3460</v>
      </c>
      <c r="E165" s="33" t="str">
        <f>IFERROR(__xludf.DUMMYFUNCTION("""COMPUTED_VALUE"""),"Школа 853")</f>
        <v>Школа 853</v>
      </c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7" t="s">
        <v>30</v>
      </c>
      <c r="B166" s="107">
        <v>12.0</v>
      </c>
      <c r="C166" s="83" t="s">
        <v>3378</v>
      </c>
      <c r="D166" s="83" t="s">
        <v>3460</v>
      </c>
      <c r="E166" s="33" t="str">
        <f>IFERROR(__xludf.DUMMYFUNCTION("""COMPUTED_VALUE"""),"Школа 875")</f>
        <v>Школа 875</v>
      </c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7" t="s">
        <v>30</v>
      </c>
      <c r="B167" s="73">
        <v>13.0</v>
      </c>
      <c r="C167" s="98" t="s">
        <v>3467</v>
      </c>
      <c r="D167" s="83" t="s">
        <v>3460</v>
      </c>
      <c r="E167" s="33" t="str">
        <f>IFERROR(__xludf.DUMMYFUNCTION("""COMPUTED_VALUE"""),"Школа 902")</f>
        <v>Школа 902</v>
      </c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7" t="s">
        <v>30</v>
      </c>
      <c r="B168" s="101">
        <v>14.0</v>
      </c>
      <c r="C168" s="98" t="s">
        <v>3381</v>
      </c>
      <c r="D168" s="83" t="s">
        <v>3460</v>
      </c>
      <c r="E168" s="33" t="str">
        <f>IFERROR(__xludf.DUMMYFUNCTION("""COMPUTED_VALUE"""),"Школа 950")</f>
        <v>Школа 950</v>
      </c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7" t="s">
        <v>30</v>
      </c>
      <c r="B169" s="84">
        <v>15.0</v>
      </c>
      <c r="C169" s="92" t="s">
        <v>3468</v>
      </c>
      <c r="D169" s="83" t="s">
        <v>3460</v>
      </c>
      <c r="E169" s="33" t="str">
        <f>IFERROR(__xludf.DUMMYFUNCTION("""COMPUTED_VALUE"""),"Школа 1101")</f>
        <v>Школа 1101</v>
      </c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7" t="s">
        <v>30</v>
      </c>
      <c r="B170" s="87">
        <v>16.0</v>
      </c>
      <c r="C170" s="91" t="s">
        <v>3328</v>
      </c>
      <c r="D170" s="83" t="s">
        <v>3460</v>
      </c>
      <c r="E170" s="33" t="str">
        <f>IFERROR(__xludf.DUMMYFUNCTION("""COMPUTED_VALUE"""),"Школа 1207")</f>
        <v>Школа 1207</v>
      </c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7" t="s">
        <v>30</v>
      </c>
      <c r="B171" s="76">
        <v>17.0</v>
      </c>
      <c r="C171" s="92" t="s">
        <v>3469</v>
      </c>
      <c r="D171" s="83" t="s">
        <v>3460</v>
      </c>
      <c r="E171" s="33" t="str">
        <f>IFERROR(__xludf.DUMMYFUNCTION("""COMPUTED_VALUE"""),"Школа 1210")</f>
        <v>Школа 1210</v>
      </c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7" t="s">
        <v>30</v>
      </c>
      <c r="B172" s="84">
        <v>18.0</v>
      </c>
      <c r="C172" s="94" t="s">
        <v>3386</v>
      </c>
      <c r="D172" s="83" t="s">
        <v>3460</v>
      </c>
      <c r="E172" s="33" t="str">
        <f>IFERROR(__xludf.DUMMYFUNCTION("""COMPUTED_VALUE"""),"Школа 1231")</f>
        <v>Школа 1231</v>
      </c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7" t="s">
        <v>30</v>
      </c>
      <c r="B173" s="82">
        <v>19.0</v>
      </c>
      <c r="C173" s="89" t="s">
        <v>3470</v>
      </c>
      <c r="D173" s="83" t="s">
        <v>3460</v>
      </c>
      <c r="E173" s="33" t="str">
        <f>IFERROR(__xludf.DUMMYFUNCTION("""COMPUTED_VALUE"""),"Школа 1257")</f>
        <v>Школа 1257</v>
      </c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7" t="s">
        <v>30</v>
      </c>
      <c r="B174" s="79">
        <v>20.0</v>
      </c>
      <c r="C174" s="83" t="s">
        <v>3471</v>
      </c>
      <c r="D174" s="83" t="s">
        <v>3460</v>
      </c>
      <c r="E174" s="33" t="str">
        <f>IFERROR(__xludf.DUMMYFUNCTION("""COMPUTED_VALUE"""),"Школа 1259")</f>
        <v>Школа 1259</v>
      </c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7" t="s">
        <v>30</v>
      </c>
      <c r="B175" s="87">
        <v>21.0</v>
      </c>
      <c r="C175" s="94" t="s">
        <v>3472</v>
      </c>
      <c r="D175" s="83" t="s">
        <v>3460</v>
      </c>
      <c r="E175" s="33" t="str">
        <f>IFERROR(__xludf.DUMMYFUNCTION("""COMPUTED_VALUE"""),"Школа 1293")</f>
        <v>Школа 1293</v>
      </c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7" t="s">
        <v>30</v>
      </c>
      <c r="B176" s="107">
        <v>22.0</v>
      </c>
      <c r="C176" s="78" t="s">
        <v>3394</v>
      </c>
      <c r="D176" s="83" t="s">
        <v>3460</v>
      </c>
      <c r="E176" s="33" t="str">
        <f>IFERROR(__xludf.DUMMYFUNCTION("""COMPUTED_VALUE"""),"Школа 1298")</f>
        <v>Школа 1298</v>
      </c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7" t="s">
        <v>30</v>
      </c>
      <c r="B177" s="93">
        <v>23.0</v>
      </c>
      <c r="C177" s="91" t="s">
        <v>3473</v>
      </c>
      <c r="D177" s="83" t="s">
        <v>3460</v>
      </c>
      <c r="E177" s="33" t="str">
        <f>IFERROR(__xludf.DUMMYFUNCTION("""COMPUTED_VALUE"""),"Школа 1387")</f>
        <v>Школа 1387</v>
      </c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7" t="s">
        <v>30</v>
      </c>
      <c r="B178" s="87">
        <v>24.0</v>
      </c>
      <c r="C178" s="91" t="s">
        <v>3474</v>
      </c>
      <c r="D178" s="83" t="s">
        <v>3460</v>
      </c>
      <c r="E178" s="33" t="str">
        <f>IFERROR(__xludf.DUMMYFUNCTION("""COMPUTED_VALUE"""),"Школа 1400")</f>
        <v>Школа 1400</v>
      </c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7" t="s">
        <v>30</v>
      </c>
      <c r="B179" s="90">
        <v>25.0</v>
      </c>
      <c r="C179" s="94" t="s">
        <v>3475</v>
      </c>
      <c r="D179" s="83" t="s">
        <v>3460</v>
      </c>
      <c r="E179" s="33" t="str">
        <f>IFERROR(__xludf.DUMMYFUNCTION("""COMPUTED_VALUE"""),"Школа 1412")</f>
        <v>Школа 1412</v>
      </c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7" t="s">
        <v>30</v>
      </c>
      <c r="B180" s="90">
        <v>26.0</v>
      </c>
      <c r="C180" s="94" t="s">
        <v>3476</v>
      </c>
      <c r="D180" s="83" t="s">
        <v>3460</v>
      </c>
      <c r="E180" s="33" t="str">
        <f>IFERROR(__xludf.DUMMYFUNCTION("""COMPUTED_VALUE"""),"Школа 1454")</f>
        <v>Школа 1454</v>
      </c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7" t="s">
        <v>30</v>
      </c>
      <c r="B181" s="87">
        <v>27.0</v>
      </c>
      <c r="C181" s="110" t="s">
        <v>3477</v>
      </c>
      <c r="D181" s="83" t="s">
        <v>3460</v>
      </c>
      <c r="E181" s="33" t="str">
        <f>IFERROR(__xludf.DUMMYFUNCTION("""COMPUTED_VALUE"""),"Школа 1494")</f>
        <v>Школа 1494</v>
      </c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7" t="s">
        <v>30</v>
      </c>
      <c r="B182" s="108">
        <v>28.0</v>
      </c>
      <c r="C182" s="95" t="s">
        <v>3478</v>
      </c>
      <c r="D182" s="83" t="s">
        <v>3460</v>
      </c>
      <c r="E182" s="33" t="str">
        <f>IFERROR(__xludf.DUMMYFUNCTION("""COMPUTED_VALUE"""),"Школа 1529")</f>
        <v>Школа 1529</v>
      </c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7" t="s">
        <v>30</v>
      </c>
      <c r="B183" s="87">
        <v>29.0</v>
      </c>
      <c r="C183" s="78" t="s">
        <v>3446</v>
      </c>
      <c r="D183" s="83" t="s">
        <v>3460</v>
      </c>
      <c r="E183" s="33" t="str">
        <f>IFERROR(__xludf.DUMMYFUNCTION("""COMPUTED_VALUE"""),"Школа 1539")</f>
        <v>Школа 1539</v>
      </c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7" t="s">
        <v>30</v>
      </c>
      <c r="B184" s="73">
        <v>30.0</v>
      </c>
      <c r="C184" s="91" t="s">
        <v>3479</v>
      </c>
      <c r="D184" s="83" t="s">
        <v>3460</v>
      </c>
      <c r="E184" s="33" t="str">
        <f>IFERROR(__xludf.DUMMYFUNCTION("""COMPUTED_VALUE"""),"Школа 1544")</f>
        <v>Школа 1544</v>
      </c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7" t="s">
        <v>30</v>
      </c>
      <c r="B185" s="84">
        <v>31.0</v>
      </c>
      <c r="C185" s="26" t="s">
        <v>3480</v>
      </c>
      <c r="D185" s="83" t="s">
        <v>3460</v>
      </c>
      <c r="E185" s="33" t="str">
        <f>IFERROR(__xludf.DUMMYFUNCTION("""COMPUTED_VALUE"""),"Школа 1601")</f>
        <v>Школа 1601</v>
      </c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7" t="s">
        <v>30</v>
      </c>
      <c r="B186" s="7">
        <v>32.0</v>
      </c>
      <c r="C186" s="97" t="s">
        <v>3481</v>
      </c>
      <c r="D186" s="83" t="s">
        <v>3460</v>
      </c>
      <c r="E186" s="33" t="str">
        <f>IFERROR(__xludf.DUMMYFUNCTION("""COMPUTED_VALUE"""),"Школа 1770")</f>
        <v>Школа 1770</v>
      </c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7" t="s">
        <v>30</v>
      </c>
      <c r="B187" s="7">
        <v>33.0</v>
      </c>
      <c r="C187" s="98" t="s">
        <v>3482</v>
      </c>
      <c r="D187" s="83" t="s">
        <v>3460</v>
      </c>
      <c r="E187" s="33" t="str">
        <f>IFERROR(__xludf.DUMMYFUNCTION("""COMPUTED_VALUE"""),"Школа 1862")</f>
        <v>Школа 1862</v>
      </c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7" t="s">
        <v>30</v>
      </c>
      <c r="B188" s="96">
        <v>34.0</v>
      </c>
      <c r="C188" s="92" t="s">
        <v>3483</v>
      </c>
      <c r="D188" s="83" t="s">
        <v>3460</v>
      </c>
      <c r="E188" s="33" t="str">
        <f>IFERROR(__xludf.DUMMYFUNCTION("""COMPUTED_VALUE"""),"Школа 1995")</f>
        <v>Школа 1995</v>
      </c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7" t="s">
        <v>30</v>
      </c>
      <c r="B189" s="76">
        <v>35.0</v>
      </c>
      <c r="C189" s="89" t="s">
        <v>3484</v>
      </c>
      <c r="D189" s="83" t="s">
        <v>3460</v>
      </c>
      <c r="E189" s="33" t="str">
        <f>IFERROR(__xludf.DUMMYFUNCTION("""COMPUTED_VALUE"""),"Школа 2065")</f>
        <v>Школа 2065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7" t="s">
        <v>30</v>
      </c>
      <c r="B190" s="90">
        <v>36.0</v>
      </c>
      <c r="C190" s="92" t="s">
        <v>3485</v>
      </c>
      <c r="D190" s="83" t="s">
        <v>3460</v>
      </c>
      <c r="E190" s="33" t="str">
        <f>IFERROR(__xludf.DUMMYFUNCTION("""COMPUTED_VALUE"""),"Школа 2101")</f>
        <v>Школа 2101</v>
      </c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7" t="s">
        <v>30</v>
      </c>
      <c r="B191" s="73">
        <v>37.0</v>
      </c>
      <c r="C191" s="89" t="s">
        <v>3486</v>
      </c>
      <c r="D191" s="83" t="s">
        <v>3460</v>
      </c>
      <c r="E191" s="33" t="str">
        <f>IFERROR(__xludf.DUMMYFUNCTION("""COMPUTED_VALUE"""),"Школа Дмитровский им. Героя Советского Союза В. П. Кислякова")</f>
        <v>Школа Дмитровский им. Героя Советского Союза В. П. Кислякова</v>
      </c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7" t="s">
        <v>30</v>
      </c>
      <c r="B192" s="80">
        <v>38.0</v>
      </c>
      <c r="C192" s="91" t="s">
        <v>3487</v>
      </c>
      <c r="D192" s="83" t="s">
        <v>3460</v>
      </c>
      <c r="E192" s="33" t="str">
        <f>IFERROR(__xludf.DUMMYFUNCTION("""COMPUTED_VALUE"""),"Школа Кузьминки")</f>
        <v>Школа Кузьминки</v>
      </c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7" t="s">
        <v>30</v>
      </c>
      <c r="B193" s="84">
        <v>39.0</v>
      </c>
      <c r="C193" s="98" t="s">
        <v>3488</v>
      </c>
      <c r="D193" s="83" t="s">
        <v>3460</v>
      </c>
      <c r="E193" s="33" t="str">
        <f>IFERROR(__xludf.DUMMYFUNCTION("""COMPUTED_VALUE"""),"Школа Марьино им. маршала авиации А. Е. Голованова")</f>
        <v>Школа Марьино им. маршала авиации А. Е. Голованова</v>
      </c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7" t="s">
        <v>30</v>
      </c>
      <c r="B194" s="96">
        <v>40.0</v>
      </c>
      <c r="C194" s="95" t="s">
        <v>3489</v>
      </c>
      <c r="D194" s="83" t="s">
        <v>3460</v>
      </c>
      <c r="E194" s="33" t="str">
        <f>IFERROR(__xludf.DUMMYFUNCTION("""COMPUTED_VALUE"""),"Школа в Капотне")</f>
        <v>Школа в Капотне</v>
      </c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7" t="s">
        <v>30</v>
      </c>
      <c r="B195" s="80">
        <v>41.0</v>
      </c>
      <c r="C195" s="95" t="s">
        <v>3490</v>
      </c>
      <c r="D195" s="83" t="s">
        <v>3460</v>
      </c>
      <c r="E195" s="33" t="str">
        <f>IFERROR(__xludf.DUMMYFUNCTION("""COMPUTED_VALUE"""),"Школа на Юго-Востоке им. Маршала В. И. Чуйкова")</f>
        <v>Школа на Юго-Востоке им. Маршала В. И. Чуйкова</v>
      </c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7" t="s">
        <v>29</v>
      </c>
      <c r="B196" s="73">
        <v>1.0</v>
      </c>
      <c r="C196" s="92" t="s">
        <v>3491</v>
      </c>
      <c r="D196" s="83" t="s">
        <v>3460</v>
      </c>
      <c r="E196" s="33" t="str">
        <f>IFERROR(__xludf.DUMMYFUNCTION("""COMPUTED_VALUE"""),"Школа 7")</f>
        <v>Школа 7</v>
      </c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7" t="s">
        <v>29</v>
      </c>
      <c r="B197" s="82">
        <v>2.0</v>
      </c>
      <c r="C197" s="74" t="s">
        <v>3492</v>
      </c>
      <c r="D197" s="83" t="s">
        <v>3460</v>
      </c>
      <c r="E197" s="33" t="str">
        <f>IFERROR(__xludf.DUMMYFUNCTION("""COMPUTED_VALUE"""),"Школа 17")</f>
        <v>Школа 17</v>
      </c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7" t="s">
        <v>29</v>
      </c>
      <c r="B198" s="82">
        <v>3.0</v>
      </c>
      <c r="C198" s="92" t="s">
        <v>3493</v>
      </c>
      <c r="D198" s="83" t="s">
        <v>3460</v>
      </c>
      <c r="E198" s="33" t="str">
        <f>IFERROR(__xludf.DUMMYFUNCTION("""COMPUTED_VALUE"""),"Школа 152")</f>
        <v>Школа 152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7" t="s">
        <v>29</v>
      </c>
      <c r="B199" s="79">
        <v>4.0</v>
      </c>
      <c r="C199" s="85" t="s">
        <v>3434</v>
      </c>
      <c r="D199" s="83" t="s">
        <v>3460</v>
      </c>
      <c r="E199" s="33" t="str">
        <f>IFERROR(__xludf.DUMMYFUNCTION("""COMPUTED_VALUE"""),"Школа 199")</f>
        <v>Школа 199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7" t="s">
        <v>29</v>
      </c>
      <c r="B200" s="75">
        <v>5.0</v>
      </c>
      <c r="C200" s="95" t="s">
        <v>3372</v>
      </c>
      <c r="D200" s="83" t="s">
        <v>3460</v>
      </c>
      <c r="E200" s="33" t="str">
        <f>IFERROR(__xludf.DUMMYFUNCTION("""COMPUTED_VALUE"""),"Школа 236")</f>
        <v>Школа 236</v>
      </c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7" t="s">
        <v>29</v>
      </c>
      <c r="B201" s="106">
        <v>6.0</v>
      </c>
      <c r="C201" s="78" t="s">
        <v>3494</v>
      </c>
      <c r="D201" s="83" t="s">
        <v>3460</v>
      </c>
      <c r="E201" s="33" t="str">
        <f>IFERROR(__xludf.DUMMYFUNCTION("""COMPUTED_VALUE"""),"Школа 285")</f>
        <v>Школа 285</v>
      </c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7" t="s">
        <v>29</v>
      </c>
      <c r="B202" s="84">
        <v>7.0</v>
      </c>
      <c r="C202" s="98" t="s">
        <v>3495</v>
      </c>
      <c r="D202" s="83" t="s">
        <v>3460</v>
      </c>
      <c r="E202" s="33" t="str">
        <f>IFERROR(__xludf.DUMMYFUNCTION("""COMPUTED_VALUE"""),"Школа 319")</f>
        <v>Школа 319</v>
      </c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7" t="s">
        <v>29</v>
      </c>
      <c r="B203" s="103">
        <v>8.0</v>
      </c>
      <c r="C203" s="85" t="s">
        <v>3496</v>
      </c>
      <c r="D203" s="83" t="s">
        <v>3460</v>
      </c>
      <c r="E203" s="33" t="str">
        <f>IFERROR(__xludf.DUMMYFUNCTION("""COMPUTED_VALUE"""),"Школа 498")</f>
        <v>Школа 498</v>
      </c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7" t="s">
        <v>29</v>
      </c>
      <c r="B204" s="86">
        <v>9.0</v>
      </c>
      <c r="C204" s="74" t="s">
        <v>3497</v>
      </c>
      <c r="D204" s="83" t="s">
        <v>3460</v>
      </c>
      <c r="E204" s="33" t="str">
        <f>IFERROR(__xludf.DUMMYFUNCTION("""COMPUTED_VALUE"""),"Школа 504")</f>
        <v>Школа 504</v>
      </c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7" t="s">
        <v>29</v>
      </c>
      <c r="B205" s="73">
        <v>10.0</v>
      </c>
      <c r="C205" s="89" t="s">
        <v>3498</v>
      </c>
      <c r="D205" s="83" t="s">
        <v>3460</v>
      </c>
      <c r="E205" s="33" t="str">
        <f>IFERROR(__xludf.DUMMYFUNCTION("""COMPUTED_VALUE"""),"Школа 629")</f>
        <v>Школа 629</v>
      </c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7" t="s">
        <v>29</v>
      </c>
      <c r="B206" s="96">
        <v>11.0</v>
      </c>
      <c r="C206" s="89" t="s">
        <v>3499</v>
      </c>
      <c r="D206" s="83" t="s">
        <v>3460</v>
      </c>
      <c r="E206" s="33" t="str">
        <f>IFERROR(__xludf.DUMMYFUNCTION("""COMPUTED_VALUE"""),"Школа 727")</f>
        <v>Школа 727</v>
      </c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7" t="s">
        <v>29</v>
      </c>
      <c r="B207" s="90">
        <v>12.0</v>
      </c>
      <c r="C207" s="26" t="s">
        <v>3465</v>
      </c>
      <c r="D207" s="83" t="s">
        <v>3460</v>
      </c>
      <c r="E207" s="33" t="str">
        <f>IFERROR(__xludf.DUMMYFUNCTION("""COMPUTED_VALUE"""),"Школа 777")</f>
        <v>Школа 777</v>
      </c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7" t="s">
        <v>29</v>
      </c>
      <c r="B208" s="101">
        <v>13.0</v>
      </c>
      <c r="C208" s="95" t="s">
        <v>3377</v>
      </c>
      <c r="D208" s="83" t="s">
        <v>3460</v>
      </c>
      <c r="E208" s="33" t="str">
        <f>IFERROR(__xludf.DUMMYFUNCTION("""COMPUTED_VALUE"""),"Школа 814")</f>
        <v>Школа 814</v>
      </c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7" t="s">
        <v>29</v>
      </c>
      <c r="B209" s="82">
        <v>14.0</v>
      </c>
      <c r="C209" s="77" t="s">
        <v>3500</v>
      </c>
      <c r="D209" s="83" t="s">
        <v>3460</v>
      </c>
      <c r="E209" s="33" t="str">
        <f>IFERROR(__xludf.DUMMYFUNCTION("""COMPUTED_VALUE"""),"Школа 827")</f>
        <v>Школа 827</v>
      </c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7" t="s">
        <v>29</v>
      </c>
      <c r="B210" s="101">
        <v>15.0</v>
      </c>
      <c r="C210" s="97" t="s">
        <v>3501</v>
      </c>
      <c r="D210" s="83" t="s">
        <v>3460</v>
      </c>
      <c r="E210" s="33" t="str">
        <f>IFERROR(__xludf.DUMMYFUNCTION("""COMPUTED_VALUE"""),"Школа 904")</f>
        <v>Школа 904</v>
      </c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7" t="s">
        <v>29</v>
      </c>
      <c r="B211" s="76">
        <v>16.0</v>
      </c>
      <c r="C211" s="95" t="s">
        <v>3380</v>
      </c>
      <c r="D211" s="83" t="s">
        <v>3460</v>
      </c>
      <c r="E211" s="33" t="str">
        <f>IFERROR(__xludf.DUMMYFUNCTION("""COMPUTED_VALUE"""),"Школа 924")</f>
        <v>Школа 924</v>
      </c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7" t="s">
        <v>29</v>
      </c>
      <c r="B212" s="93">
        <v>17.0</v>
      </c>
      <c r="C212" s="81" t="s">
        <v>3437</v>
      </c>
      <c r="D212" s="83" t="s">
        <v>3460</v>
      </c>
      <c r="E212" s="33" t="str">
        <f>IFERROR(__xludf.DUMMYFUNCTION("""COMPUTED_VALUE"""),"Школа 947")</f>
        <v>Школа 947</v>
      </c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7" t="s">
        <v>29</v>
      </c>
      <c r="B213" s="108">
        <v>18.0</v>
      </c>
      <c r="C213" s="74" t="s">
        <v>3381</v>
      </c>
      <c r="D213" s="83" t="s">
        <v>3460</v>
      </c>
      <c r="E213" s="33" t="str">
        <f>IFERROR(__xludf.DUMMYFUNCTION("""COMPUTED_VALUE"""),"Школа 950")</f>
        <v>Школа 950</v>
      </c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7" t="s">
        <v>29</v>
      </c>
      <c r="B214" s="76">
        <v>19.0</v>
      </c>
      <c r="C214" s="110" t="s">
        <v>3502</v>
      </c>
      <c r="D214" s="83" t="s">
        <v>3460</v>
      </c>
      <c r="E214" s="33" t="str">
        <f>IFERROR(__xludf.DUMMYFUNCTION("""COMPUTED_VALUE"""),"Школа 962")</f>
        <v>Школа 962</v>
      </c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7" t="s">
        <v>29</v>
      </c>
      <c r="B215" s="84">
        <v>20.0</v>
      </c>
      <c r="C215" s="92" t="s">
        <v>3503</v>
      </c>
      <c r="D215" s="83" t="s">
        <v>3460</v>
      </c>
      <c r="E215" s="33" t="str">
        <f>IFERROR(__xludf.DUMMYFUNCTION("""COMPUTED_VALUE"""),"Школа 1018")</f>
        <v>Школа 1018</v>
      </c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7" t="s">
        <v>29</v>
      </c>
      <c r="B216" s="93">
        <v>21.0</v>
      </c>
      <c r="C216" s="89" t="s">
        <v>3504</v>
      </c>
      <c r="D216" s="83" t="s">
        <v>3460</v>
      </c>
      <c r="E216" s="33" t="str">
        <f>IFERROR(__xludf.DUMMYFUNCTION("""COMPUTED_VALUE"""),"Школа 1173")</f>
        <v>Школа 1173</v>
      </c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7" t="s">
        <v>29</v>
      </c>
      <c r="B217" s="79">
        <v>22.0</v>
      </c>
      <c r="C217" s="94" t="s">
        <v>3505</v>
      </c>
      <c r="D217" s="83" t="s">
        <v>3460</v>
      </c>
      <c r="E217" s="33" t="str">
        <f>IFERROR(__xludf.DUMMYFUNCTION("""COMPUTED_VALUE"""),"Школа 1228")</f>
        <v>Школа 1228</v>
      </c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7" t="s">
        <v>29</v>
      </c>
      <c r="B218" s="87">
        <v>23.0</v>
      </c>
      <c r="C218" s="110" t="s">
        <v>3506</v>
      </c>
      <c r="D218" s="83" t="s">
        <v>3460</v>
      </c>
      <c r="E218" s="33" t="str">
        <f>IFERROR(__xludf.DUMMYFUNCTION("""COMPUTED_VALUE"""),"Школа 1234")</f>
        <v>Школа 1234</v>
      </c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7" t="s">
        <v>29</v>
      </c>
      <c r="B219" s="93">
        <v>24.0</v>
      </c>
      <c r="C219" s="94" t="s">
        <v>3507</v>
      </c>
      <c r="D219" s="83" t="s">
        <v>3460</v>
      </c>
      <c r="E219" s="33" t="str">
        <f>IFERROR(__xludf.DUMMYFUNCTION("""COMPUTED_VALUE"""),"Школа 1236")</f>
        <v>Школа 1236</v>
      </c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7" t="s">
        <v>29</v>
      </c>
      <c r="B220" s="76">
        <v>25.0</v>
      </c>
      <c r="C220" s="89" t="s">
        <v>3508</v>
      </c>
      <c r="D220" s="83" t="s">
        <v>3460</v>
      </c>
      <c r="E220" s="33" t="str">
        <f>IFERROR(__xludf.DUMMYFUNCTION("""COMPUTED_VALUE"""),"Школа 1287")</f>
        <v>Школа 1287</v>
      </c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7" t="s">
        <v>29</v>
      </c>
      <c r="B221" s="84">
        <v>26.0</v>
      </c>
      <c r="C221" s="110" t="s">
        <v>3396</v>
      </c>
      <c r="D221" s="83" t="s">
        <v>3460</v>
      </c>
      <c r="E221" s="33" t="str">
        <f>IFERROR(__xludf.DUMMYFUNCTION("""COMPUTED_VALUE"""),"Школа 1315")</f>
        <v>Школа 1315</v>
      </c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7" t="s">
        <v>29</v>
      </c>
      <c r="B222" s="82">
        <v>27.0</v>
      </c>
      <c r="C222" s="89" t="s">
        <v>3509</v>
      </c>
      <c r="D222" s="83" t="s">
        <v>3460</v>
      </c>
      <c r="E222" s="33" t="str">
        <f>IFERROR(__xludf.DUMMYFUNCTION("""COMPUTED_VALUE"""),"Школа 1412")</f>
        <v>Школа 1412</v>
      </c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7" t="s">
        <v>29</v>
      </c>
      <c r="B223" s="73">
        <v>28.0</v>
      </c>
      <c r="C223" s="89" t="s">
        <v>3510</v>
      </c>
      <c r="D223" s="83" t="s">
        <v>3460</v>
      </c>
      <c r="E223" s="33" t="str">
        <f>IFERROR(__xludf.DUMMYFUNCTION("""COMPUTED_VALUE"""),"Школа 1413")</f>
        <v>Школа 1413</v>
      </c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7" t="s">
        <v>29</v>
      </c>
      <c r="B224" s="84">
        <v>29.0</v>
      </c>
      <c r="C224" s="98" t="s">
        <v>3511</v>
      </c>
      <c r="D224" s="83" t="s">
        <v>3460</v>
      </c>
      <c r="E224" s="33" t="str">
        <f>IFERROR(__xludf.DUMMYFUNCTION("""COMPUTED_VALUE"""),"Школа 1420")</f>
        <v>Школа 1420</v>
      </c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7" t="s">
        <v>29</v>
      </c>
      <c r="B225" s="96">
        <v>30.0</v>
      </c>
      <c r="C225" s="98" t="s">
        <v>3404</v>
      </c>
      <c r="D225" s="83" t="s">
        <v>3460</v>
      </c>
      <c r="E225" s="33" t="str">
        <f>IFERROR(__xludf.DUMMYFUNCTION("""COMPUTED_VALUE"""),"Школа 1494")</f>
        <v>Школа 1494</v>
      </c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7" t="s">
        <v>29</v>
      </c>
      <c r="B226" s="96">
        <v>31.0</v>
      </c>
      <c r="C226" s="77" t="s">
        <v>3348</v>
      </c>
      <c r="D226" s="83" t="s">
        <v>3460</v>
      </c>
      <c r="E226" s="33" t="str">
        <f>IFERROR(__xludf.DUMMYFUNCTION("""COMPUTED_VALUE"""),"Школа 1498")</f>
        <v>Школа 1498</v>
      </c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7" t="s">
        <v>29</v>
      </c>
      <c r="B227" s="76">
        <v>32.0</v>
      </c>
      <c r="C227" s="95" t="s">
        <v>3512</v>
      </c>
      <c r="D227" s="83" t="s">
        <v>3460</v>
      </c>
      <c r="E227" s="33" t="str">
        <f>IFERROR(__xludf.DUMMYFUNCTION("""COMPUTED_VALUE"""),"Школа 1533")</f>
        <v>Школа 1533</v>
      </c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7" t="s">
        <v>29</v>
      </c>
      <c r="B228" s="116">
        <v>33.0</v>
      </c>
      <c r="C228" s="26" t="s">
        <v>3513</v>
      </c>
      <c r="D228" s="83" t="s">
        <v>3460</v>
      </c>
      <c r="E228" s="33" t="str">
        <f>IFERROR(__xludf.DUMMYFUNCTION("""COMPUTED_VALUE"""),"Школа 1551")</f>
        <v>Школа 1551</v>
      </c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7" t="s">
        <v>29</v>
      </c>
      <c r="B229" s="106">
        <v>34.0</v>
      </c>
      <c r="C229" s="74" t="s">
        <v>3514</v>
      </c>
      <c r="D229" s="83" t="s">
        <v>3460</v>
      </c>
      <c r="E229" s="33" t="str">
        <f>IFERROR(__xludf.DUMMYFUNCTION("""COMPUTED_VALUE"""),"Школа 1564")</f>
        <v>Школа 1564</v>
      </c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7" t="s">
        <v>29</v>
      </c>
      <c r="B230" s="93">
        <v>35.0</v>
      </c>
      <c r="C230" s="81" t="s">
        <v>3515</v>
      </c>
      <c r="D230" s="83" t="s">
        <v>3460</v>
      </c>
      <c r="E230" s="33" t="str">
        <f>IFERROR(__xludf.DUMMYFUNCTION("""COMPUTED_VALUE"""),"Школа 1573")</f>
        <v>Школа 1573</v>
      </c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7" t="s">
        <v>29</v>
      </c>
      <c r="B231" s="90">
        <v>36.0</v>
      </c>
      <c r="C231" s="78" t="s">
        <v>3516</v>
      </c>
      <c r="D231" s="83" t="s">
        <v>3460</v>
      </c>
      <c r="E231" s="33" t="str">
        <f>IFERROR(__xludf.DUMMYFUNCTION("""COMPUTED_VALUE"""),"Школа 1574")</f>
        <v>Школа 1574</v>
      </c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7" t="s">
        <v>29</v>
      </c>
      <c r="B232" s="73">
        <v>37.0</v>
      </c>
      <c r="C232" s="85" t="s">
        <v>3517</v>
      </c>
      <c r="D232" s="83" t="s">
        <v>3460</v>
      </c>
      <c r="E232" s="33" t="str">
        <f>IFERROR(__xludf.DUMMYFUNCTION("""COMPUTED_VALUE"""),"Школа 1577")</f>
        <v>Школа 1577</v>
      </c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7" t="s">
        <v>29</v>
      </c>
      <c r="B233" s="116">
        <v>38.0</v>
      </c>
      <c r="C233" s="77" t="s">
        <v>3518</v>
      </c>
      <c r="D233" s="83" t="s">
        <v>3460</v>
      </c>
      <c r="E233" s="33" t="str">
        <f>IFERROR(__xludf.DUMMYFUNCTION("""COMPUTED_VALUE"""),"Школа 1579")</f>
        <v>Школа 1579</v>
      </c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7" t="s">
        <v>29</v>
      </c>
      <c r="B234" s="101">
        <v>39.0</v>
      </c>
      <c r="C234" s="95" t="s">
        <v>3519</v>
      </c>
      <c r="D234" s="83" t="s">
        <v>3460</v>
      </c>
      <c r="E234" s="33" t="str">
        <f>IFERROR(__xludf.DUMMYFUNCTION("""COMPUTED_VALUE"""),"Школа 1598")</f>
        <v>Школа 1598</v>
      </c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7" t="s">
        <v>29</v>
      </c>
      <c r="B235" s="79">
        <v>40.0</v>
      </c>
      <c r="C235" s="110" t="s">
        <v>3520</v>
      </c>
      <c r="D235" s="83" t="s">
        <v>3460</v>
      </c>
      <c r="E235" s="33" t="str">
        <f>IFERROR(__xludf.DUMMYFUNCTION("""COMPUTED_VALUE"""),"Школа 1799")</f>
        <v>Школа 1799</v>
      </c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7" t="s">
        <v>29</v>
      </c>
      <c r="B236" s="87">
        <v>41.0</v>
      </c>
      <c r="C236" s="91" t="s">
        <v>3450</v>
      </c>
      <c r="D236" s="83" t="s">
        <v>3460</v>
      </c>
      <c r="E236" s="33" t="str">
        <f>IFERROR(__xludf.DUMMYFUNCTION("""COMPUTED_VALUE"""),"Школа 1862")</f>
        <v>Школа 1862</v>
      </c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7" t="s">
        <v>29</v>
      </c>
      <c r="B237" s="87">
        <v>42.0</v>
      </c>
      <c r="C237" s="92" t="s">
        <v>3521</v>
      </c>
      <c r="D237" s="83" t="s">
        <v>3460</v>
      </c>
      <c r="E237" s="33" t="str">
        <f>IFERROR(__xludf.DUMMYFUNCTION("""COMPUTED_VALUE"""),"Школа 1905")</f>
        <v>Школа 1905</v>
      </c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7" t="s">
        <v>29</v>
      </c>
      <c r="B238" s="76">
        <v>43.0</v>
      </c>
      <c r="C238" s="85" t="s">
        <v>3522</v>
      </c>
      <c r="D238" s="83" t="s">
        <v>3460</v>
      </c>
      <c r="E238" s="33" t="str">
        <f>IFERROR(__xludf.DUMMYFUNCTION("""COMPUTED_VALUE"""),"Школа 1955")</f>
        <v>Школа 1955</v>
      </c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7" t="s">
        <v>29</v>
      </c>
      <c r="B239" s="93">
        <v>44.0</v>
      </c>
      <c r="C239" s="95" t="s">
        <v>3483</v>
      </c>
      <c r="D239" s="83" t="s">
        <v>3460</v>
      </c>
      <c r="E239" s="33" t="str">
        <f>IFERROR(__xludf.DUMMYFUNCTION("""COMPUTED_VALUE"""),"Школа 1995")</f>
        <v>Школа 1995</v>
      </c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7" t="s">
        <v>29</v>
      </c>
      <c r="B240" s="93">
        <v>45.0</v>
      </c>
      <c r="C240" s="94" t="s">
        <v>3523</v>
      </c>
      <c r="D240" s="83" t="s">
        <v>3460</v>
      </c>
      <c r="E240" s="33" t="str">
        <f>IFERROR(__xludf.DUMMYFUNCTION("""COMPUTED_VALUE"""),"Школа 2026")</f>
        <v>Школа 2026</v>
      </c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7" t="s">
        <v>29</v>
      </c>
      <c r="B241" s="7">
        <v>46.0</v>
      </c>
      <c r="C241" s="78" t="s">
        <v>3524</v>
      </c>
      <c r="D241" s="83" t="s">
        <v>3460</v>
      </c>
      <c r="E241" s="33" t="str">
        <f>IFERROR(__xludf.DUMMYFUNCTION("""COMPUTED_VALUE"""),"Школа 2030")</f>
        <v>Школа 2030</v>
      </c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7" t="s">
        <v>29</v>
      </c>
      <c r="B242" s="76">
        <v>47.0</v>
      </c>
      <c r="C242" s="94" t="s">
        <v>3525</v>
      </c>
      <c r="D242" s="83" t="s">
        <v>3460</v>
      </c>
      <c r="E242" s="33" t="str">
        <f>IFERROR(__xludf.DUMMYFUNCTION("""COMPUTED_VALUE"""),"Школа 2031")</f>
        <v>Школа 2031</v>
      </c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7" t="s">
        <v>29</v>
      </c>
      <c r="B243" s="96">
        <v>48.0</v>
      </c>
      <c r="C243" s="92" t="s">
        <v>3485</v>
      </c>
      <c r="D243" s="83" t="s">
        <v>3460</v>
      </c>
      <c r="E243" s="33" t="str">
        <f>IFERROR(__xludf.DUMMYFUNCTION("""COMPUTED_VALUE"""),"Школа 2101")</f>
        <v>Школа 2101</v>
      </c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7" t="s">
        <v>29</v>
      </c>
      <c r="B244" s="80">
        <v>49.0</v>
      </c>
      <c r="C244" s="98" t="s">
        <v>3526</v>
      </c>
      <c r="D244" s="83" t="s">
        <v>3460</v>
      </c>
      <c r="E244" s="33" t="str">
        <f>IFERROR(__xludf.DUMMYFUNCTION("""COMPUTED_VALUE"""),"Школа 2126")</f>
        <v>Школа 2126</v>
      </c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7" t="s">
        <v>29</v>
      </c>
      <c r="B245" s="87">
        <v>50.0</v>
      </c>
      <c r="C245" s="81" t="s">
        <v>3527</v>
      </c>
      <c r="D245" s="83" t="s">
        <v>3460</v>
      </c>
      <c r="E245" s="33" t="str">
        <f>IFERROR(__xludf.DUMMYFUNCTION("""COMPUTED_VALUE"""),"Лицей Вторая школа им. В. Ф. Овчинникова")</f>
        <v>Лицей Вторая школа им. В. Ф. Овчинникова</v>
      </c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7" t="s">
        <v>29</v>
      </c>
      <c r="B246" s="73">
        <v>51.0</v>
      </c>
      <c r="C246" s="81" t="s">
        <v>3528</v>
      </c>
      <c r="D246" s="83" t="s">
        <v>3460</v>
      </c>
      <c r="E246" s="33" t="str">
        <f>IFERROR(__xludf.DUMMYFUNCTION("""COMPUTED_VALUE"""),"Школа на Яузе")</f>
        <v>Школа на Яузе</v>
      </c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7" t="s">
        <v>29</v>
      </c>
      <c r="B247" s="100">
        <v>52.0</v>
      </c>
      <c r="C247" s="91" t="s">
        <v>3529</v>
      </c>
      <c r="D247" s="83" t="s">
        <v>3460</v>
      </c>
      <c r="E247" s="33" t="str">
        <f>IFERROR(__xludf.DUMMYFUNCTION("""COMPUTED_VALUE"""),"Вешняковская школа")</f>
        <v>Вешняковская школа</v>
      </c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7" t="s">
        <v>29</v>
      </c>
      <c r="B248" s="79">
        <v>53.0</v>
      </c>
      <c r="C248" s="26" t="s">
        <v>3364</v>
      </c>
      <c r="D248" s="83" t="s">
        <v>3460</v>
      </c>
      <c r="E248" s="33" t="str">
        <f>IFERROR(__xludf.DUMMYFUNCTION("""COMPUTED_VALUE"""),"Романовская школа")</f>
        <v>Романовская школа</v>
      </c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7" t="s">
        <v>29</v>
      </c>
      <c r="B249" s="115">
        <v>54.0</v>
      </c>
      <c r="C249" s="98" t="s">
        <v>3530</v>
      </c>
      <c r="D249" s="83" t="s">
        <v>3460</v>
      </c>
      <c r="E249" s="33" t="str">
        <f>IFERROR(__xludf.DUMMYFUNCTION("""COMPUTED_VALUE"""),"Школа Марьино им. маршала авиации А. Е. Голованова")</f>
        <v>Школа Марьино им. маршала авиации А. Е. Голованова</v>
      </c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7" t="s">
        <v>29</v>
      </c>
      <c r="B250" s="101">
        <v>55.0</v>
      </c>
      <c r="C250" s="104" t="s">
        <v>3531</v>
      </c>
      <c r="D250" s="83" t="s">
        <v>3460</v>
      </c>
      <c r="E250" s="33" t="str">
        <f>IFERROR(__xludf.DUMMYFUNCTION("""COMPUTED_VALUE"""),"Школа им. Н. М. Карамзина")</f>
        <v>Школа им. Н. М. Карамзина</v>
      </c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7" t="s">
        <v>29</v>
      </c>
      <c r="B251" s="7">
        <v>56.0</v>
      </c>
      <c r="C251" s="104" t="s">
        <v>3490</v>
      </c>
      <c r="D251" s="83" t="s">
        <v>3460</v>
      </c>
      <c r="E251" s="33" t="str">
        <f>IFERROR(__xludf.DUMMYFUNCTION("""COMPUTED_VALUE"""),"Школа на Юго-Востоке им. Маршала В. И. Чуйкова")</f>
        <v>Школа на Юго-Востоке им. Маршала В. И. Чуйкова</v>
      </c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7" t="s">
        <v>31</v>
      </c>
      <c r="B252" s="84">
        <v>1.0</v>
      </c>
      <c r="C252" s="94" t="s">
        <v>3532</v>
      </c>
      <c r="D252" s="83" t="s">
        <v>3460</v>
      </c>
      <c r="E252" s="33" t="str">
        <f>IFERROR(__xludf.DUMMYFUNCTION("""COMPUTED_VALUE"""),"Школа 429")</f>
        <v>Школа 429</v>
      </c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7" t="s">
        <v>31</v>
      </c>
      <c r="B253" s="96">
        <v>2.0</v>
      </c>
      <c r="C253" s="85" t="s">
        <v>3533</v>
      </c>
      <c r="D253" s="83" t="s">
        <v>3460</v>
      </c>
      <c r="E253" s="33" t="str">
        <f>IFERROR(__xludf.DUMMYFUNCTION("""COMPUTED_VALUE"""),"Школа 556")</f>
        <v>Школа 556</v>
      </c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7" t="s">
        <v>31</v>
      </c>
      <c r="B254" s="106">
        <v>3.0</v>
      </c>
      <c r="C254" s="95" t="s">
        <v>3534</v>
      </c>
      <c r="D254" s="83" t="s">
        <v>3460</v>
      </c>
      <c r="E254" s="33" t="str">
        <f>IFERROR(__xludf.DUMMYFUNCTION("""COMPUTED_VALUE"""),"Школа 626")</f>
        <v>Школа 626</v>
      </c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7" t="s">
        <v>31</v>
      </c>
      <c r="B255" s="84">
        <v>4.0</v>
      </c>
      <c r="C255" s="104" t="s">
        <v>3535</v>
      </c>
      <c r="D255" s="83" t="s">
        <v>3460</v>
      </c>
      <c r="E255" s="33" t="str">
        <f>IFERROR(__xludf.DUMMYFUNCTION("""COMPUTED_VALUE"""),"Школа 641")</f>
        <v>Школа 641</v>
      </c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7" t="s">
        <v>31</v>
      </c>
      <c r="B256" s="96">
        <v>5.0</v>
      </c>
      <c r="C256" s="77" t="s">
        <v>3536</v>
      </c>
      <c r="D256" s="83" t="s">
        <v>3460</v>
      </c>
      <c r="E256" s="33" t="str">
        <f>IFERROR(__xludf.DUMMYFUNCTION("""COMPUTED_VALUE"""),"Школа 654")</f>
        <v>Школа 654</v>
      </c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7" t="s">
        <v>31</v>
      </c>
      <c r="B257" s="73">
        <v>6.0</v>
      </c>
      <c r="C257" s="92" t="s">
        <v>3378</v>
      </c>
      <c r="D257" s="83" t="s">
        <v>3460</v>
      </c>
      <c r="E257" s="33" t="str">
        <f>IFERROR(__xludf.DUMMYFUNCTION("""COMPUTED_VALUE"""),"Школа 875")</f>
        <v>Школа 875</v>
      </c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7" t="s">
        <v>31</v>
      </c>
      <c r="B258" s="96">
        <v>7.0</v>
      </c>
      <c r="C258" s="78" t="s">
        <v>3537</v>
      </c>
      <c r="D258" s="83" t="s">
        <v>3460</v>
      </c>
      <c r="E258" s="33" t="str">
        <f>IFERROR(__xludf.DUMMYFUNCTION("""COMPUTED_VALUE"""),"Школа 949")</f>
        <v>Школа 949</v>
      </c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7" t="s">
        <v>31</v>
      </c>
      <c r="B259" s="90">
        <v>8.0</v>
      </c>
      <c r="C259" s="83" t="s">
        <v>3538</v>
      </c>
      <c r="D259" s="83" t="s">
        <v>3460</v>
      </c>
      <c r="E259" s="33" t="str">
        <f>IFERROR(__xludf.DUMMYFUNCTION("""COMPUTED_VALUE"""),"Школа 1080")</f>
        <v>Школа 1080</v>
      </c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7" t="s">
        <v>31</v>
      </c>
      <c r="B260" s="84">
        <v>9.0</v>
      </c>
      <c r="C260" s="94" t="s">
        <v>3539</v>
      </c>
      <c r="D260" s="83" t="s">
        <v>3460</v>
      </c>
      <c r="E260" s="33" t="str">
        <f>IFERROR(__xludf.DUMMYFUNCTION("""COMPUTED_VALUE"""),"Школа 1103")</f>
        <v>Школа 1103</v>
      </c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7" t="s">
        <v>31</v>
      </c>
      <c r="B261" s="107">
        <v>10.0</v>
      </c>
      <c r="C261" s="94" t="s">
        <v>3328</v>
      </c>
      <c r="D261" s="83" t="s">
        <v>3460</v>
      </c>
      <c r="E261" s="33" t="str">
        <f>IFERROR(__xludf.DUMMYFUNCTION("""COMPUTED_VALUE"""),"Школа 1207")</f>
        <v>Школа 1207</v>
      </c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7" t="s">
        <v>31</v>
      </c>
      <c r="B262" s="79">
        <v>11.0</v>
      </c>
      <c r="C262" s="78" t="s">
        <v>3540</v>
      </c>
      <c r="D262" s="83" t="s">
        <v>3460</v>
      </c>
      <c r="E262" s="33" t="str">
        <f>IFERROR(__xludf.DUMMYFUNCTION("""COMPUTED_VALUE"""),"Школа 1213")</f>
        <v>Школа 1213</v>
      </c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7" t="s">
        <v>31</v>
      </c>
      <c r="B263" s="101">
        <v>12.0</v>
      </c>
      <c r="C263" s="91" t="s">
        <v>3541</v>
      </c>
      <c r="D263" s="83" t="s">
        <v>3460</v>
      </c>
      <c r="E263" s="33" t="str">
        <f>IFERROR(__xludf.DUMMYFUNCTION("""COMPUTED_VALUE"""),"Школа 1287")</f>
        <v>Школа 1287</v>
      </c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7" t="s">
        <v>31</v>
      </c>
      <c r="B264" s="73">
        <v>13.0</v>
      </c>
      <c r="C264" s="26" t="s">
        <v>3542</v>
      </c>
      <c r="D264" s="83" t="s">
        <v>3460</v>
      </c>
      <c r="E264" s="33" t="str">
        <f>IFERROR(__xludf.DUMMYFUNCTION("""COMPUTED_VALUE"""),"Школа 1324")</f>
        <v>Школа 1324</v>
      </c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7" t="s">
        <v>31</v>
      </c>
      <c r="B265" s="93">
        <v>14.0</v>
      </c>
      <c r="C265" s="110" t="s">
        <v>3397</v>
      </c>
      <c r="D265" s="83" t="s">
        <v>3460</v>
      </c>
      <c r="E265" s="33" t="str">
        <f>IFERROR(__xludf.DUMMYFUNCTION("""COMPUTED_VALUE"""),"Школа 1347")</f>
        <v>Школа 1347</v>
      </c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7" t="s">
        <v>31</v>
      </c>
      <c r="B266" s="82">
        <v>15.0</v>
      </c>
      <c r="C266" s="85" t="s">
        <v>3543</v>
      </c>
      <c r="D266" s="83" t="s">
        <v>3460</v>
      </c>
      <c r="E266" s="33" t="str">
        <f>IFERROR(__xludf.DUMMYFUNCTION("""COMPUTED_VALUE"""),"Школа 1352")</f>
        <v>Школа 1352</v>
      </c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7" t="s">
        <v>31</v>
      </c>
      <c r="B267" s="106">
        <v>16.0</v>
      </c>
      <c r="C267" s="85" t="s">
        <v>3544</v>
      </c>
      <c r="D267" s="83" t="s">
        <v>3460</v>
      </c>
      <c r="E267" s="33" t="str">
        <f>IFERROR(__xludf.DUMMYFUNCTION("""COMPUTED_VALUE"""),"Школа 1370")</f>
        <v>Школа 1370</v>
      </c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7" t="s">
        <v>31</v>
      </c>
      <c r="B268" s="84">
        <v>17.0</v>
      </c>
      <c r="C268" s="110" t="s">
        <v>3545</v>
      </c>
      <c r="D268" s="83" t="s">
        <v>3460</v>
      </c>
      <c r="E268" s="33" t="str">
        <f>IFERROR(__xludf.DUMMYFUNCTION("""COMPUTED_VALUE"""),"Школа 1381")</f>
        <v>Школа 1381</v>
      </c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7" t="s">
        <v>31</v>
      </c>
      <c r="B269" s="93">
        <v>18.0</v>
      </c>
      <c r="C269" s="85" t="s">
        <v>3546</v>
      </c>
      <c r="D269" s="83" t="s">
        <v>3460</v>
      </c>
      <c r="E269" s="33" t="str">
        <f>IFERROR(__xludf.DUMMYFUNCTION("""COMPUTED_VALUE"""),"Школа 1530")</f>
        <v>Школа 1530</v>
      </c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7" t="s">
        <v>31</v>
      </c>
      <c r="B270" s="75">
        <v>19.0</v>
      </c>
      <c r="C270" s="85" t="s">
        <v>3547</v>
      </c>
      <c r="D270" s="83" t="s">
        <v>3460</v>
      </c>
      <c r="E270" s="33" t="str">
        <f>IFERROR(__xludf.DUMMYFUNCTION("""COMPUTED_VALUE"""),"Школа 1539")</f>
        <v>Школа 1539</v>
      </c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7" t="s">
        <v>31</v>
      </c>
      <c r="B271" s="93">
        <v>20.0</v>
      </c>
      <c r="C271" s="83" t="s">
        <v>3429</v>
      </c>
      <c r="D271" s="83" t="s">
        <v>3460</v>
      </c>
      <c r="E271" s="33" t="str">
        <f>IFERROR(__xludf.DUMMYFUNCTION("""COMPUTED_VALUE"""),"Инженерно-техническая школа им. дважды Героя Советского Союза П. Р. Поповича")</f>
        <v>Инженерно-техническая школа им. дважды Героя Советского Союза П. Р. Поповича</v>
      </c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7" t="s">
        <v>32</v>
      </c>
      <c r="B272" s="87">
        <v>1.0</v>
      </c>
      <c r="C272" s="83" t="s">
        <v>3492</v>
      </c>
      <c r="D272" s="83" t="s">
        <v>3460</v>
      </c>
      <c r="E272" s="33" t="str">
        <f>IFERROR(__xludf.DUMMYFUNCTION("""COMPUTED_VALUE"""),"Школа 17")</f>
        <v>Школа 17</v>
      </c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7" t="s">
        <v>32</v>
      </c>
      <c r="B273" s="103">
        <v>2.0</v>
      </c>
      <c r="C273" s="83" t="s">
        <v>3548</v>
      </c>
      <c r="D273" s="83" t="s">
        <v>3460</v>
      </c>
      <c r="E273" s="33" t="str">
        <f>IFERROR(__xludf.DUMMYFUNCTION("""COMPUTED_VALUE"""),"Школа 41")</f>
        <v>Школа 41</v>
      </c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7" t="s">
        <v>32</v>
      </c>
      <c r="B274" s="84">
        <v>3.0</v>
      </c>
      <c r="C274" s="94" t="s">
        <v>3549</v>
      </c>
      <c r="D274" s="83" t="s">
        <v>3460</v>
      </c>
      <c r="E274" s="33" t="str">
        <f>IFERROR(__xludf.DUMMYFUNCTION("""COMPUTED_VALUE"""),"Школа 97")</f>
        <v>Школа 97</v>
      </c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7" t="s">
        <v>32</v>
      </c>
      <c r="B275" s="96">
        <v>4.0</v>
      </c>
      <c r="C275" s="92" t="s">
        <v>3461</v>
      </c>
      <c r="D275" s="83" t="s">
        <v>3460</v>
      </c>
      <c r="E275" s="33" t="str">
        <f>IFERROR(__xludf.DUMMYFUNCTION("""COMPUTED_VALUE"""),"Школа 141")</f>
        <v>Школа 141</v>
      </c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7" t="s">
        <v>32</v>
      </c>
      <c r="B276" s="73">
        <v>5.0</v>
      </c>
      <c r="C276" s="91" t="s">
        <v>3550</v>
      </c>
      <c r="D276" s="83" t="s">
        <v>3460</v>
      </c>
      <c r="E276" s="33" t="str">
        <f>IFERROR(__xludf.DUMMYFUNCTION("""COMPUTED_VALUE"""),"Школа 167")</f>
        <v>Школа 167</v>
      </c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7" t="s">
        <v>32</v>
      </c>
      <c r="B277" s="101">
        <v>6.0</v>
      </c>
      <c r="C277" s="95" t="s">
        <v>3551</v>
      </c>
      <c r="D277" s="83" t="s">
        <v>3460</v>
      </c>
      <c r="E277" s="33" t="str">
        <f>IFERROR(__xludf.DUMMYFUNCTION("""COMPUTED_VALUE"""),"Школа 224")</f>
        <v>Школа 224</v>
      </c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7" t="s">
        <v>32</v>
      </c>
      <c r="B278" s="106">
        <v>7.0</v>
      </c>
      <c r="C278" s="91" t="s">
        <v>3494</v>
      </c>
      <c r="D278" s="83" t="s">
        <v>3460</v>
      </c>
      <c r="E278" s="33" t="str">
        <f>IFERROR(__xludf.DUMMYFUNCTION("""COMPUTED_VALUE"""),"Школа 285")</f>
        <v>Школа 285</v>
      </c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7" t="s">
        <v>32</v>
      </c>
      <c r="B279" s="101">
        <v>8.0</v>
      </c>
      <c r="C279" s="97" t="s">
        <v>3552</v>
      </c>
      <c r="D279" s="83" t="s">
        <v>3460</v>
      </c>
      <c r="E279" s="33" t="str">
        <f>IFERROR(__xludf.DUMMYFUNCTION("""COMPUTED_VALUE"""),"Школа 463")</f>
        <v>Школа 463</v>
      </c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7" t="s">
        <v>32</v>
      </c>
      <c r="B280" s="106">
        <v>9.0</v>
      </c>
      <c r="C280" s="92" t="s">
        <v>3553</v>
      </c>
      <c r="D280" s="83" t="s">
        <v>3460</v>
      </c>
      <c r="E280" s="33" t="str">
        <f>IFERROR(__xludf.DUMMYFUNCTION("""COMPUTED_VALUE"""),"Школа 508")</f>
        <v>Школа 508</v>
      </c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7" t="s">
        <v>32</v>
      </c>
      <c r="B281" s="84">
        <v>10.0</v>
      </c>
      <c r="C281" s="91" t="s">
        <v>3343</v>
      </c>
      <c r="D281" s="83" t="s">
        <v>3460</v>
      </c>
      <c r="E281" s="33" t="str">
        <f>IFERROR(__xludf.DUMMYFUNCTION("""COMPUTED_VALUE"""),"Школа 544")</f>
        <v>Школа 544</v>
      </c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7" t="s">
        <v>32</v>
      </c>
      <c r="B282" s="93">
        <v>11.0</v>
      </c>
      <c r="C282" s="92" t="s">
        <v>3533</v>
      </c>
      <c r="D282" s="83" t="s">
        <v>3460</v>
      </c>
      <c r="E282" s="33" t="str">
        <f>IFERROR(__xludf.DUMMYFUNCTION("""COMPUTED_VALUE"""),"Школа 556")</f>
        <v>Школа 556</v>
      </c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7" t="s">
        <v>32</v>
      </c>
      <c r="B283" s="107">
        <v>12.0</v>
      </c>
      <c r="C283" s="81" t="s">
        <v>3534</v>
      </c>
      <c r="D283" s="83" t="s">
        <v>3460</v>
      </c>
      <c r="E283" s="33" t="str">
        <f>IFERROR(__xludf.DUMMYFUNCTION("""COMPUTED_VALUE"""),"Школа 626")</f>
        <v>Школа 626</v>
      </c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7" t="s">
        <v>32</v>
      </c>
      <c r="B284" s="90">
        <v>13.0</v>
      </c>
      <c r="C284" s="81" t="s">
        <v>3535</v>
      </c>
      <c r="D284" s="83" t="s">
        <v>3460</v>
      </c>
      <c r="E284" s="33" t="str">
        <f>IFERROR(__xludf.DUMMYFUNCTION("""COMPUTED_VALUE"""),"Школа 641")</f>
        <v>Школа 641</v>
      </c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7" t="s">
        <v>32</v>
      </c>
      <c r="B285" s="84">
        <v>14.0</v>
      </c>
      <c r="C285" s="89" t="s">
        <v>3554</v>
      </c>
      <c r="D285" s="83" t="s">
        <v>3460</v>
      </c>
      <c r="E285" s="33" t="str">
        <f>IFERROR(__xludf.DUMMYFUNCTION("""COMPUTED_VALUE"""),"Школа 656")</f>
        <v>Школа 656</v>
      </c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7" t="s">
        <v>32</v>
      </c>
      <c r="B286" s="82">
        <v>15.0</v>
      </c>
      <c r="C286" s="91" t="s">
        <v>3555</v>
      </c>
      <c r="D286" s="83" t="s">
        <v>3460</v>
      </c>
      <c r="E286" s="33" t="str">
        <f>IFERROR(__xludf.DUMMYFUNCTION("""COMPUTED_VALUE"""),"Школа 709")</f>
        <v>Школа 709</v>
      </c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7" t="s">
        <v>32</v>
      </c>
      <c r="B287" s="75">
        <v>16.0</v>
      </c>
      <c r="C287" s="92" t="s">
        <v>3500</v>
      </c>
      <c r="D287" s="83" t="s">
        <v>3460</v>
      </c>
      <c r="E287" s="33" t="str">
        <f>IFERROR(__xludf.DUMMYFUNCTION("""COMPUTED_VALUE"""),"Школа 827")</f>
        <v>Школа 827</v>
      </c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7" t="s">
        <v>32</v>
      </c>
      <c r="B288" s="101">
        <v>17.0</v>
      </c>
      <c r="C288" s="95" t="s">
        <v>3556</v>
      </c>
      <c r="D288" s="83" t="s">
        <v>3460</v>
      </c>
      <c r="E288" s="33" t="str">
        <f>IFERROR(__xludf.DUMMYFUNCTION("""COMPUTED_VALUE"""),"Школа 883")</f>
        <v>Школа 883</v>
      </c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7" t="s">
        <v>32</v>
      </c>
      <c r="B289" s="107">
        <v>18.0</v>
      </c>
      <c r="C289" s="91" t="s">
        <v>3437</v>
      </c>
      <c r="D289" s="83" t="s">
        <v>3460</v>
      </c>
      <c r="E289" s="33" t="str">
        <f>IFERROR(__xludf.DUMMYFUNCTION("""COMPUTED_VALUE"""),"Школа 947")</f>
        <v>Школа 947</v>
      </c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7" t="s">
        <v>32</v>
      </c>
      <c r="B290" s="87">
        <v>19.0</v>
      </c>
      <c r="C290" s="91" t="s">
        <v>3537</v>
      </c>
      <c r="D290" s="83" t="s">
        <v>3460</v>
      </c>
      <c r="E290" s="33" t="str">
        <f>IFERROR(__xludf.DUMMYFUNCTION("""COMPUTED_VALUE"""),"Школа 949")</f>
        <v>Школа 949</v>
      </c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7" t="s">
        <v>32</v>
      </c>
      <c r="B291" s="101">
        <v>20.0</v>
      </c>
      <c r="C291" s="91" t="s">
        <v>3557</v>
      </c>
      <c r="D291" s="83" t="s">
        <v>3460</v>
      </c>
      <c r="E291" s="33" t="str">
        <f>IFERROR(__xludf.DUMMYFUNCTION("""COMPUTED_VALUE"""),"Школа 998")</f>
        <v>Школа 998</v>
      </c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7" t="s">
        <v>32</v>
      </c>
      <c r="B292" s="76">
        <v>21.0</v>
      </c>
      <c r="C292" s="83" t="s">
        <v>3468</v>
      </c>
      <c r="D292" s="83" t="s">
        <v>3460</v>
      </c>
      <c r="E292" s="33" t="str">
        <f>IFERROR(__xludf.DUMMYFUNCTION("""COMPUTED_VALUE"""),"Школа 1101")</f>
        <v>Школа 1101</v>
      </c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7" t="s">
        <v>32</v>
      </c>
      <c r="B293" s="82">
        <v>22.0</v>
      </c>
      <c r="C293" s="104" t="s">
        <v>3558</v>
      </c>
      <c r="D293" s="83" t="s">
        <v>3460</v>
      </c>
      <c r="E293" s="33" t="str">
        <f>IFERROR(__xludf.DUMMYFUNCTION("""COMPUTED_VALUE"""),"Школа 1164")</f>
        <v>Школа 1164</v>
      </c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7" t="s">
        <v>32</v>
      </c>
      <c r="B294" s="79">
        <v>23.0</v>
      </c>
      <c r="C294" s="110" t="s">
        <v>3559</v>
      </c>
      <c r="D294" s="83" t="s">
        <v>3460</v>
      </c>
      <c r="E294" s="33" t="str">
        <f>IFERROR(__xludf.DUMMYFUNCTION("""COMPUTED_VALUE"""),"Школа 1179")</f>
        <v>Школа 1179</v>
      </c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7" t="s">
        <v>32</v>
      </c>
      <c r="B295" s="90">
        <v>24.0</v>
      </c>
      <c r="C295" s="91" t="s">
        <v>3560</v>
      </c>
      <c r="D295" s="83" t="s">
        <v>3460</v>
      </c>
      <c r="E295" s="33" t="str">
        <f>IFERROR(__xludf.DUMMYFUNCTION("""COMPUTED_VALUE"""),"Школа 1205")</f>
        <v>Школа 1205</v>
      </c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7" t="s">
        <v>32</v>
      </c>
      <c r="B296" s="84">
        <v>25.0</v>
      </c>
      <c r="C296" s="92" t="s">
        <v>3561</v>
      </c>
      <c r="D296" s="83" t="s">
        <v>3460</v>
      </c>
      <c r="E296" s="33" t="str">
        <f>IFERROR(__xludf.DUMMYFUNCTION("""COMPUTED_VALUE"""),"Школа 1212")</f>
        <v>Школа 1212</v>
      </c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7" t="s">
        <v>32</v>
      </c>
      <c r="B297" s="107">
        <v>26.0</v>
      </c>
      <c r="C297" s="85" t="s">
        <v>3562</v>
      </c>
      <c r="D297" s="83" t="s">
        <v>3460</v>
      </c>
      <c r="E297" s="33" t="str">
        <f>IFERROR(__xludf.DUMMYFUNCTION("""COMPUTED_VALUE"""),"Школа 1220")</f>
        <v>Школа 1220</v>
      </c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7" t="s">
        <v>32</v>
      </c>
      <c r="B298" s="112">
        <v>27.0</v>
      </c>
      <c r="C298" s="77" t="s">
        <v>3563</v>
      </c>
      <c r="D298" s="83" t="s">
        <v>3460</v>
      </c>
      <c r="E298" s="33" t="str">
        <f>IFERROR(__xludf.DUMMYFUNCTION("""COMPUTED_VALUE"""),"Школа 1245")</f>
        <v>Школа 1245</v>
      </c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7" t="s">
        <v>32</v>
      </c>
      <c r="B299" s="73">
        <v>28.0</v>
      </c>
      <c r="C299" s="91" t="s">
        <v>3564</v>
      </c>
      <c r="D299" s="83" t="s">
        <v>3460</v>
      </c>
      <c r="E299" s="33" t="str">
        <f>IFERROR(__xludf.DUMMYFUNCTION("""COMPUTED_VALUE"""),"Школа 1252")</f>
        <v>Школа 1252</v>
      </c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7" t="s">
        <v>32</v>
      </c>
      <c r="B300" s="108">
        <v>29.0</v>
      </c>
      <c r="C300" s="95" t="s">
        <v>3346</v>
      </c>
      <c r="D300" s="83" t="s">
        <v>3460</v>
      </c>
      <c r="E300" s="33" t="str">
        <f>IFERROR(__xludf.DUMMYFUNCTION("""COMPUTED_VALUE"""),"Школа 1273")</f>
        <v>Школа 1273</v>
      </c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7" t="s">
        <v>32</v>
      </c>
      <c r="B301" s="79">
        <v>30.0</v>
      </c>
      <c r="C301" s="110" t="s">
        <v>3565</v>
      </c>
      <c r="D301" s="83" t="s">
        <v>3460</v>
      </c>
      <c r="E301" s="33" t="str">
        <f>IFERROR(__xludf.DUMMYFUNCTION("""COMPUTED_VALUE"""),"Школа 1282")</f>
        <v>Школа 1282</v>
      </c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7" t="s">
        <v>32</v>
      </c>
      <c r="B302" s="73">
        <v>31.0</v>
      </c>
      <c r="C302" s="92" t="s">
        <v>3566</v>
      </c>
      <c r="D302" s="83" t="s">
        <v>3460</v>
      </c>
      <c r="E302" s="33" t="str">
        <f>IFERROR(__xludf.DUMMYFUNCTION("""COMPUTED_VALUE"""),"Школа 1310")</f>
        <v>Школа 1310</v>
      </c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7" t="s">
        <v>32</v>
      </c>
      <c r="B303" s="84">
        <v>32.0</v>
      </c>
      <c r="C303" s="91" t="s">
        <v>3542</v>
      </c>
      <c r="D303" s="83" t="s">
        <v>3460</v>
      </c>
      <c r="E303" s="33" t="str">
        <f>IFERROR(__xludf.DUMMYFUNCTION("""COMPUTED_VALUE"""),"Школа 1324")</f>
        <v>Школа 1324</v>
      </c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7" t="s">
        <v>32</v>
      </c>
      <c r="B304" s="115">
        <v>33.0</v>
      </c>
      <c r="C304" s="85" t="s">
        <v>3567</v>
      </c>
      <c r="D304" s="83" t="s">
        <v>3460</v>
      </c>
      <c r="E304" s="33" t="str">
        <f>IFERROR(__xludf.DUMMYFUNCTION("""COMPUTED_VALUE"""),"Школа 1357")</f>
        <v>Школа 1357</v>
      </c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7" t="s">
        <v>32</v>
      </c>
      <c r="B305" s="82">
        <v>34.0</v>
      </c>
      <c r="C305" s="104" t="s">
        <v>3568</v>
      </c>
      <c r="D305" s="83" t="s">
        <v>3460</v>
      </c>
      <c r="E305" s="33" t="str">
        <f>IFERROR(__xludf.DUMMYFUNCTION("""COMPUTED_VALUE"""),"Школа 1362")</f>
        <v>Школа 1362</v>
      </c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7" t="s">
        <v>32</v>
      </c>
      <c r="B306" s="101">
        <v>35.0</v>
      </c>
      <c r="C306" s="95" t="s">
        <v>3510</v>
      </c>
      <c r="D306" s="83" t="s">
        <v>3460</v>
      </c>
      <c r="E306" s="33" t="str">
        <f>IFERROR(__xludf.DUMMYFUNCTION("""COMPUTED_VALUE"""),"Школа 1413")</f>
        <v>Школа 1413</v>
      </c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7" t="s">
        <v>32</v>
      </c>
      <c r="B307" s="112">
        <v>36.0</v>
      </c>
      <c r="C307" s="74" t="s">
        <v>3569</v>
      </c>
      <c r="D307" s="83" t="s">
        <v>3460</v>
      </c>
      <c r="E307" s="33" t="str">
        <f>IFERROR(__xludf.DUMMYFUNCTION("""COMPUTED_VALUE"""),"Школа 1415")</f>
        <v>Школа 1415</v>
      </c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7" t="s">
        <v>32</v>
      </c>
      <c r="B308" s="76">
        <v>37.0</v>
      </c>
      <c r="C308" s="95" t="s">
        <v>3476</v>
      </c>
      <c r="D308" s="83" t="s">
        <v>3460</v>
      </c>
      <c r="E308" s="33" t="str">
        <f>IFERROR(__xludf.DUMMYFUNCTION("""COMPUTED_VALUE"""),"Школа 1454")</f>
        <v>Школа 1454</v>
      </c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7" t="s">
        <v>32</v>
      </c>
      <c r="B309" s="87">
        <v>38.0</v>
      </c>
      <c r="C309" s="95" t="s">
        <v>3348</v>
      </c>
      <c r="D309" s="83" t="s">
        <v>3460</v>
      </c>
      <c r="E309" s="33" t="str">
        <f>IFERROR(__xludf.DUMMYFUNCTION("""COMPUTED_VALUE"""),"Школа 1498")</f>
        <v>Школа 1498</v>
      </c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7" t="s">
        <v>32</v>
      </c>
      <c r="B310" s="84">
        <v>39.0</v>
      </c>
      <c r="C310" s="92" t="s">
        <v>3570</v>
      </c>
      <c r="D310" s="83" t="s">
        <v>3460</v>
      </c>
      <c r="E310" s="33" t="str">
        <f>IFERROR(__xludf.DUMMYFUNCTION("""COMPUTED_VALUE"""),"Школа 1503")</f>
        <v>Школа 1503</v>
      </c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7" t="s">
        <v>32</v>
      </c>
      <c r="B311" s="93">
        <v>40.0</v>
      </c>
      <c r="C311" s="77" t="s">
        <v>3571</v>
      </c>
      <c r="D311" s="83" t="s">
        <v>3460</v>
      </c>
      <c r="E311" s="33" t="str">
        <f>IFERROR(__xludf.DUMMYFUNCTION("""COMPUTED_VALUE"""),"Школа 1515")</f>
        <v>Школа 1515</v>
      </c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7" t="s">
        <v>32</v>
      </c>
      <c r="B312" s="87">
        <v>41.0</v>
      </c>
      <c r="C312" s="94" t="s">
        <v>3446</v>
      </c>
      <c r="D312" s="83" t="s">
        <v>3460</v>
      </c>
      <c r="E312" s="33" t="str">
        <f>IFERROR(__xludf.DUMMYFUNCTION("""COMPUTED_VALUE"""),"Школа 1539")</f>
        <v>Школа 1539</v>
      </c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7" t="s">
        <v>32</v>
      </c>
      <c r="B313" s="101">
        <v>42.0</v>
      </c>
      <c r="C313" s="94" t="s">
        <v>3518</v>
      </c>
      <c r="D313" s="83" t="s">
        <v>3460</v>
      </c>
      <c r="E313" s="33" t="str">
        <f>IFERROR(__xludf.DUMMYFUNCTION("""COMPUTED_VALUE"""),"Школа 1579")</f>
        <v>Школа 1579</v>
      </c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7" t="s">
        <v>32</v>
      </c>
      <c r="B314" s="106">
        <v>43.0</v>
      </c>
      <c r="C314" s="110" t="s">
        <v>3572</v>
      </c>
      <c r="D314" s="83" t="s">
        <v>3460</v>
      </c>
      <c r="E314" s="33" t="str">
        <f>IFERROR(__xludf.DUMMYFUNCTION("""COMPUTED_VALUE"""),"Школа 1596")</f>
        <v>Школа 1596</v>
      </c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7" t="s">
        <v>32</v>
      </c>
      <c r="B315" s="90">
        <v>44.0</v>
      </c>
      <c r="C315" s="83" t="s">
        <v>3573</v>
      </c>
      <c r="D315" s="83" t="s">
        <v>3460</v>
      </c>
      <c r="E315" s="33" t="str">
        <f>IFERROR(__xludf.DUMMYFUNCTION("""COMPUTED_VALUE"""),"Школа 1798")</f>
        <v>Школа 1798</v>
      </c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7" t="s">
        <v>32</v>
      </c>
      <c r="B316" s="73">
        <v>45.0</v>
      </c>
      <c r="C316" s="85" t="s">
        <v>3574</v>
      </c>
      <c r="D316" s="83" t="s">
        <v>3460</v>
      </c>
      <c r="E316" s="33" t="str">
        <f>IFERROR(__xludf.DUMMYFUNCTION("""COMPUTED_VALUE"""),"Школа 1874")</f>
        <v>Школа 1874</v>
      </c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7" t="s">
        <v>32</v>
      </c>
      <c r="B317" s="82">
        <v>46.0</v>
      </c>
      <c r="C317" s="110" t="s">
        <v>3521</v>
      </c>
      <c r="D317" s="83" t="s">
        <v>3460</v>
      </c>
      <c r="E317" s="33" t="str">
        <f>IFERROR(__xludf.DUMMYFUNCTION("""COMPUTED_VALUE"""),"Школа 1905")</f>
        <v>Школа 1905</v>
      </c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7" t="s">
        <v>32</v>
      </c>
      <c r="B318" s="73">
        <v>47.0</v>
      </c>
      <c r="C318" s="85" t="s">
        <v>3337</v>
      </c>
      <c r="D318" s="83" t="s">
        <v>3460</v>
      </c>
      <c r="E318" s="33" t="str">
        <f>IFERROR(__xludf.DUMMYFUNCTION("""COMPUTED_VALUE"""),"Школа 2000")</f>
        <v>Школа 2000</v>
      </c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7" t="s">
        <v>32</v>
      </c>
      <c r="B319" s="90">
        <v>48.0</v>
      </c>
      <c r="C319" s="110" t="s">
        <v>3524</v>
      </c>
      <c r="D319" s="83" t="s">
        <v>3460</v>
      </c>
      <c r="E319" s="33" t="str">
        <f>IFERROR(__xludf.DUMMYFUNCTION("""COMPUTED_VALUE"""),"Школа 2030")</f>
        <v>Школа 2030</v>
      </c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7" t="s">
        <v>32</v>
      </c>
      <c r="B320" s="93">
        <v>49.0</v>
      </c>
      <c r="C320" s="89" t="s">
        <v>3525</v>
      </c>
      <c r="D320" s="83" t="s">
        <v>3460</v>
      </c>
      <c r="E320" s="33" t="str">
        <f>IFERROR(__xludf.DUMMYFUNCTION("""COMPUTED_VALUE"""),"Школа 2031")</f>
        <v>Школа 2031</v>
      </c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7" t="s">
        <v>32</v>
      </c>
      <c r="B321" s="101">
        <v>50.0</v>
      </c>
      <c r="C321" s="98" t="s">
        <v>3575</v>
      </c>
      <c r="D321" s="83" t="s">
        <v>3460</v>
      </c>
      <c r="E321" s="33" t="str">
        <f>IFERROR(__xludf.DUMMYFUNCTION("""COMPUTED_VALUE"""),"Школа 2072")</f>
        <v>Школа 2072</v>
      </c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7" t="s">
        <v>32</v>
      </c>
      <c r="B322" s="90">
        <v>51.0</v>
      </c>
      <c r="C322" s="81" t="s">
        <v>3486</v>
      </c>
      <c r="D322" s="83" t="s">
        <v>3460</v>
      </c>
      <c r="E322" s="33" t="str">
        <f>IFERROR(__xludf.DUMMYFUNCTION("""COMPUTED_VALUE"""),"Школа Дмитровский им. Героя Советского Союза В. П. Кислякова")</f>
        <v>Школа Дмитровский им. Героя Советского Союза В. П. Кислякова</v>
      </c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7" t="s">
        <v>32</v>
      </c>
      <c r="B323" s="108">
        <v>52.0</v>
      </c>
      <c r="C323" s="92" t="s">
        <v>3576</v>
      </c>
      <c r="D323" s="83" t="s">
        <v>3460</v>
      </c>
      <c r="E323" s="33" t="str">
        <f>IFERROR(__xludf.DUMMYFUNCTION("""COMPUTED_VALUE"""),"Школа Свиблово")</f>
        <v>Школа Свиблово</v>
      </c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7" t="s">
        <v>32</v>
      </c>
      <c r="B324" s="96">
        <v>53.0</v>
      </c>
      <c r="C324" s="97" t="s">
        <v>3577</v>
      </c>
      <c r="D324" s="83" t="s">
        <v>3460</v>
      </c>
      <c r="E324" s="33" t="str">
        <f>IFERROR(__xludf.DUMMYFUNCTION("""COMPUTED_VALUE"""),"Школа Бибирево")</f>
        <v>Школа Бибирево</v>
      </c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7" t="s">
        <v>32</v>
      </c>
      <c r="B325" s="73">
        <v>54.0</v>
      </c>
      <c r="C325" s="81" t="s">
        <v>3578</v>
      </c>
      <c r="D325" s="83" t="s">
        <v>3460</v>
      </c>
      <c r="E325" s="33" t="str">
        <f>IFERROR(__xludf.DUMMYFUNCTION("""COMPUTED_VALUE"""),"Школа им. Артема Боровика")</f>
        <v>Школа им. Артема Боровика</v>
      </c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7" t="s">
        <v>32</v>
      </c>
      <c r="B326" s="93">
        <v>55.0</v>
      </c>
      <c r="C326" s="89" t="s">
        <v>3579</v>
      </c>
      <c r="D326" s="83" t="s">
        <v>3460</v>
      </c>
      <c r="E326" s="33" t="str">
        <f>IFERROR(__xludf.DUMMYFUNCTION("""COMPUTED_VALUE"""),"Школа им. Героя Российской Федерации Е. Н. Чернышева")</f>
        <v>Школа им. Героя Российской Федерации Е. Н. Чернышева</v>
      </c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7" t="s">
        <v>33</v>
      </c>
      <c r="B327" s="109">
        <v>1.0</v>
      </c>
      <c r="C327" s="94" t="s">
        <v>3580</v>
      </c>
      <c r="D327" s="83" t="s">
        <v>3460</v>
      </c>
      <c r="E327" s="33" t="str">
        <f>IFERROR(__xludf.DUMMYFUNCTION("""COMPUTED_VALUE"""),"Школа 15")</f>
        <v>Школа 15</v>
      </c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7" t="s">
        <v>33</v>
      </c>
      <c r="B328" s="82">
        <v>2.0</v>
      </c>
      <c r="C328" s="91" t="s">
        <v>3581</v>
      </c>
      <c r="D328" s="83" t="s">
        <v>3460</v>
      </c>
      <c r="E328" s="33" t="str">
        <f>IFERROR(__xludf.DUMMYFUNCTION("""COMPUTED_VALUE"""),"Школа 17")</f>
        <v>Школа 17</v>
      </c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7" t="s">
        <v>33</v>
      </c>
      <c r="B329" s="79">
        <v>3.0</v>
      </c>
      <c r="C329" s="85" t="s">
        <v>3548</v>
      </c>
      <c r="D329" s="83" t="s">
        <v>3460</v>
      </c>
      <c r="E329" s="33" t="str">
        <f>IFERROR(__xludf.DUMMYFUNCTION("""COMPUTED_VALUE"""),"Школа 41")</f>
        <v>Школа 41</v>
      </c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7" t="s">
        <v>33</v>
      </c>
      <c r="B330" s="93">
        <v>4.0</v>
      </c>
      <c r="C330" s="92" t="s">
        <v>3582</v>
      </c>
      <c r="D330" s="83" t="s">
        <v>3460</v>
      </c>
      <c r="E330" s="33" t="str">
        <f>IFERROR(__xludf.DUMMYFUNCTION("""COMPUTED_VALUE"""),"Школа 109")</f>
        <v>Школа 109</v>
      </c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7" t="s">
        <v>33</v>
      </c>
      <c r="B331" s="93">
        <v>5.0</v>
      </c>
      <c r="C331" s="94" t="s">
        <v>3583</v>
      </c>
      <c r="D331" s="83" t="s">
        <v>3460</v>
      </c>
      <c r="E331" s="33" t="str">
        <f>IFERROR(__xludf.DUMMYFUNCTION("""COMPUTED_VALUE"""),"Школа 117")</f>
        <v>Школа 117</v>
      </c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7" t="s">
        <v>33</v>
      </c>
      <c r="B332" s="90">
        <v>6.0</v>
      </c>
      <c r="C332" s="85" t="s">
        <v>3584</v>
      </c>
      <c r="D332" s="83" t="s">
        <v>3460</v>
      </c>
      <c r="E332" s="33" t="str">
        <f>IFERROR(__xludf.DUMMYFUNCTION("""COMPUTED_VALUE"""),"Школа 152")</f>
        <v>Школа 152</v>
      </c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7" t="s">
        <v>33</v>
      </c>
      <c r="B333" s="101">
        <v>7.0</v>
      </c>
      <c r="C333" s="78" t="s">
        <v>3585</v>
      </c>
      <c r="D333" s="83" t="s">
        <v>3460</v>
      </c>
      <c r="E333" s="33" t="str">
        <f>IFERROR(__xludf.DUMMYFUNCTION("""COMPUTED_VALUE"""),"Школа 491")</f>
        <v>Школа 491</v>
      </c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7" t="s">
        <v>33</v>
      </c>
      <c r="B334" s="87">
        <v>8.0</v>
      </c>
      <c r="C334" s="85" t="s">
        <v>3497</v>
      </c>
      <c r="D334" s="83" t="s">
        <v>3460</v>
      </c>
      <c r="E334" s="33" t="str">
        <f>IFERROR(__xludf.DUMMYFUNCTION("""COMPUTED_VALUE"""),"Школа 504")</f>
        <v>Школа 504</v>
      </c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7" t="s">
        <v>33</v>
      </c>
      <c r="B335" s="116">
        <v>9.0</v>
      </c>
      <c r="C335" s="110" t="s">
        <v>3534</v>
      </c>
      <c r="D335" s="83" t="s">
        <v>3460</v>
      </c>
      <c r="E335" s="33" t="str">
        <f>IFERROR(__xludf.DUMMYFUNCTION("""COMPUTED_VALUE"""),"Школа 626")</f>
        <v>Школа 626</v>
      </c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7" t="s">
        <v>33</v>
      </c>
      <c r="B336" s="84">
        <v>10.0</v>
      </c>
      <c r="C336" s="78" t="s">
        <v>3586</v>
      </c>
      <c r="D336" s="83" t="s">
        <v>3460</v>
      </c>
      <c r="E336" s="33" t="str">
        <f>IFERROR(__xludf.DUMMYFUNCTION("""COMPUTED_VALUE"""),"Школа 664")</f>
        <v>Школа 664</v>
      </c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7" t="s">
        <v>33</v>
      </c>
      <c r="B337" s="90">
        <v>11.0</v>
      </c>
      <c r="C337" s="92" t="s">
        <v>3587</v>
      </c>
      <c r="D337" s="83" t="s">
        <v>3460</v>
      </c>
      <c r="E337" s="33" t="str">
        <f>IFERROR(__xludf.DUMMYFUNCTION("""COMPUTED_VALUE"""),"Школа 760")</f>
        <v>Школа 760</v>
      </c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7" t="s">
        <v>33</v>
      </c>
      <c r="B338" s="115">
        <v>12.0</v>
      </c>
      <c r="C338" s="78" t="s">
        <v>3588</v>
      </c>
      <c r="D338" s="83" t="s">
        <v>3460</v>
      </c>
      <c r="E338" s="33" t="str">
        <f>IFERROR(__xludf.DUMMYFUNCTION("""COMPUTED_VALUE"""),"Школа 853")</f>
        <v>Школа 853</v>
      </c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7" t="s">
        <v>33</v>
      </c>
      <c r="B339" s="93">
        <v>13.0</v>
      </c>
      <c r="C339" s="91" t="s">
        <v>3589</v>
      </c>
      <c r="D339" s="83" t="s">
        <v>3460</v>
      </c>
      <c r="E339" s="33" t="str">
        <f>IFERROR(__xludf.DUMMYFUNCTION("""COMPUTED_VALUE"""),"Школа 854")</f>
        <v>Школа 854</v>
      </c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7" t="s">
        <v>33</v>
      </c>
      <c r="B340" s="82">
        <v>14.0</v>
      </c>
      <c r="C340" s="89" t="s">
        <v>3590</v>
      </c>
      <c r="D340" s="83" t="s">
        <v>3460</v>
      </c>
      <c r="E340" s="33" t="str">
        <f>IFERROR(__xludf.DUMMYFUNCTION("""COMPUTED_VALUE"""),"Школа 950")</f>
        <v>Школа 950</v>
      </c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7" t="s">
        <v>33</v>
      </c>
      <c r="B341" s="90">
        <v>15.0</v>
      </c>
      <c r="C341" s="89" t="s">
        <v>3502</v>
      </c>
      <c r="D341" s="83" t="s">
        <v>3460</v>
      </c>
      <c r="E341" s="33" t="str">
        <f>IFERROR(__xludf.DUMMYFUNCTION("""COMPUTED_VALUE"""),"Школа 962")</f>
        <v>Школа 962</v>
      </c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7" t="s">
        <v>33</v>
      </c>
      <c r="B342" s="76">
        <v>16.0</v>
      </c>
      <c r="C342" s="77" t="s">
        <v>3345</v>
      </c>
      <c r="D342" s="83" t="s">
        <v>3460</v>
      </c>
      <c r="E342" s="33" t="str">
        <f>IFERROR(__xludf.DUMMYFUNCTION("""COMPUTED_VALUE"""),"Школа 1195")</f>
        <v>Школа 1195</v>
      </c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7" t="s">
        <v>33</v>
      </c>
      <c r="B343" s="93">
        <v>17.0</v>
      </c>
      <c r="C343" s="97" t="s">
        <v>3591</v>
      </c>
      <c r="D343" s="83" t="s">
        <v>3460</v>
      </c>
      <c r="E343" s="33" t="str">
        <f>IFERROR(__xludf.DUMMYFUNCTION("""COMPUTED_VALUE"""),"Школа 1210")</f>
        <v>Школа 1210</v>
      </c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7" t="s">
        <v>33</v>
      </c>
      <c r="B344" s="7">
        <v>18.0</v>
      </c>
      <c r="C344" s="94" t="s">
        <v>3592</v>
      </c>
      <c r="D344" s="83" t="s">
        <v>3460</v>
      </c>
      <c r="E344" s="33" t="str">
        <f>IFERROR(__xludf.DUMMYFUNCTION("""COMPUTED_VALUE"""),"Школа 1222")</f>
        <v>Школа 1222</v>
      </c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7" t="s">
        <v>33</v>
      </c>
      <c r="B345" s="79">
        <v>19.0</v>
      </c>
      <c r="C345" s="95" t="s">
        <v>3593</v>
      </c>
      <c r="D345" s="83" t="s">
        <v>3460</v>
      </c>
      <c r="E345" s="33" t="str">
        <f>IFERROR(__xludf.DUMMYFUNCTION("""COMPUTED_VALUE"""),"Школа 1223")</f>
        <v>Школа 1223</v>
      </c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7" t="s">
        <v>33</v>
      </c>
      <c r="B346" s="80">
        <v>20.0</v>
      </c>
      <c r="C346" s="95" t="s">
        <v>3594</v>
      </c>
      <c r="D346" s="83" t="s">
        <v>3460</v>
      </c>
      <c r="E346" s="33" t="str">
        <f>IFERROR(__xludf.DUMMYFUNCTION("""COMPUTED_VALUE"""),"Школа 1239")</f>
        <v>Школа 1239</v>
      </c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7" t="s">
        <v>33</v>
      </c>
      <c r="B347" s="93">
        <v>21.0</v>
      </c>
      <c r="C347" s="85" t="s">
        <v>3595</v>
      </c>
      <c r="D347" s="83" t="s">
        <v>3460</v>
      </c>
      <c r="E347" s="33" t="str">
        <f>IFERROR(__xludf.DUMMYFUNCTION("""COMPUTED_VALUE"""),"Школа 1241")</f>
        <v>Школа 1241</v>
      </c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7" t="s">
        <v>33</v>
      </c>
      <c r="B348" s="108">
        <v>22.0</v>
      </c>
      <c r="C348" s="110" t="s">
        <v>3596</v>
      </c>
      <c r="D348" s="83" t="s">
        <v>3460</v>
      </c>
      <c r="E348" s="33" t="str">
        <f>IFERROR(__xludf.DUMMYFUNCTION("""COMPUTED_VALUE"""),"Школа 1245")</f>
        <v>Школа 1245</v>
      </c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7" t="s">
        <v>33</v>
      </c>
      <c r="B349" s="87">
        <v>23.0</v>
      </c>
      <c r="C349" s="92" t="s">
        <v>3597</v>
      </c>
      <c r="D349" s="83" t="s">
        <v>3460</v>
      </c>
      <c r="E349" s="33" t="str">
        <f>IFERROR(__xludf.DUMMYFUNCTION("""COMPUTED_VALUE"""),"Школа 1248")</f>
        <v>Школа 1248</v>
      </c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7" t="s">
        <v>33</v>
      </c>
      <c r="B350" s="107">
        <v>24.0</v>
      </c>
      <c r="C350" s="92" t="s">
        <v>3598</v>
      </c>
      <c r="D350" s="83" t="s">
        <v>3460</v>
      </c>
      <c r="E350" s="33" t="str">
        <f>IFERROR(__xludf.DUMMYFUNCTION("""COMPUTED_VALUE"""),"Школа 1250")</f>
        <v>Школа 1250</v>
      </c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7" t="s">
        <v>33</v>
      </c>
      <c r="B351" s="73">
        <v>25.0</v>
      </c>
      <c r="C351" s="104" t="s">
        <v>3599</v>
      </c>
      <c r="D351" s="83" t="s">
        <v>3460</v>
      </c>
      <c r="E351" s="33" t="str">
        <f>IFERROR(__xludf.DUMMYFUNCTION("""COMPUTED_VALUE"""),"Школа 1272")</f>
        <v>Школа 1272</v>
      </c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7" t="s">
        <v>33</v>
      </c>
      <c r="B352" s="93">
        <v>26.0</v>
      </c>
      <c r="C352" s="77" t="s">
        <v>3600</v>
      </c>
      <c r="D352" s="83" t="s">
        <v>3460</v>
      </c>
      <c r="E352" s="33" t="str">
        <f>IFERROR(__xludf.DUMMYFUNCTION("""COMPUTED_VALUE"""),"Школа 1279")</f>
        <v>Школа 1279</v>
      </c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7" t="s">
        <v>33</v>
      </c>
      <c r="B353" s="73">
        <v>27.0</v>
      </c>
      <c r="C353" s="85" t="s">
        <v>3601</v>
      </c>
      <c r="D353" s="83" t="s">
        <v>3460</v>
      </c>
      <c r="E353" s="33" t="str">
        <f>IFERROR(__xludf.DUMMYFUNCTION("""COMPUTED_VALUE"""),"Школа 1324")</f>
        <v>Школа 1324</v>
      </c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7" t="s">
        <v>33</v>
      </c>
      <c r="B354" s="73">
        <v>28.0</v>
      </c>
      <c r="C354" s="83" t="s">
        <v>3602</v>
      </c>
      <c r="D354" s="83" t="s">
        <v>3460</v>
      </c>
      <c r="E354" s="33" t="str">
        <f>IFERROR(__xludf.DUMMYFUNCTION("""COMPUTED_VALUE"""),"Школа 1354")</f>
        <v>Школа 1354</v>
      </c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7" t="s">
        <v>33</v>
      </c>
      <c r="B355" s="96">
        <v>29.0</v>
      </c>
      <c r="C355" s="91" t="s">
        <v>3603</v>
      </c>
      <c r="D355" s="83" t="s">
        <v>3460</v>
      </c>
      <c r="E355" s="33" t="str">
        <f>IFERROR(__xludf.DUMMYFUNCTION("""COMPUTED_VALUE"""),"Школа 1357")</f>
        <v>Школа 1357</v>
      </c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7" t="s">
        <v>33</v>
      </c>
      <c r="B356" s="73">
        <v>30.0</v>
      </c>
      <c r="C356" s="85" t="s">
        <v>3604</v>
      </c>
      <c r="D356" s="83" t="s">
        <v>3460</v>
      </c>
      <c r="E356" s="33" t="str">
        <f>IFERROR(__xludf.DUMMYFUNCTION("""COMPUTED_VALUE"""),"Школа 1367")</f>
        <v>Школа 1367</v>
      </c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7" t="s">
        <v>33</v>
      </c>
      <c r="B357" s="108">
        <v>31.0</v>
      </c>
      <c r="C357" s="97" t="s">
        <v>3605</v>
      </c>
      <c r="D357" s="83" t="s">
        <v>3460</v>
      </c>
      <c r="E357" s="33" t="str">
        <f>IFERROR(__xludf.DUMMYFUNCTION("""COMPUTED_VALUE"""),"Школа 1391")</f>
        <v>Школа 1391</v>
      </c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7" t="s">
        <v>33</v>
      </c>
      <c r="B358" s="90">
        <v>32.0</v>
      </c>
      <c r="C358" s="77" t="s">
        <v>3404</v>
      </c>
      <c r="D358" s="83" t="s">
        <v>3460</v>
      </c>
      <c r="E358" s="33" t="str">
        <f>IFERROR(__xludf.DUMMYFUNCTION("""COMPUTED_VALUE"""),"Школа 1494")</f>
        <v>Школа 1494</v>
      </c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7" t="s">
        <v>33</v>
      </c>
      <c r="B359" s="76">
        <v>33.0</v>
      </c>
      <c r="C359" s="89" t="s">
        <v>3606</v>
      </c>
      <c r="D359" s="83" t="s">
        <v>3460</v>
      </c>
      <c r="E359" s="33" t="str">
        <f>IFERROR(__xludf.DUMMYFUNCTION("""COMPUTED_VALUE"""),"Школа 1512")</f>
        <v>Школа 1512</v>
      </c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7" t="s">
        <v>33</v>
      </c>
      <c r="B360" s="96">
        <v>34.0</v>
      </c>
      <c r="C360" s="81" t="s">
        <v>3571</v>
      </c>
      <c r="D360" s="83" t="s">
        <v>3460</v>
      </c>
      <c r="E360" s="33" t="str">
        <f>IFERROR(__xludf.DUMMYFUNCTION("""COMPUTED_VALUE"""),"Школа 1515")</f>
        <v>Школа 1515</v>
      </c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7" t="s">
        <v>33</v>
      </c>
      <c r="B361" s="87">
        <v>35.0</v>
      </c>
      <c r="C361" s="85" t="s">
        <v>3607</v>
      </c>
      <c r="D361" s="83" t="s">
        <v>3460</v>
      </c>
      <c r="E361" s="33" t="str">
        <f>IFERROR(__xludf.DUMMYFUNCTION("""COMPUTED_VALUE"""),"Школа 1528")</f>
        <v>Школа 1528</v>
      </c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7" t="s">
        <v>33</v>
      </c>
      <c r="B362" s="76">
        <v>36.0</v>
      </c>
      <c r="C362" s="104" t="s">
        <v>3349</v>
      </c>
      <c r="D362" s="83" t="s">
        <v>3460</v>
      </c>
      <c r="E362" s="33" t="str">
        <f>IFERROR(__xludf.DUMMYFUNCTION("""COMPUTED_VALUE"""),"Школа 1533")</f>
        <v>Школа 1533</v>
      </c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7" t="s">
        <v>33</v>
      </c>
      <c r="B363" s="106">
        <v>37.0</v>
      </c>
      <c r="C363" s="95" t="s">
        <v>3608</v>
      </c>
      <c r="D363" s="83" t="s">
        <v>3460</v>
      </c>
      <c r="E363" s="33" t="str">
        <f>IFERROR(__xludf.DUMMYFUNCTION("""COMPUTED_VALUE"""),"Школа 1694")</f>
        <v>Школа 1694</v>
      </c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7" t="s">
        <v>33</v>
      </c>
      <c r="B364" s="96">
        <v>38.0</v>
      </c>
      <c r="C364" s="26" t="s">
        <v>3609</v>
      </c>
      <c r="D364" s="83" t="s">
        <v>3460</v>
      </c>
      <c r="E364" s="33" t="str">
        <f>IFERROR(__xludf.DUMMYFUNCTION("""COMPUTED_VALUE"""),"Школа 1944")</f>
        <v>Школа 1944</v>
      </c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7" t="s">
        <v>33</v>
      </c>
      <c r="B365" s="84">
        <v>39.0</v>
      </c>
      <c r="C365" s="91" t="s">
        <v>3610</v>
      </c>
      <c r="D365" s="83" t="s">
        <v>3460</v>
      </c>
      <c r="E365" s="33" t="str">
        <f>IFERROR(__xludf.DUMMYFUNCTION("""COMPUTED_VALUE"""),"Школа 2009")</f>
        <v>Школа 2009</v>
      </c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7" t="s">
        <v>33</v>
      </c>
      <c r="B366" s="73">
        <v>40.0</v>
      </c>
      <c r="C366" s="91" t="s">
        <v>3524</v>
      </c>
      <c r="D366" s="83" t="s">
        <v>3460</v>
      </c>
      <c r="E366" s="33" t="str">
        <f>IFERROR(__xludf.DUMMYFUNCTION("""COMPUTED_VALUE"""),"Школа 2030")</f>
        <v>Школа 2030</v>
      </c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7" t="s">
        <v>33</v>
      </c>
      <c r="B367" s="106">
        <v>41.0</v>
      </c>
      <c r="C367" s="91" t="s">
        <v>3611</v>
      </c>
      <c r="D367" s="83" t="s">
        <v>3460</v>
      </c>
      <c r="E367" s="33" t="str">
        <f>IFERROR(__xludf.DUMMYFUNCTION("""COMPUTED_VALUE"""),"Школа 2054")</f>
        <v>Школа 2054</v>
      </c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7" t="s">
        <v>33</v>
      </c>
      <c r="B368" s="93">
        <v>42.0</v>
      </c>
      <c r="C368" s="95" t="s">
        <v>3612</v>
      </c>
      <c r="D368" s="83" t="s">
        <v>3460</v>
      </c>
      <c r="E368" s="33" t="str">
        <f>IFERROR(__xludf.DUMMYFUNCTION("""COMPUTED_VALUE"""),"Школа 2086")</f>
        <v>Школа 2086</v>
      </c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7" t="s">
        <v>33</v>
      </c>
      <c r="B369" s="96">
        <v>43.0</v>
      </c>
      <c r="C369" s="89" t="s">
        <v>3613</v>
      </c>
      <c r="D369" s="83" t="s">
        <v>3460</v>
      </c>
      <c r="E369" s="33" t="str">
        <f>IFERROR(__xludf.DUMMYFUNCTION("""COMPUTED_VALUE"""),"Школа 2103")</f>
        <v>Школа 2103</v>
      </c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7" t="s">
        <v>33</v>
      </c>
      <c r="B370" s="84">
        <v>44.0</v>
      </c>
      <c r="C370" s="85" t="s">
        <v>3614</v>
      </c>
      <c r="D370" s="83" t="s">
        <v>3460</v>
      </c>
      <c r="E370" s="33" t="str">
        <f>IFERROR(__xludf.DUMMYFUNCTION("""COMPUTED_VALUE"""),"Школа 2107")</f>
        <v>Школа 2107</v>
      </c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7" t="s">
        <v>33</v>
      </c>
      <c r="B371" s="84">
        <v>45.0</v>
      </c>
      <c r="C371" s="83" t="s">
        <v>3428</v>
      </c>
      <c r="D371" s="83" t="s">
        <v>3460</v>
      </c>
      <c r="E371" s="33" t="str">
        <f>IFERROR(__xludf.DUMMYFUNCTION("""COMPUTED_VALUE"""),"Московская международная школа")</f>
        <v>Московская международная школа</v>
      </c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7" t="s">
        <v>33</v>
      </c>
      <c r="B372" s="101">
        <v>46.0</v>
      </c>
      <c r="C372" s="94" t="s">
        <v>3577</v>
      </c>
      <c r="D372" s="83" t="s">
        <v>3460</v>
      </c>
      <c r="E372" s="33" t="str">
        <f>IFERROR(__xludf.DUMMYFUNCTION("""COMPUTED_VALUE"""),"Школа Бибирево")</f>
        <v>Школа Бибирево</v>
      </c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7" t="s">
        <v>33</v>
      </c>
      <c r="B373" s="79">
        <v>47.0</v>
      </c>
      <c r="C373" s="95" t="s">
        <v>3489</v>
      </c>
      <c r="D373" s="83" t="s">
        <v>3460</v>
      </c>
      <c r="E373" s="33" t="str">
        <f>IFERROR(__xludf.DUMMYFUNCTION("""COMPUTED_VALUE"""),"Школа в Капотне")</f>
        <v>Школа в Капотне</v>
      </c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7" t="s">
        <v>33</v>
      </c>
      <c r="B374" s="76">
        <v>48.0</v>
      </c>
      <c r="C374" s="92" t="s">
        <v>3531</v>
      </c>
      <c r="D374" s="83" t="s">
        <v>3460</v>
      </c>
      <c r="E374" s="33" t="str">
        <f>IFERROR(__xludf.DUMMYFUNCTION("""COMPUTED_VALUE"""),"Школа им. Н. М. Карамзина")</f>
        <v>Школа им. Н. М. Карамзина</v>
      </c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7" t="s">
        <v>33</v>
      </c>
      <c r="B375" s="82">
        <v>49.0</v>
      </c>
      <c r="C375" s="26" t="s">
        <v>3578</v>
      </c>
      <c r="D375" s="83" t="s">
        <v>3460</v>
      </c>
      <c r="E375" s="33" t="str">
        <f>IFERROR(__xludf.DUMMYFUNCTION("""COMPUTED_VALUE"""),"Школа им. Артема Боровика")</f>
        <v>Школа им. Артема Боровика</v>
      </c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7" t="s">
        <v>33</v>
      </c>
      <c r="B376" s="93">
        <v>50.0</v>
      </c>
      <c r="C376" s="85" t="s">
        <v>3490</v>
      </c>
      <c r="D376" s="83" t="s">
        <v>3460</v>
      </c>
      <c r="E376" s="33" t="str">
        <f>IFERROR(__xludf.DUMMYFUNCTION("""COMPUTED_VALUE"""),"Школа на Юго-Востоке им. Маршала В. И. Чуйкова")</f>
        <v>Школа на Юго-Востоке им. Маршала В. И. Чуйкова</v>
      </c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117" t="s">
        <v>30</v>
      </c>
      <c r="B377" s="118">
        <v>1.0</v>
      </c>
      <c r="C377" s="119" t="s">
        <v>3615</v>
      </c>
      <c r="D377" s="83" t="s">
        <v>3616</v>
      </c>
      <c r="E377" s="33" t="str">
        <f>IFERROR(__xludf.DUMMYFUNCTION("""COMPUTED_VALUE"""),"Школа 171")</f>
        <v>Школа 171</v>
      </c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117" t="s">
        <v>30</v>
      </c>
      <c r="B378" s="100">
        <v>2.0</v>
      </c>
      <c r="C378" s="120" t="s">
        <v>3617</v>
      </c>
      <c r="D378" s="83" t="s">
        <v>3616</v>
      </c>
      <c r="E378" s="33" t="str">
        <f>IFERROR(__xludf.DUMMYFUNCTION("""COMPUTED_VALUE"""),"Школа 192")</f>
        <v>Школа 192</v>
      </c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117" t="s">
        <v>30</v>
      </c>
      <c r="B379" s="118">
        <v>3.0</v>
      </c>
      <c r="C379" s="121" t="s">
        <v>3618</v>
      </c>
      <c r="D379" s="83" t="s">
        <v>3616</v>
      </c>
      <c r="E379" s="33" t="str">
        <f>IFERROR(__xludf.DUMMYFUNCTION("""COMPUTED_VALUE"""),"Школа 354")</f>
        <v>Школа 354</v>
      </c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117" t="s">
        <v>30</v>
      </c>
      <c r="B380" s="86">
        <v>4.0</v>
      </c>
      <c r="C380" s="121" t="s">
        <v>3619</v>
      </c>
      <c r="D380" s="83" t="s">
        <v>3616</v>
      </c>
      <c r="E380" s="33" t="str">
        <f>IFERROR(__xludf.DUMMYFUNCTION("""COMPUTED_VALUE"""),"Школа 444")</f>
        <v>Школа 444</v>
      </c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117" t="s">
        <v>30</v>
      </c>
      <c r="B381" s="116">
        <v>5.0</v>
      </c>
      <c r="C381" s="122" t="s">
        <v>3373</v>
      </c>
      <c r="D381" s="83" t="s">
        <v>3616</v>
      </c>
      <c r="E381" s="33" t="str">
        <f>IFERROR(__xludf.DUMMYFUNCTION("""COMPUTED_VALUE"""),"Школа 507")</f>
        <v>Школа 507</v>
      </c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117" t="s">
        <v>30</v>
      </c>
      <c r="B382" s="80">
        <v>6.0</v>
      </c>
      <c r="C382" s="123" t="s">
        <v>3343</v>
      </c>
      <c r="D382" s="83" t="s">
        <v>3616</v>
      </c>
      <c r="E382" s="33" t="str">
        <f>IFERROR(__xludf.DUMMYFUNCTION("""COMPUTED_VALUE"""),"Школа 544")</f>
        <v>Школа 544</v>
      </c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117" t="s">
        <v>30</v>
      </c>
      <c r="B383" s="80">
        <v>7.0</v>
      </c>
      <c r="C383" s="119" t="s">
        <v>3620</v>
      </c>
      <c r="D383" s="83" t="s">
        <v>3616</v>
      </c>
      <c r="E383" s="33" t="str">
        <f>IFERROR(__xludf.DUMMYFUNCTION("""COMPUTED_VALUE"""),"Школа 548")</f>
        <v>Школа 548</v>
      </c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117" t="s">
        <v>30</v>
      </c>
      <c r="B384" s="116">
        <v>8.0</v>
      </c>
      <c r="C384" s="121" t="s">
        <v>3533</v>
      </c>
      <c r="D384" s="83" t="s">
        <v>3616</v>
      </c>
      <c r="E384" s="33" t="str">
        <f>IFERROR(__xludf.DUMMYFUNCTION("""COMPUTED_VALUE"""),"Школа 556")</f>
        <v>Школа 556</v>
      </c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117" t="s">
        <v>30</v>
      </c>
      <c r="B385" s="124">
        <v>9.0</v>
      </c>
      <c r="C385" s="125" t="s">
        <v>3621</v>
      </c>
      <c r="D385" s="83" t="s">
        <v>3616</v>
      </c>
      <c r="E385" s="33" t="str">
        <f>IFERROR(__xludf.DUMMYFUNCTION("""COMPUTED_VALUE"""),"Школа 627")</f>
        <v>Школа 627</v>
      </c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117" t="s">
        <v>30</v>
      </c>
      <c r="B386" s="105">
        <v>10.0</v>
      </c>
      <c r="C386" s="119" t="s">
        <v>3535</v>
      </c>
      <c r="D386" s="83" t="s">
        <v>3616</v>
      </c>
      <c r="E386" s="33" t="str">
        <f>IFERROR(__xludf.DUMMYFUNCTION("""COMPUTED_VALUE"""),"Школа 641")</f>
        <v>Школа 641</v>
      </c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117" t="s">
        <v>30</v>
      </c>
      <c r="B387" s="86">
        <v>11.0</v>
      </c>
      <c r="C387" s="126" t="s">
        <v>3437</v>
      </c>
      <c r="D387" s="83" t="s">
        <v>3616</v>
      </c>
      <c r="E387" s="33" t="str">
        <f>IFERROR(__xludf.DUMMYFUNCTION("""COMPUTED_VALUE"""),"Школа 947")</f>
        <v>Школа 947</v>
      </c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117" t="s">
        <v>30</v>
      </c>
      <c r="B388" s="127">
        <v>12.0</v>
      </c>
      <c r="C388" s="128" t="s">
        <v>3438</v>
      </c>
      <c r="D388" s="83" t="s">
        <v>3616</v>
      </c>
      <c r="E388" s="33" t="str">
        <f>IFERROR(__xludf.DUMMYFUNCTION("""COMPUTED_VALUE"""),"Школа 956")</f>
        <v>Школа 956</v>
      </c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117" t="s">
        <v>30</v>
      </c>
      <c r="B389" s="105">
        <v>13.0</v>
      </c>
      <c r="C389" s="126" t="s">
        <v>3502</v>
      </c>
      <c r="D389" s="83" t="s">
        <v>3616</v>
      </c>
      <c r="E389" s="33" t="str">
        <f>IFERROR(__xludf.DUMMYFUNCTION("""COMPUTED_VALUE"""),"Школа 962")</f>
        <v>Школа 962</v>
      </c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117" t="s">
        <v>30</v>
      </c>
      <c r="B390" s="124">
        <v>14.0</v>
      </c>
      <c r="C390" s="119" t="s">
        <v>3622</v>
      </c>
      <c r="D390" s="83" t="s">
        <v>3616</v>
      </c>
      <c r="E390" s="33" t="str">
        <f>IFERROR(__xludf.DUMMYFUNCTION("""COMPUTED_VALUE"""),"Школа 1002")</f>
        <v>Школа 1002</v>
      </c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117" t="s">
        <v>30</v>
      </c>
      <c r="B391" s="118">
        <v>15.0</v>
      </c>
      <c r="C391" s="125" t="s">
        <v>3623</v>
      </c>
      <c r="D391" s="83" t="s">
        <v>3616</v>
      </c>
      <c r="E391" s="33" t="str">
        <f>IFERROR(__xludf.DUMMYFUNCTION("""COMPUTED_VALUE"""),"Школа 1158")</f>
        <v>Школа 1158</v>
      </c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117" t="s">
        <v>30</v>
      </c>
      <c r="B392" s="124">
        <v>16.0</v>
      </c>
      <c r="C392" s="119" t="s">
        <v>3624</v>
      </c>
      <c r="D392" s="83" t="s">
        <v>3616</v>
      </c>
      <c r="E392" s="33" t="str">
        <f>IFERROR(__xludf.DUMMYFUNCTION("""COMPUTED_VALUE"""),"Школа 1194")</f>
        <v>Школа 1194</v>
      </c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117" t="s">
        <v>30</v>
      </c>
      <c r="B393" s="100">
        <v>17.0</v>
      </c>
      <c r="C393" s="119" t="s">
        <v>3345</v>
      </c>
      <c r="D393" s="83" t="s">
        <v>3616</v>
      </c>
      <c r="E393" s="33" t="str">
        <f>IFERROR(__xludf.DUMMYFUNCTION("""COMPUTED_VALUE"""),"Школа 1195")</f>
        <v>Школа 1195</v>
      </c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117" t="s">
        <v>30</v>
      </c>
      <c r="B394" s="118">
        <v>18.0</v>
      </c>
      <c r="C394" s="119" t="s">
        <v>3385</v>
      </c>
      <c r="D394" s="83" t="s">
        <v>3616</v>
      </c>
      <c r="E394" s="33" t="str">
        <f>IFERROR(__xludf.DUMMYFUNCTION("""COMPUTED_VALUE"""),"Школа 1208")</f>
        <v>Школа 1208</v>
      </c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117" t="s">
        <v>30</v>
      </c>
      <c r="B395" s="86">
        <v>19.0</v>
      </c>
      <c r="C395" s="119" t="s">
        <v>3625</v>
      </c>
      <c r="D395" s="83" t="s">
        <v>3616</v>
      </c>
      <c r="E395" s="33" t="str">
        <f>IFERROR(__xludf.DUMMYFUNCTION("""COMPUTED_VALUE"""),"Школа 1253")</f>
        <v>Школа 1253</v>
      </c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117" t="s">
        <v>30</v>
      </c>
      <c r="B396" s="86">
        <v>20.0</v>
      </c>
      <c r="C396" s="121" t="s">
        <v>3392</v>
      </c>
      <c r="D396" s="83" t="s">
        <v>3616</v>
      </c>
      <c r="E396" s="33" t="str">
        <f>IFERROR(__xludf.DUMMYFUNCTION("""COMPUTED_VALUE"""),"Школа 1288")</f>
        <v>Школа 1288</v>
      </c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117" t="s">
        <v>30</v>
      </c>
      <c r="B397" s="116">
        <v>21.0</v>
      </c>
      <c r="C397" s="121" t="s">
        <v>3626</v>
      </c>
      <c r="D397" s="83" t="s">
        <v>3616</v>
      </c>
      <c r="E397" s="33" t="str">
        <f>IFERROR(__xludf.DUMMYFUNCTION("""COMPUTED_VALUE"""),"Школа 1329")</f>
        <v>Школа 1329</v>
      </c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117" t="s">
        <v>30</v>
      </c>
      <c r="B398" s="80">
        <v>22.0</v>
      </c>
      <c r="C398" s="122" t="s">
        <v>3627</v>
      </c>
      <c r="D398" s="83" t="s">
        <v>3616</v>
      </c>
      <c r="E398" s="33" t="str">
        <f>IFERROR(__xludf.DUMMYFUNCTION("""COMPUTED_VALUE"""),"Школа 1354")</f>
        <v>Школа 1354</v>
      </c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117" t="s">
        <v>30</v>
      </c>
      <c r="B399" s="116">
        <v>23.0</v>
      </c>
      <c r="C399" s="120" t="s">
        <v>3347</v>
      </c>
      <c r="D399" s="83" t="s">
        <v>3616</v>
      </c>
      <c r="E399" s="33" t="str">
        <f>IFERROR(__xludf.DUMMYFUNCTION("""COMPUTED_VALUE"""),"Школа 1355")</f>
        <v>Школа 1355</v>
      </c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117" t="s">
        <v>30</v>
      </c>
      <c r="B400" s="124">
        <v>24.0</v>
      </c>
      <c r="C400" s="121" t="s">
        <v>3603</v>
      </c>
      <c r="D400" s="83" t="s">
        <v>3616</v>
      </c>
      <c r="E400" s="33" t="str">
        <f>IFERROR(__xludf.DUMMYFUNCTION("""COMPUTED_VALUE"""),"Школа 1357")</f>
        <v>Школа 1357</v>
      </c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117" t="s">
        <v>30</v>
      </c>
      <c r="B401" s="80">
        <v>25.0</v>
      </c>
      <c r="C401" s="121" t="s">
        <v>3399</v>
      </c>
      <c r="D401" s="83" t="s">
        <v>3616</v>
      </c>
      <c r="E401" s="33" t="str">
        <f>IFERROR(__xludf.DUMMYFUNCTION("""COMPUTED_VALUE"""),"Школа 1359")</f>
        <v>Школа 1359</v>
      </c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117" t="s">
        <v>30</v>
      </c>
      <c r="B402" s="116">
        <v>26.0</v>
      </c>
      <c r="C402" s="121" t="s">
        <v>3628</v>
      </c>
      <c r="D402" s="83" t="s">
        <v>3616</v>
      </c>
      <c r="E402" s="33" t="str">
        <f>IFERROR(__xludf.DUMMYFUNCTION("""COMPUTED_VALUE"""),"Школа 1363")</f>
        <v>Школа 1363</v>
      </c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117" t="s">
        <v>30</v>
      </c>
      <c r="B403" s="80">
        <v>27.0</v>
      </c>
      <c r="C403" s="119" t="s">
        <v>3629</v>
      </c>
      <c r="D403" s="83" t="s">
        <v>3616</v>
      </c>
      <c r="E403" s="33" t="str">
        <f>IFERROR(__xludf.DUMMYFUNCTION("""COMPUTED_VALUE"""),"Школа 1367")</f>
        <v>Школа 1367</v>
      </c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117" t="s">
        <v>30</v>
      </c>
      <c r="B404" s="124">
        <v>28.0</v>
      </c>
      <c r="C404" s="121" t="s">
        <v>3630</v>
      </c>
      <c r="D404" s="83" t="s">
        <v>3616</v>
      </c>
      <c r="E404" s="33" t="str">
        <f>IFERROR(__xludf.DUMMYFUNCTION("""COMPUTED_VALUE"""),"Школа 1375")</f>
        <v>Школа 1375</v>
      </c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117" t="s">
        <v>30</v>
      </c>
      <c r="B405" s="118">
        <v>29.0</v>
      </c>
      <c r="C405" s="121" t="s">
        <v>3329</v>
      </c>
      <c r="D405" s="83" t="s">
        <v>3616</v>
      </c>
      <c r="E405" s="33" t="str">
        <f>IFERROR(__xludf.DUMMYFUNCTION("""COMPUTED_VALUE"""),"Школа 1392")</f>
        <v>Школа 1392</v>
      </c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117" t="s">
        <v>30</v>
      </c>
      <c r="B406" s="105">
        <v>30.0</v>
      </c>
      <c r="C406" s="125" t="s">
        <v>3631</v>
      </c>
      <c r="D406" s="83" t="s">
        <v>3616</v>
      </c>
      <c r="E406" s="33" t="str">
        <f>IFERROR(__xludf.DUMMYFUNCTION("""COMPUTED_VALUE"""),"Школа 1409")</f>
        <v>Школа 1409</v>
      </c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117" t="s">
        <v>30</v>
      </c>
      <c r="B407" s="118">
        <v>31.0</v>
      </c>
      <c r="C407" s="125" t="s">
        <v>3632</v>
      </c>
      <c r="D407" s="83" t="s">
        <v>3616</v>
      </c>
      <c r="E407" s="33" t="str">
        <f>IFERROR(__xludf.DUMMYFUNCTION("""COMPUTED_VALUE"""),"Школа 1420")</f>
        <v>Школа 1420</v>
      </c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117" t="s">
        <v>30</v>
      </c>
      <c r="B408" s="124">
        <v>32.0</v>
      </c>
      <c r="C408" s="119" t="s">
        <v>3633</v>
      </c>
      <c r="D408" s="83" t="s">
        <v>3616</v>
      </c>
      <c r="E408" s="33" t="str">
        <f>IFERROR(__xludf.DUMMYFUNCTION("""COMPUTED_VALUE"""),"Школа 1434")</f>
        <v>Школа 1434</v>
      </c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117" t="s">
        <v>30</v>
      </c>
      <c r="B409" s="100">
        <v>33.0</v>
      </c>
      <c r="C409" s="126" t="s">
        <v>3443</v>
      </c>
      <c r="D409" s="83" t="s">
        <v>3616</v>
      </c>
      <c r="E409" s="33" t="str">
        <f>IFERROR(__xludf.DUMMYFUNCTION("""COMPUTED_VALUE"""),"Школа 1449")</f>
        <v>Школа 1449</v>
      </c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117" t="s">
        <v>30</v>
      </c>
      <c r="B410" s="129">
        <v>34.0</v>
      </c>
      <c r="C410" s="125" t="s">
        <v>3634</v>
      </c>
      <c r="D410" s="83" t="s">
        <v>3616</v>
      </c>
      <c r="E410" s="33" t="str">
        <f>IFERROR(__xludf.DUMMYFUNCTION("""COMPUTED_VALUE"""),"Школа 1468")</f>
        <v>Школа 1468</v>
      </c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117" t="s">
        <v>30</v>
      </c>
      <c r="B411" s="80">
        <v>35.0</v>
      </c>
      <c r="C411" s="119" t="s">
        <v>3635</v>
      </c>
      <c r="D411" s="83" t="s">
        <v>3616</v>
      </c>
      <c r="E411" s="33" t="str">
        <f>IFERROR(__xludf.DUMMYFUNCTION("""COMPUTED_VALUE"""),"Школа 1474")</f>
        <v>Школа 1474</v>
      </c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117" t="s">
        <v>30</v>
      </c>
      <c r="B412" s="118">
        <v>36.0</v>
      </c>
      <c r="C412" s="123" t="s">
        <v>3636</v>
      </c>
      <c r="D412" s="83" t="s">
        <v>3616</v>
      </c>
      <c r="E412" s="33" t="str">
        <f>IFERROR(__xludf.DUMMYFUNCTION("""COMPUTED_VALUE"""),"Школа 1501")</f>
        <v>Школа 1501</v>
      </c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117" t="s">
        <v>30</v>
      </c>
      <c r="B413" s="124">
        <v>37.0</v>
      </c>
      <c r="C413" s="121" t="s">
        <v>3637</v>
      </c>
      <c r="D413" s="83" t="s">
        <v>3616</v>
      </c>
      <c r="E413" s="33" t="str">
        <f>IFERROR(__xludf.DUMMYFUNCTION("""COMPUTED_VALUE"""),"Школа 1502")</f>
        <v>Школа 1502</v>
      </c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117" t="s">
        <v>30</v>
      </c>
      <c r="B414" s="116">
        <v>38.0</v>
      </c>
      <c r="C414" s="119" t="s">
        <v>3638</v>
      </c>
      <c r="D414" s="83" t="s">
        <v>3616</v>
      </c>
      <c r="E414" s="33" t="str">
        <f>IFERROR(__xludf.DUMMYFUNCTION("""COMPUTED_VALUE"""),"Школа 1506")</f>
        <v>Школа 1506</v>
      </c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117" t="s">
        <v>30</v>
      </c>
      <c r="B415" s="80">
        <v>39.0</v>
      </c>
      <c r="C415" s="121" t="s">
        <v>3639</v>
      </c>
      <c r="D415" s="83" t="s">
        <v>3616</v>
      </c>
      <c r="E415" s="33" t="str">
        <f>IFERROR(__xludf.DUMMYFUNCTION("""COMPUTED_VALUE"""),"Школа 1516")</f>
        <v>Школа 1516</v>
      </c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117" t="s">
        <v>30</v>
      </c>
      <c r="B416" s="86">
        <v>40.0</v>
      </c>
      <c r="C416" s="121" t="s">
        <v>3640</v>
      </c>
      <c r="D416" s="83" t="s">
        <v>3616</v>
      </c>
      <c r="E416" s="33" t="str">
        <f>IFERROR(__xludf.DUMMYFUNCTION("""COMPUTED_VALUE"""),"Школа 1517")</f>
        <v>Школа 1517</v>
      </c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117" t="s">
        <v>30</v>
      </c>
      <c r="B417" s="124">
        <v>41.0</v>
      </c>
      <c r="C417" s="119" t="s">
        <v>3641</v>
      </c>
      <c r="D417" s="83" t="s">
        <v>3616</v>
      </c>
      <c r="E417" s="33" t="str">
        <f>IFERROR(__xludf.DUMMYFUNCTION("""COMPUTED_VALUE"""),"Школа 1527")</f>
        <v>Школа 1527</v>
      </c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117" t="s">
        <v>30</v>
      </c>
      <c r="B418" s="116">
        <v>42.0</v>
      </c>
      <c r="C418" s="120" t="s">
        <v>3642</v>
      </c>
      <c r="D418" s="83" t="s">
        <v>3616</v>
      </c>
      <c r="E418" s="33" t="str">
        <f>IFERROR(__xludf.DUMMYFUNCTION("""COMPUTED_VALUE"""),"Школа 1530")</f>
        <v>Школа 1530</v>
      </c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117" t="s">
        <v>30</v>
      </c>
      <c r="B419" s="80">
        <v>43.0</v>
      </c>
      <c r="C419" s="123" t="s">
        <v>3643</v>
      </c>
      <c r="D419" s="83" t="s">
        <v>3616</v>
      </c>
      <c r="E419" s="33" t="str">
        <f>IFERROR(__xludf.DUMMYFUNCTION("""COMPUTED_VALUE"""),"Школа 1534")</f>
        <v>Школа 1534</v>
      </c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117" t="s">
        <v>30</v>
      </c>
      <c r="B420" s="100">
        <v>44.0</v>
      </c>
      <c r="C420" s="120" t="s">
        <v>3644</v>
      </c>
      <c r="D420" s="83" t="s">
        <v>3616</v>
      </c>
      <c r="E420" s="33" t="str">
        <f>IFERROR(__xludf.DUMMYFUNCTION("""COMPUTED_VALUE"""),"Школа 1535")</f>
        <v>Школа 1535</v>
      </c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117" t="s">
        <v>30</v>
      </c>
      <c r="B421" s="80">
        <v>45.0</v>
      </c>
      <c r="C421" s="121" t="s">
        <v>3645</v>
      </c>
      <c r="D421" s="83" t="s">
        <v>3616</v>
      </c>
      <c r="E421" s="33" t="str">
        <f>IFERROR(__xludf.DUMMYFUNCTION("""COMPUTED_VALUE"""),"Школа 1538")</f>
        <v>Школа 1538</v>
      </c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117" t="s">
        <v>30</v>
      </c>
      <c r="B422" s="124">
        <v>46.0</v>
      </c>
      <c r="C422" s="121" t="s">
        <v>3407</v>
      </c>
      <c r="D422" s="83" t="s">
        <v>3616</v>
      </c>
      <c r="E422" s="33" t="str">
        <f>IFERROR(__xludf.DUMMYFUNCTION("""COMPUTED_VALUE"""),"Школа 1541")</f>
        <v>Школа 1541</v>
      </c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117" t="s">
        <v>30</v>
      </c>
      <c r="B423" s="80">
        <v>47.0</v>
      </c>
      <c r="C423" s="120" t="s">
        <v>3646</v>
      </c>
      <c r="D423" s="83" t="s">
        <v>3616</v>
      </c>
      <c r="E423" s="33" t="str">
        <f>IFERROR(__xludf.DUMMYFUNCTION("""COMPUTED_VALUE"""),"Школа 1553")</f>
        <v>Школа 1553</v>
      </c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117" t="s">
        <v>30</v>
      </c>
      <c r="B424" s="118">
        <v>48.0</v>
      </c>
      <c r="C424" s="123" t="s">
        <v>3647</v>
      </c>
      <c r="D424" s="83" t="s">
        <v>3616</v>
      </c>
      <c r="E424" s="33" t="str">
        <f>IFERROR(__xludf.DUMMYFUNCTION("""COMPUTED_VALUE"""),"Школа 1557")</f>
        <v>Школа 1557</v>
      </c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117" t="s">
        <v>30</v>
      </c>
      <c r="B425" s="86">
        <v>49.0</v>
      </c>
      <c r="C425" s="121" t="s">
        <v>3648</v>
      </c>
      <c r="D425" s="83" t="s">
        <v>3616</v>
      </c>
      <c r="E425" s="33" t="str">
        <f>IFERROR(__xludf.DUMMYFUNCTION("""COMPUTED_VALUE"""),"Школа 1560")</f>
        <v>Школа 1560</v>
      </c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117" t="s">
        <v>30</v>
      </c>
      <c r="B426" s="116">
        <v>50.0</v>
      </c>
      <c r="C426" s="119" t="s">
        <v>3649</v>
      </c>
      <c r="D426" s="83" t="s">
        <v>3616</v>
      </c>
      <c r="E426" s="33" t="str">
        <f>IFERROR(__xludf.DUMMYFUNCTION("""COMPUTED_VALUE"""),"Школа 1561")</f>
        <v>Школа 1561</v>
      </c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117" t="s">
        <v>30</v>
      </c>
      <c r="B427" s="116">
        <v>51.0</v>
      </c>
      <c r="C427" s="121" t="s">
        <v>3514</v>
      </c>
      <c r="D427" s="83" t="s">
        <v>3616</v>
      </c>
      <c r="E427" s="33" t="str">
        <f>IFERROR(__xludf.DUMMYFUNCTION("""COMPUTED_VALUE"""),"Школа 1564")</f>
        <v>Школа 1564</v>
      </c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117" t="s">
        <v>30</v>
      </c>
      <c r="B428" s="124">
        <v>52.0</v>
      </c>
      <c r="C428" s="119" t="s">
        <v>3409</v>
      </c>
      <c r="D428" s="83" t="s">
        <v>3616</v>
      </c>
      <c r="E428" s="33" t="str">
        <f>IFERROR(__xludf.DUMMYFUNCTION("""COMPUTED_VALUE"""),"Школа 1569")</f>
        <v>Школа 1569</v>
      </c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117" t="s">
        <v>30</v>
      </c>
      <c r="B429" s="116">
        <v>53.0</v>
      </c>
      <c r="C429" s="121" t="s">
        <v>3650</v>
      </c>
      <c r="D429" s="83" t="s">
        <v>3616</v>
      </c>
      <c r="E429" s="33" t="str">
        <f>IFERROR(__xludf.DUMMYFUNCTION("""COMPUTED_VALUE"""),"Школа 1571")</f>
        <v>Школа 1571</v>
      </c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117" t="s">
        <v>30</v>
      </c>
      <c r="B430" s="129">
        <v>54.0</v>
      </c>
      <c r="C430" s="125" t="s">
        <v>3515</v>
      </c>
      <c r="D430" s="83" t="s">
        <v>3616</v>
      </c>
      <c r="E430" s="33" t="str">
        <f>IFERROR(__xludf.DUMMYFUNCTION("""COMPUTED_VALUE"""),"Школа 1573")</f>
        <v>Школа 1573</v>
      </c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117" t="s">
        <v>30</v>
      </c>
      <c r="B431" s="105">
        <v>55.0</v>
      </c>
      <c r="C431" s="130" t="s">
        <v>3516</v>
      </c>
      <c r="D431" s="83" t="s">
        <v>3616</v>
      </c>
      <c r="E431" s="33" t="str">
        <f>IFERROR(__xludf.DUMMYFUNCTION("""COMPUTED_VALUE"""),"Школа 1574")</f>
        <v>Школа 1574</v>
      </c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117" t="s">
        <v>30</v>
      </c>
      <c r="B432" s="100">
        <v>56.0</v>
      </c>
      <c r="C432" s="121" t="s">
        <v>3651</v>
      </c>
      <c r="D432" s="83" t="s">
        <v>3616</v>
      </c>
      <c r="E432" s="33" t="str">
        <f>IFERROR(__xludf.DUMMYFUNCTION("""COMPUTED_VALUE"""),"Школа 1583")</f>
        <v>Школа 1583</v>
      </c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117" t="s">
        <v>30</v>
      </c>
      <c r="B433" s="86">
        <v>57.0</v>
      </c>
      <c r="C433" s="120" t="s">
        <v>3652</v>
      </c>
      <c r="D433" s="83" t="s">
        <v>3616</v>
      </c>
      <c r="E433" s="33" t="str">
        <f>IFERROR(__xludf.DUMMYFUNCTION("""COMPUTED_VALUE"""),"Школа 1584")</f>
        <v>Школа 1584</v>
      </c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117" t="s">
        <v>30</v>
      </c>
      <c r="B434" s="103">
        <v>58.0</v>
      </c>
      <c r="C434" s="120" t="s">
        <v>3653</v>
      </c>
      <c r="D434" s="83" t="s">
        <v>3616</v>
      </c>
      <c r="E434" s="33" t="str">
        <f>IFERROR(__xludf.DUMMYFUNCTION("""COMPUTED_VALUE"""),"Школа 1636")</f>
        <v>Школа 1636</v>
      </c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117" t="s">
        <v>30</v>
      </c>
      <c r="B435" s="100">
        <v>59.0</v>
      </c>
      <c r="C435" s="121" t="s">
        <v>3654</v>
      </c>
      <c r="D435" s="83" t="s">
        <v>3616</v>
      </c>
      <c r="E435" s="33" t="str">
        <f>IFERROR(__xludf.DUMMYFUNCTION("""COMPUTED_VALUE"""),"Школа 1747")</f>
        <v>Школа 1747</v>
      </c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117" t="s">
        <v>30</v>
      </c>
      <c r="B436" s="124">
        <v>60.0</v>
      </c>
      <c r="C436" s="120" t="s">
        <v>3655</v>
      </c>
      <c r="D436" s="83" t="s">
        <v>3616</v>
      </c>
      <c r="E436" s="33" t="str">
        <f>IFERROR(__xludf.DUMMYFUNCTION("""COMPUTED_VALUE"""),"Школа 1748")</f>
        <v>Школа 1748</v>
      </c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117" t="s">
        <v>30</v>
      </c>
      <c r="B437" s="100">
        <v>61.0</v>
      </c>
      <c r="C437" s="121" t="s">
        <v>3334</v>
      </c>
      <c r="D437" s="83" t="s">
        <v>3616</v>
      </c>
      <c r="E437" s="33" t="str">
        <f>IFERROR(__xludf.DUMMYFUNCTION("""COMPUTED_VALUE"""),"Школа 1788")</f>
        <v>Школа 1788</v>
      </c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117" t="s">
        <v>30</v>
      </c>
      <c r="B438" s="80">
        <v>62.0</v>
      </c>
      <c r="C438" s="121" t="s">
        <v>3458</v>
      </c>
      <c r="D438" s="83" t="s">
        <v>3616</v>
      </c>
      <c r="E438" s="33" t="str">
        <f>IFERROR(__xludf.DUMMYFUNCTION("""COMPUTED_VALUE"""),"Школа 1793")</f>
        <v>Школа 1793</v>
      </c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117" t="s">
        <v>30</v>
      </c>
      <c r="B439" s="116">
        <v>63.0</v>
      </c>
      <c r="C439" s="121" t="s">
        <v>3656</v>
      </c>
      <c r="D439" s="83" t="s">
        <v>3616</v>
      </c>
      <c r="E439" s="33" t="str">
        <f>IFERROR(__xludf.DUMMYFUNCTION("""COMPUTED_VALUE"""),"Школа 1799")</f>
        <v>Школа 1799</v>
      </c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117" t="s">
        <v>30</v>
      </c>
      <c r="B440" s="90">
        <v>64.0</v>
      </c>
      <c r="C440" s="131" t="s">
        <v>3657</v>
      </c>
      <c r="D440" s="83" t="s">
        <v>3616</v>
      </c>
      <c r="E440" s="33" t="str">
        <f>IFERROR(__xludf.DUMMYFUNCTION("""COMPUTED_VALUE"""),"Школа 1811")</f>
        <v>Школа 1811</v>
      </c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117" t="s">
        <v>30</v>
      </c>
      <c r="B441" s="116">
        <v>65.0</v>
      </c>
      <c r="C441" s="121" t="s">
        <v>3415</v>
      </c>
      <c r="D441" s="83" t="s">
        <v>3616</v>
      </c>
      <c r="E441" s="33" t="str">
        <f>IFERROR(__xludf.DUMMYFUNCTION("""COMPUTED_VALUE"""),"Школа 1861")</f>
        <v>Школа 1861</v>
      </c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117" t="s">
        <v>30</v>
      </c>
      <c r="B442" s="100">
        <v>66.0</v>
      </c>
      <c r="C442" s="119" t="s">
        <v>3658</v>
      </c>
      <c r="D442" s="83" t="s">
        <v>3616</v>
      </c>
      <c r="E442" s="33" t="str">
        <f>IFERROR(__xludf.DUMMYFUNCTION("""COMPUTED_VALUE"""),"Школа 1950")</f>
        <v>Школа 1950</v>
      </c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117" t="s">
        <v>30</v>
      </c>
      <c r="B443" s="86">
        <v>67.0</v>
      </c>
      <c r="C443" s="123" t="s">
        <v>3659</v>
      </c>
      <c r="D443" s="83" t="s">
        <v>3616</v>
      </c>
      <c r="E443" s="33" t="str">
        <f>IFERROR(__xludf.DUMMYFUNCTION("""COMPUTED_VALUE"""),"Школа 2005")</f>
        <v>Школа 2005</v>
      </c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117" t="s">
        <v>30</v>
      </c>
      <c r="B444" s="90">
        <v>68.0</v>
      </c>
      <c r="C444" s="123" t="s">
        <v>3421</v>
      </c>
      <c r="D444" s="83" t="s">
        <v>3616</v>
      </c>
      <c r="E444" s="33" t="str">
        <f>IFERROR(__xludf.DUMMYFUNCTION("""COMPUTED_VALUE"""),"Школа 2006")</f>
        <v>Школа 2006</v>
      </c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117" t="s">
        <v>30</v>
      </c>
      <c r="B445" s="116">
        <v>69.0</v>
      </c>
      <c r="C445" s="120" t="s">
        <v>3660</v>
      </c>
      <c r="D445" s="83" t="s">
        <v>3616</v>
      </c>
      <c r="E445" s="33" t="str">
        <f>IFERROR(__xludf.DUMMYFUNCTION("""COMPUTED_VALUE"""),"Школа 2033")</f>
        <v>Школа 2033</v>
      </c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117" t="s">
        <v>30</v>
      </c>
      <c r="B446" s="100">
        <v>70.0</v>
      </c>
      <c r="C446" s="121" t="s">
        <v>3661</v>
      </c>
      <c r="D446" s="83" t="s">
        <v>3616</v>
      </c>
      <c r="E446" s="33" t="str">
        <f>IFERROR(__xludf.DUMMYFUNCTION("""COMPUTED_VALUE"""),"Школа 2036")</f>
        <v>Школа 2036</v>
      </c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117" t="s">
        <v>30</v>
      </c>
      <c r="B447" s="116">
        <v>71.0</v>
      </c>
      <c r="C447" s="26" t="s">
        <v>3358</v>
      </c>
      <c r="D447" s="83" t="s">
        <v>3616</v>
      </c>
      <c r="E447" s="33" t="str">
        <f>IFERROR(__xludf.DUMMYFUNCTION("""COMPUTED_VALUE"""),"Школа 2045")</f>
        <v>Школа 2045</v>
      </c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117" t="s">
        <v>30</v>
      </c>
      <c r="B448" s="86">
        <v>72.0</v>
      </c>
      <c r="C448" s="121" t="s">
        <v>3451</v>
      </c>
      <c r="D448" s="83" t="s">
        <v>3616</v>
      </c>
      <c r="E448" s="33" t="str">
        <f>IFERROR(__xludf.DUMMYFUNCTION("""COMPUTED_VALUE"""),"Школа 2048")</f>
        <v>Школа 2048</v>
      </c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117" t="s">
        <v>30</v>
      </c>
      <c r="B449" s="100">
        <v>73.0</v>
      </c>
      <c r="C449" s="119" t="s">
        <v>3662</v>
      </c>
      <c r="D449" s="83" t="s">
        <v>3616</v>
      </c>
      <c r="E449" s="33" t="str">
        <f>IFERROR(__xludf.DUMMYFUNCTION("""COMPUTED_VALUE"""),"Школа 2051")</f>
        <v>Школа 2051</v>
      </c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117" t="s">
        <v>30</v>
      </c>
      <c r="B450" s="124">
        <v>74.0</v>
      </c>
      <c r="C450" s="125" t="s">
        <v>3611</v>
      </c>
      <c r="D450" s="83" t="s">
        <v>3616</v>
      </c>
      <c r="E450" s="33" t="str">
        <f>IFERROR(__xludf.DUMMYFUNCTION("""COMPUTED_VALUE"""),"Школа 2054")</f>
        <v>Школа 2054</v>
      </c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117" t="s">
        <v>30</v>
      </c>
      <c r="B451" s="124">
        <v>75.0</v>
      </c>
      <c r="C451" s="130" t="s">
        <v>3663</v>
      </c>
      <c r="D451" s="83" t="s">
        <v>3616</v>
      </c>
      <c r="E451" s="33" t="str">
        <f>IFERROR(__xludf.DUMMYFUNCTION("""COMPUTED_VALUE"""),"Школа 2070")</f>
        <v>Школа 2070</v>
      </c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117" t="s">
        <v>30</v>
      </c>
      <c r="B452" s="124">
        <v>76.0</v>
      </c>
      <c r="C452" s="119" t="s">
        <v>3664</v>
      </c>
      <c r="D452" s="83" t="s">
        <v>3616</v>
      </c>
      <c r="E452" s="33" t="str">
        <f>IFERROR(__xludf.DUMMYFUNCTION("""COMPUTED_VALUE"""),"Школа 2087")</f>
        <v>Школа 2087</v>
      </c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117" t="s">
        <v>30</v>
      </c>
      <c r="B453" s="116">
        <v>77.0</v>
      </c>
      <c r="C453" s="120" t="s">
        <v>3665</v>
      </c>
      <c r="D453" s="83" t="s">
        <v>3616</v>
      </c>
      <c r="E453" s="33" t="str">
        <f>IFERROR(__xludf.DUMMYFUNCTION("""COMPUTED_VALUE"""),"Школа 2097")</f>
        <v>Школа 2097</v>
      </c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117" t="s">
        <v>30</v>
      </c>
      <c r="B454" s="80">
        <v>78.0</v>
      </c>
      <c r="C454" s="119" t="s">
        <v>3666</v>
      </c>
      <c r="D454" s="83" t="s">
        <v>3616</v>
      </c>
      <c r="E454" s="33" t="str">
        <f>IFERROR(__xludf.DUMMYFUNCTION("""COMPUTED_VALUE"""),"Школа 2098")</f>
        <v>Школа 2098</v>
      </c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117" t="s">
        <v>30</v>
      </c>
      <c r="B455" s="86">
        <v>79.0</v>
      </c>
      <c r="C455" s="121" t="s">
        <v>3614</v>
      </c>
      <c r="D455" s="83" t="s">
        <v>3616</v>
      </c>
      <c r="E455" s="33" t="str">
        <f>IFERROR(__xludf.DUMMYFUNCTION("""COMPUTED_VALUE"""),"Школа 2107")</f>
        <v>Школа 2107</v>
      </c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117" t="s">
        <v>30</v>
      </c>
      <c r="B456" s="124">
        <v>80.0</v>
      </c>
      <c r="C456" s="121" t="s">
        <v>3426</v>
      </c>
      <c r="D456" s="83" t="s">
        <v>3616</v>
      </c>
      <c r="E456" s="33" t="str">
        <f>IFERROR(__xludf.DUMMYFUNCTION("""COMPUTED_VALUE"""),"Школа 2120")</f>
        <v>Школа 2120</v>
      </c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117" t="s">
        <v>30</v>
      </c>
      <c r="B457" s="124">
        <v>81.0</v>
      </c>
      <c r="C457" s="121" t="s">
        <v>3453</v>
      </c>
      <c r="D457" s="83" t="s">
        <v>3616</v>
      </c>
      <c r="E457" s="33" t="str">
        <f>IFERROR(__xludf.DUMMYFUNCTION("""COMPUTED_VALUE"""),"Школа 2127")</f>
        <v>Школа 2127</v>
      </c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117" t="s">
        <v>30</v>
      </c>
      <c r="B458" s="116">
        <v>82.0</v>
      </c>
      <c r="C458" s="123" t="s">
        <v>3667</v>
      </c>
      <c r="D458" s="83" t="s">
        <v>3616</v>
      </c>
      <c r="E458" s="33" t="str">
        <f>IFERROR(__xludf.DUMMYFUNCTION("""COMPUTED_VALUE"""),"Курчатовская школа")</f>
        <v>Курчатовская школа</v>
      </c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117" t="s">
        <v>30</v>
      </c>
      <c r="B459" s="116">
        <v>83.0</v>
      </c>
      <c r="C459" s="120" t="s">
        <v>3668</v>
      </c>
      <c r="D459" s="83" t="s">
        <v>3616</v>
      </c>
      <c r="E459" s="33" t="str">
        <f>IFERROR(__xludf.DUMMYFUNCTION("""COMPUTED_VALUE"""),"Школа в Некрасовке")</f>
        <v>Школа в Некрасовке</v>
      </c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117" t="s">
        <v>30</v>
      </c>
      <c r="B460" s="118">
        <v>84.0</v>
      </c>
      <c r="C460" s="131" t="s">
        <v>3669</v>
      </c>
      <c r="D460" s="83" t="s">
        <v>3616</v>
      </c>
      <c r="E460" s="33" t="str">
        <f>IFERROR(__xludf.DUMMYFUNCTION("""COMPUTED_VALUE"""),"Школа Новокосино им. Героя Советского Союза адмирала А. П. Михайловского")</f>
        <v>Школа Новокосино им. Героя Советского Союза адмирала А. П. Михайловского</v>
      </c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117" t="s">
        <v>30</v>
      </c>
      <c r="B461" s="86">
        <v>85.0</v>
      </c>
      <c r="C461" s="119" t="s">
        <v>3529</v>
      </c>
      <c r="D461" s="83" t="s">
        <v>3616</v>
      </c>
      <c r="E461" s="33" t="str">
        <f>IFERROR(__xludf.DUMMYFUNCTION("""COMPUTED_VALUE"""),"Вешняковская школа")</f>
        <v>Вешняковская школа</v>
      </c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117" t="s">
        <v>30</v>
      </c>
      <c r="B462" s="80">
        <v>86.0</v>
      </c>
      <c r="C462" s="119" t="s">
        <v>3670</v>
      </c>
      <c r="D462" s="83" t="s">
        <v>3616</v>
      </c>
      <c r="E462" s="33" t="str">
        <f>IFERROR(__xludf.DUMMYFUNCTION("""COMPUTED_VALUE"""),"Образовательный центр Протон")</f>
        <v>Образовательный центр Протон</v>
      </c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117" t="s">
        <v>30</v>
      </c>
      <c r="B463" s="80">
        <v>87.0</v>
      </c>
      <c r="C463" s="121" t="s">
        <v>3364</v>
      </c>
      <c r="D463" s="83" t="s">
        <v>3616</v>
      </c>
      <c r="E463" s="33" t="str">
        <f>IFERROR(__xludf.DUMMYFUNCTION("""COMPUTED_VALUE"""),"Романовская школа")</f>
        <v>Романовская школа</v>
      </c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117" t="s">
        <v>30</v>
      </c>
      <c r="B464" s="86">
        <v>88.0</v>
      </c>
      <c r="C464" s="119" t="s">
        <v>3671</v>
      </c>
      <c r="D464" s="83" t="s">
        <v>3616</v>
      </c>
      <c r="E464" s="33" t="str">
        <f>IFERROR(__xludf.DUMMYFUNCTION("""COMPUTED_VALUE"""),"Школа Покровский квартал")</f>
        <v>Школа Покровский квартал</v>
      </c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117" t="s">
        <v>30</v>
      </c>
      <c r="B465" s="116">
        <v>89.0</v>
      </c>
      <c r="C465" s="121" t="s">
        <v>3367</v>
      </c>
      <c r="D465" s="83" t="s">
        <v>3616</v>
      </c>
      <c r="E465" s="33" t="str">
        <f>IFERROR(__xludf.DUMMYFUNCTION("""COMPUTED_VALUE"""),"Школа им. В. В. Маяковского")</f>
        <v>Школа им. В. В. Маяковского</v>
      </c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117" t="s">
        <v>30</v>
      </c>
      <c r="B466" s="118">
        <v>90.0</v>
      </c>
      <c r="C466" s="121" t="s">
        <v>3672</v>
      </c>
      <c r="D466" s="83" t="s">
        <v>3616</v>
      </c>
      <c r="E466" s="33" t="str">
        <f>IFERROR(__xludf.DUMMYFUNCTION("""COMPUTED_VALUE"""),"Школа Марьина Роща им. В. Ф. Орлова")</f>
        <v>Школа Марьина Роща им. В. Ф. Орлова</v>
      </c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117" t="s">
        <v>30</v>
      </c>
      <c r="B467" s="118">
        <v>91.0</v>
      </c>
      <c r="C467" s="121" t="s">
        <v>3673</v>
      </c>
      <c r="D467" s="83" t="s">
        <v>3616</v>
      </c>
      <c r="E467" s="33" t="str">
        <f>IFERROR(__xludf.DUMMYFUNCTION("""COMPUTED_VALUE"""),"Школа Интеграл")</f>
        <v>Школа Интеграл</v>
      </c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117" t="s">
        <v>29</v>
      </c>
      <c r="B468" s="114">
        <v>1.0</v>
      </c>
      <c r="C468" s="83" t="s">
        <v>3674</v>
      </c>
      <c r="D468" s="83" t="s">
        <v>3616</v>
      </c>
      <c r="E468" s="33" t="str">
        <f>IFERROR(__xludf.DUMMYFUNCTION("""COMPUTED_VALUE"""),"Школа 41")</f>
        <v>Школа 41</v>
      </c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117" t="s">
        <v>29</v>
      </c>
      <c r="B469" s="132">
        <v>2.0</v>
      </c>
      <c r="C469" s="126" t="s">
        <v>3675</v>
      </c>
      <c r="D469" s="83" t="s">
        <v>3616</v>
      </c>
      <c r="E469" s="33" t="str">
        <f>IFERROR(__xludf.DUMMYFUNCTION("""COMPUTED_VALUE"""),"Школа 67")</f>
        <v>Школа 67</v>
      </c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117" t="s">
        <v>29</v>
      </c>
      <c r="B470" s="105">
        <v>3.0</v>
      </c>
      <c r="C470" s="121" t="s">
        <v>3459</v>
      </c>
      <c r="D470" s="83" t="s">
        <v>3616</v>
      </c>
      <c r="E470" s="33" t="str">
        <f>IFERROR(__xludf.DUMMYFUNCTION("""COMPUTED_VALUE"""),"Школа 138")</f>
        <v>Школа 138</v>
      </c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117" t="s">
        <v>29</v>
      </c>
      <c r="B471" s="118">
        <v>4.0</v>
      </c>
      <c r="C471" s="119" t="s">
        <v>3550</v>
      </c>
      <c r="D471" s="83" t="s">
        <v>3616</v>
      </c>
      <c r="E471" s="33" t="str">
        <f>IFERROR(__xludf.DUMMYFUNCTION("""COMPUTED_VALUE"""),"Школа 167")</f>
        <v>Школа 167</v>
      </c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117" t="s">
        <v>29</v>
      </c>
      <c r="B472" s="129">
        <v>5.0</v>
      </c>
      <c r="C472" s="119" t="s">
        <v>3615</v>
      </c>
      <c r="D472" s="83" t="s">
        <v>3616</v>
      </c>
      <c r="E472" s="33" t="str">
        <f>IFERROR(__xludf.DUMMYFUNCTION("""COMPUTED_VALUE"""),"Школа 171")</f>
        <v>Школа 171</v>
      </c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117" t="s">
        <v>29</v>
      </c>
      <c r="B473" s="127">
        <v>6.0</v>
      </c>
      <c r="C473" s="126" t="s">
        <v>3676</v>
      </c>
      <c r="D473" s="83" t="s">
        <v>3616</v>
      </c>
      <c r="E473" s="33" t="str">
        <f>IFERROR(__xludf.DUMMYFUNCTION("""COMPUTED_VALUE"""),"Школа 185")</f>
        <v>Школа 185</v>
      </c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117" t="s">
        <v>29</v>
      </c>
      <c r="B474" s="129">
        <v>7.0</v>
      </c>
      <c r="C474" s="121" t="s">
        <v>3435</v>
      </c>
      <c r="D474" s="83" t="s">
        <v>3616</v>
      </c>
      <c r="E474" s="33" t="str">
        <f>IFERROR(__xludf.DUMMYFUNCTION("""COMPUTED_VALUE"""),"Школа 283")</f>
        <v>Школа 283</v>
      </c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117" t="s">
        <v>29</v>
      </c>
      <c r="B475" s="105">
        <v>8.0</v>
      </c>
      <c r="C475" s="119" t="s">
        <v>3677</v>
      </c>
      <c r="D475" s="83" t="s">
        <v>3616</v>
      </c>
      <c r="E475" s="33" t="str">
        <f>IFERROR(__xludf.DUMMYFUNCTION("""COMPUTED_VALUE"""),"Школа 354")</f>
        <v>Школа 354</v>
      </c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117" t="s">
        <v>29</v>
      </c>
      <c r="B476" s="105">
        <v>9.0</v>
      </c>
      <c r="C476" s="119" t="s">
        <v>3532</v>
      </c>
      <c r="D476" s="83" t="s">
        <v>3616</v>
      </c>
      <c r="E476" s="33" t="str">
        <f>IFERROR(__xludf.DUMMYFUNCTION("""COMPUTED_VALUE"""),"Школа 429")</f>
        <v>Школа 429</v>
      </c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117" t="s">
        <v>29</v>
      </c>
      <c r="B477" s="124">
        <v>10.0</v>
      </c>
      <c r="C477" s="120" t="s">
        <v>3619</v>
      </c>
      <c r="D477" s="83" t="s">
        <v>3616</v>
      </c>
      <c r="E477" s="33" t="str">
        <f>IFERROR(__xludf.DUMMYFUNCTION("""COMPUTED_VALUE"""),"Школа 444")</f>
        <v>Школа 444</v>
      </c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117" t="s">
        <v>29</v>
      </c>
      <c r="B478" s="129">
        <v>11.0</v>
      </c>
      <c r="C478" s="119" t="s">
        <v>3373</v>
      </c>
      <c r="D478" s="83" t="s">
        <v>3616</v>
      </c>
      <c r="E478" s="33" t="str">
        <f>IFERROR(__xludf.DUMMYFUNCTION("""COMPUTED_VALUE"""),"Школа 507")</f>
        <v>Школа 507</v>
      </c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117" t="s">
        <v>29</v>
      </c>
      <c r="B479" s="7">
        <v>12.0</v>
      </c>
      <c r="C479" s="125" t="s">
        <v>3343</v>
      </c>
      <c r="D479" s="83" t="s">
        <v>3616</v>
      </c>
      <c r="E479" s="33" t="str">
        <f>IFERROR(__xludf.DUMMYFUNCTION("""COMPUTED_VALUE"""),"Школа 544")</f>
        <v>Школа 544</v>
      </c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117" t="s">
        <v>29</v>
      </c>
      <c r="B480" s="7">
        <v>13.0</v>
      </c>
      <c r="C480" s="121" t="s">
        <v>3620</v>
      </c>
      <c r="D480" s="83" t="s">
        <v>3616</v>
      </c>
      <c r="E480" s="33" t="str">
        <f>IFERROR(__xludf.DUMMYFUNCTION("""COMPUTED_VALUE"""),"Школа 548")</f>
        <v>Школа 548</v>
      </c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117" t="s">
        <v>29</v>
      </c>
      <c r="B481" s="118">
        <v>14.0</v>
      </c>
      <c r="C481" s="119" t="s">
        <v>3678</v>
      </c>
      <c r="D481" s="83" t="s">
        <v>3616</v>
      </c>
      <c r="E481" s="33" t="str">
        <f>IFERROR(__xludf.DUMMYFUNCTION("""COMPUTED_VALUE"""),"Школа 597")</f>
        <v>Школа 597</v>
      </c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117" t="s">
        <v>29</v>
      </c>
      <c r="B482" s="124">
        <v>15.0</v>
      </c>
      <c r="C482" s="125" t="s">
        <v>3679</v>
      </c>
      <c r="D482" s="83" t="s">
        <v>3616</v>
      </c>
      <c r="E482" s="33" t="str">
        <f>IFERROR(__xludf.DUMMYFUNCTION("""COMPUTED_VALUE"""),"Школа 618")</f>
        <v>Школа 618</v>
      </c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117" t="s">
        <v>29</v>
      </c>
      <c r="B483" s="118">
        <v>16.0</v>
      </c>
      <c r="C483" s="125" t="s">
        <v>3680</v>
      </c>
      <c r="D483" s="83" t="s">
        <v>3616</v>
      </c>
      <c r="E483" s="33" t="str">
        <f>IFERROR(__xludf.DUMMYFUNCTION("""COMPUTED_VALUE"""),"Школа 627")</f>
        <v>Школа 627</v>
      </c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117" t="s">
        <v>29</v>
      </c>
      <c r="B484" s="118">
        <v>17.0</v>
      </c>
      <c r="C484" s="119" t="s">
        <v>3535</v>
      </c>
      <c r="D484" s="83" t="s">
        <v>3616</v>
      </c>
      <c r="E484" s="33" t="str">
        <f>IFERROR(__xludf.DUMMYFUNCTION("""COMPUTED_VALUE"""),"Школа 641")</f>
        <v>Школа 641</v>
      </c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117" t="s">
        <v>29</v>
      </c>
      <c r="B485" s="118">
        <v>18.0</v>
      </c>
      <c r="C485" s="125" t="s">
        <v>3374</v>
      </c>
      <c r="D485" s="83" t="s">
        <v>3616</v>
      </c>
      <c r="E485" s="33" t="str">
        <f>IFERROR(__xludf.DUMMYFUNCTION("""COMPUTED_VALUE"""),"Школа 648")</f>
        <v>Школа 648</v>
      </c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117" t="s">
        <v>29</v>
      </c>
      <c r="B486" s="133">
        <v>19.0</v>
      </c>
      <c r="C486" s="125" t="s">
        <v>3375</v>
      </c>
      <c r="D486" s="83" t="s">
        <v>3616</v>
      </c>
      <c r="E486" s="33" t="str">
        <f>IFERROR(__xludf.DUMMYFUNCTION("""COMPUTED_VALUE"""),"Школа 654")</f>
        <v>Школа 654</v>
      </c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117" t="s">
        <v>29</v>
      </c>
      <c r="B487" s="105">
        <v>20.0</v>
      </c>
      <c r="C487" s="130" t="s">
        <v>3681</v>
      </c>
      <c r="D487" s="83" t="s">
        <v>3616</v>
      </c>
      <c r="E487" s="33" t="str">
        <f>IFERROR(__xludf.DUMMYFUNCTION("""COMPUTED_VALUE"""),"Школа 667")</f>
        <v>Школа 667</v>
      </c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117" t="s">
        <v>29</v>
      </c>
      <c r="B488" s="134">
        <v>21.0</v>
      </c>
      <c r="C488" s="130" t="s">
        <v>3682</v>
      </c>
      <c r="D488" s="83" t="s">
        <v>3616</v>
      </c>
      <c r="E488" s="33" t="str">
        <f>IFERROR(__xludf.DUMMYFUNCTION("""COMPUTED_VALUE"""),"Школа 709")</f>
        <v>Школа 709</v>
      </c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117" t="s">
        <v>29</v>
      </c>
      <c r="B489" s="118">
        <v>22.0</v>
      </c>
      <c r="C489" s="130" t="s">
        <v>3466</v>
      </c>
      <c r="D489" s="83" t="s">
        <v>3616</v>
      </c>
      <c r="E489" s="33" t="str">
        <f>IFERROR(__xludf.DUMMYFUNCTION("""COMPUTED_VALUE"""),"Школа 853")</f>
        <v>Школа 853</v>
      </c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117" t="s">
        <v>29</v>
      </c>
      <c r="B490" s="105">
        <v>23.0</v>
      </c>
      <c r="C490" s="128" t="s">
        <v>3683</v>
      </c>
      <c r="D490" s="83" t="s">
        <v>3616</v>
      </c>
      <c r="E490" s="33" t="str">
        <f>IFERROR(__xludf.DUMMYFUNCTION("""COMPUTED_VALUE"""),"Школа 878")</f>
        <v>Школа 878</v>
      </c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117" t="s">
        <v>29</v>
      </c>
      <c r="B491" s="105">
        <v>24.0</v>
      </c>
      <c r="C491" s="125" t="s">
        <v>3684</v>
      </c>
      <c r="D491" s="83" t="s">
        <v>3616</v>
      </c>
      <c r="E491" s="33" t="str">
        <f>IFERROR(__xludf.DUMMYFUNCTION("""COMPUTED_VALUE"""),"Школа 953")</f>
        <v>Школа 953</v>
      </c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117" t="s">
        <v>29</v>
      </c>
      <c r="B492" s="118">
        <v>25.0</v>
      </c>
      <c r="C492" s="125" t="s">
        <v>3622</v>
      </c>
      <c r="D492" s="83" t="s">
        <v>3616</v>
      </c>
      <c r="E492" s="33" t="str">
        <f>IFERROR(__xludf.DUMMYFUNCTION("""COMPUTED_VALUE"""),"Школа 1002")</f>
        <v>Школа 1002</v>
      </c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117" t="s">
        <v>29</v>
      </c>
      <c r="B493" s="118">
        <v>26.0</v>
      </c>
      <c r="C493" s="125" t="s">
        <v>3321</v>
      </c>
      <c r="D493" s="83" t="s">
        <v>3616</v>
      </c>
      <c r="E493" s="33" t="str">
        <f>IFERROR(__xludf.DUMMYFUNCTION("""COMPUTED_VALUE"""),"Школа 1034")</f>
        <v>Школа 1034</v>
      </c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117" t="s">
        <v>29</v>
      </c>
      <c r="B494" s="80">
        <v>27.0</v>
      </c>
      <c r="C494" s="119" t="s">
        <v>3383</v>
      </c>
      <c r="D494" s="83" t="s">
        <v>3616</v>
      </c>
      <c r="E494" s="33" t="str">
        <f>IFERROR(__xludf.DUMMYFUNCTION("""COMPUTED_VALUE"""),"Школа 1095")</f>
        <v>Школа 1095</v>
      </c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117" t="s">
        <v>29</v>
      </c>
      <c r="B495" s="124">
        <v>28.0</v>
      </c>
      <c r="C495" s="119" t="s">
        <v>3685</v>
      </c>
      <c r="D495" s="83" t="s">
        <v>3616</v>
      </c>
      <c r="E495" s="33" t="str">
        <f>IFERROR(__xludf.DUMMYFUNCTION("""COMPUTED_VALUE"""),"Школа 1101")</f>
        <v>Школа 1101</v>
      </c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117" t="s">
        <v>29</v>
      </c>
      <c r="B496" s="86">
        <v>29.0</v>
      </c>
      <c r="C496" s="119" t="s">
        <v>3539</v>
      </c>
      <c r="D496" s="83" t="s">
        <v>3616</v>
      </c>
      <c r="E496" s="33" t="str">
        <f>IFERROR(__xludf.DUMMYFUNCTION("""COMPUTED_VALUE"""),"Школа 1103")</f>
        <v>Школа 1103</v>
      </c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117" t="s">
        <v>29</v>
      </c>
      <c r="B497" s="116">
        <v>30.0</v>
      </c>
      <c r="C497" s="121" t="s">
        <v>3686</v>
      </c>
      <c r="D497" s="83" t="s">
        <v>3616</v>
      </c>
      <c r="E497" s="33" t="str">
        <f>IFERROR(__xludf.DUMMYFUNCTION("""COMPUTED_VALUE"""),"Школа 1150")</f>
        <v>Школа 1150</v>
      </c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117" t="s">
        <v>29</v>
      </c>
      <c r="B498" s="124">
        <v>31.0</v>
      </c>
      <c r="C498" s="121" t="s">
        <v>3687</v>
      </c>
      <c r="D498" s="83" t="s">
        <v>3616</v>
      </c>
      <c r="E498" s="33" t="str">
        <f>IFERROR(__xludf.DUMMYFUNCTION("""COMPUTED_VALUE"""),"Школа 1151")</f>
        <v>Школа 1151</v>
      </c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117" t="s">
        <v>29</v>
      </c>
      <c r="B499" s="124">
        <v>32.0</v>
      </c>
      <c r="C499" s="125" t="s">
        <v>3623</v>
      </c>
      <c r="D499" s="83" t="s">
        <v>3616</v>
      </c>
      <c r="E499" s="33" t="str">
        <f>IFERROR(__xludf.DUMMYFUNCTION("""COMPUTED_VALUE"""),"Школа 1158")</f>
        <v>Школа 1158</v>
      </c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117" t="s">
        <v>29</v>
      </c>
      <c r="B500" s="124">
        <v>33.0</v>
      </c>
      <c r="C500" s="119" t="s">
        <v>3688</v>
      </c>
      <c r="D500" s="83" t="s">
        <v>3616</v>
      </c>
      <c r="E500" s="33" t="str">
        <f>IFERROR(__xludf.DUMMYFUNCTION("""COMPUTED_VALUE"""),"Школа 1191")</f>
        <v>Школа 1191</v>
      </c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117" t="s">
        <v>29</v>
      </c>
      <c r="B501" s="86">
        <v>34.0</v>
      </c>
      <c r="C501" s="125" t="s">
        <v>3624</v>
      </c>
      <c r="D501" s="83" t="s">
        <v>3616</v>
      </c>
      <c r="E501" s="33" t="str">
        <f>IFERROR(__xludf.DUMMYFUNCTION("""COMPUTED_VALUE"""),"Школа 1194")</f>
        <v>Школа 1194</v>
      </c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117" t="s">
        <v>29</v>
      </c>
      <c r="B502" s="105">
        <v>35.0</v>
      </c>
      <c r="C502" s="130" t="s">
        <v>3345</v>
      </c>
      <c r="D502" s="83" t="s">
        <v>3616</v>
      </c>
      <c r="E502" s="33" t="str">
        <f>IFERROR(__xludf.DUMMYFUNCTION("""COMPUTED_VALUE"""),"Школа 1195")</f>
        <v>Школа 1195</v>
      </c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117" t="s">
        <v>29</v>
      </c>
      <c r="B503" s="100">
        <v>36.0</v>
      </c>
      <c r="C503" s="125" t="s">
        <v>3689</v>
      </c>
      <c r="D503" s="83" t="s">
        <v>3616</v>
      </c>
      <c r="E503" s="33" t="str">
        <f>IFERROR(__xludf.DUMMYFUNCTION("""COMPUTED_VALUE"""),"Школа 1205")</f>
        <v>Школа 1205</v>
      </c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117" t="s">
        <v>29</v>
      </c>
      <c r="B504" s="116">
        <v>37.0</v>
      </c>
      <c r="C504" s="125" t="s">
        <v>3469</v>
      </c>
      <c r="D504" s="83" t="s">
        <v>3616</v>
      </c>
      <c r="E504" s="33" t="str">
        <f>IFERROR(__xludf.DUMMYFUNCTION("""COMPUTED_VALUE"""),"Школа 1210")</f>
        <v>Школа 1210</v>
      </c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117" t="s">
        <v>29</v>
      </c>
      <c r="B505" s="118">
        <v>38.0</v>
      </c>
      <c r="C505" s="119" t="s">
        <v>3561</v>
      </c>
      <c r="D505" s="83" t="s">
        <v>3616</v>
      </c>
      <c r="E505" s="33" t="str">
        <f>IFERROR(__xludf.DUMMYFUNCTION("""COMPUTED_VALUE"""),"Школа 1212")</f>
        <v>Школа 1212</v>
      </c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117" t="s">
        <v>29</v>
      </c>
      <c r="B506" s="105">
        <v>39.0</v>
      </c>
      <c r="C506" s="125" t="s">
        <v>3386</v>
      </c>
      <c r="D506" s="83" t="s">
        <v>3616</v>
      </c>
      <c r="E506" s="33" t="str">
        <f>IFERROR(__xludf.DUMMYFUNCTION("""COMPUTED_VALUE"""),"Школа 1231")</f>
        <v>Школа 1231</v>
      </c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117" t="s">
        <v>29</v>
      </c>
      <c r="B507" s="105">
        <v>40.0</v>
      </c>
      <c r="C507" s="130" t="s">
        <v>3596</v>
      </c>
      <c r="D507" s="83" t="s">
        <v>3616</v>
      </c>
      <c r="E507" s="33" t="str">
        <f>IFERROR(__xludf.DUMMYFUNCTION("""COMPUTED_VALUE"""),"Школа 1245")</f>
        <v>Школа 1245</v>
      </c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117" t="s">
        <v>29</v>
      </c>
      <c r="B508" s="129">
        <v>41.0</v>
      </c>
      <c r="C508" s="128" t="s">
        <v>3391</v>
      </c>
      <c r="D508" s="83" t="s">
        <v>3616</v>
      </c>
      <c r="E508" s="33" t="str">
        <f>IFERROR(__xludf.DUMMYFUNCTION("""COMPUTED_VALUE"""),"Школа 1286")</f>
        <v>Школа 1286</v>
      </c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117" t="s">
        <v>29</v>
      </c>
      <c r="B509" s="118">
        <v>42.0</v>
      </c>
      <c r="C509" s="130" t="s">
        <v>3392</v>
      </c>
      <c r="D509" s="83" t="s">
        <v>3616</v>
      </c>
      <c r="E509" s="33" t="str">
        <f>IFERROR(__xludf.DUMMYFUNCTION("""COMPUTED_VALUE"""),"Школа 1288")</f>
        <v>Школа 1288</v>
      </c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117" t="s">
        <v>29</v>
      </c>
      <c r="B510" s="118">
        <v>43.0</v>
      </c>
      <c r="C510" s="120" t="s">
        <v>3472</v>
      </c>
      <c r="D510" s="83" t="s">
        <v>3616</v>
      </c>
      <c r="E510" s="33" t="str">
        <f>IFERROR(__xludf.DUMMYFUNCTION("""COMPUTED_VALUE"""),"Школа 1293")</f>
        <v>Школа 1293</v>
      </c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117" t="s">
        <v>29</v>
      </c>
      <c r="B511" s="118">
        <v>44.0</v>
      </c>
      <c r="C511" s="123" t="s">
        <v>3394</v>
      </c>
      <c r="D511" s="83" t="s">
        <v>3616</v>
      </c>
      <c r="E511" s="33" t="str">
        <f>IFERROR(__xludf.DUMMYFUNCTION("""COMPUTED_VALUE"""),"Школа 1298")</f>
        <v>Школа 1298</v>
      </c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117" t="s">
        <v>29</v>
      </c>
      <c r="B512" s="124">
        <v>45.0</v>
      </c>
      <c r="C512" s="125" t="s">
        <v>3542</v>
      </c>
      <c r="D512" s="83" t="s">
        <v>3616</v>
      </c>
      <c r="E512" s="33" t="str">
        <f>IFERROR(__xludf.DUMMYFUNCTION("""COMPUTED_VALUE"""),"Школа 1324")</f>
        <v>Школа 1324</v>
      </c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117" t="s">
        <v>29</v>
      </c>
      <c r="B513" s="124">
        <v>46.0</v>
      </c>
      <c r="C513" s="119" t="s">
        <v>3626</v>
      </c>
      <c r="D513" s="83" t="s">
        <v>3616</v>
      </c>
      <c r="E513" s="33" t="str">
        <f>IFERROR(__xludf.DUMMYFUNCTION("""COMPUTED_VALUE"""),"Школа 1329")</f>
        <v>Школа 1329</v>
      </c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117" t="s">
        <v>29</v>
      </c>
      <c r="B514" s="124">
        <v>47.0</v>
      </c>
      <c r="C514" s="125" t="s">
        <v>3397</v>
      </c>
      <c r="D514" s="83" t="s">
        <v>3616</v>
      </c>
      <c r="E514" s="33" t="str">
        <f>IFERROR(__xludf.DUMMYFUNCTION("""COMPUTED_VALUE"""),"Школа 1347")</f>
        <v>Школа 1347</v>
      </c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117" t="s">
        <v>29</v>
      </c>
      <c r="B515" s="80">
        <v>48.0</v>
      </c>
      <c r="C515" s="120" t="s">
        <v>3690</v>
      </c>
      <c r="D515" s="83" t="s">
        <v>3616</v>
      </c>
      <c r="E515" s="33" t="str">
        <f>IFERROR(__xludf.DUMMYFUNCTION("""COMPUTED_VALUE"""),"Школа 1353")</f>
        <v>Школа 1353</v>
      </c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117" t="s">
        <v>29</v>
      </c>
      <c r="B516" s="124">
        <v>49.0</v>
      </c>
      <c r="C516" s="121" t="s">
        <v>3627</v>
      </c>
      <c r="D516" s="83" t="s">
        <v>3616</v>
      </c>
      <c r="E516" s="33" t="str">
        <f>IFERROR(__xludf.DUMMYFUNCTION("""COMPUTED_VALUE"""),"Школа 1354")</f>
        <v>Школа 1354</v>
      </c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117" t="s">
        <v>29</v>
      </c>
      <c r="B517" s="86">
        <v>50.0</v>
      </c>
      <c r="C517" s="121" t="s">
        <v>3603</v>
      </c>
      <c r="D517" s="83" t="s">
        <v>3616</v>
      </c>
      <c r="E517" s="33" t="str">
        <f>IFERROR(__xludf.DUMMYFUNCTION("""COMPUTED_VALUE"""),"Школа 1357")</f>
        <v>Школа 1357</v>
      </c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117" t="s">
        <v>29</v>
      </c>
      <c r="B518" s="118">
        <v>51.0</v>
      </c>
      <c r="C518" s="125" t="s">
        <v>3399</v>
      </c>
      <c r="D518" s="83" t="s">
        <v>3616</v>
      </c>
      <c r="E518" s="33" t="str">
        <f>IFERROR(__xludf.DUMMYFUNCTION("""COMPUTED_VALUE"""),"Школа 1359")</f>
        <v>Школа 1359</v>
      </c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117" t="s">
        <v>29</v>
      </c>
      <c r="B519" s="7">
        <v>52.0</v>
      </c>
      <c r="C519" s="119" t="s">
        <v>3691</v>
      </c>
      <c r="D519" s="83" t="s">
        <v>3616</v>
      </c>
      <c r="E519" s="33" t="str">
        <f>IFERROR(__xludf.DUMMYFUNCTION("""COMPUTED_VALUE"""),"Школа 1360")</f>
        <v>Школа 1360</v>
      </c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117" t="s">
        <v>29</v>
      </c>
      <c r="B520" s="99"/>
      <c r="C520" s="121" t="s">
        <v>3628</v>
      </c>
      <c r="D520" s="83" t="s">
        <v>3616</v>
      </c>
      <c r="E520" s="33" t="str">
        <f>IFERROR(__xludf.DUMMYFUNCTION("""COMPUTED_VALUE"""),"Школа 1363")</f>
        <v>Школа 1363</v>
      </c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117" t="s">
        <v>29</v>
      </c>
      <c r="B521" s="118">
        <v>54.0</v>
      </c>
      <c r="C521" s="119" t="s">
        <v>3629</v>
      </c>
      <c r="D521" s="83" t="s">
        <v>3616</v>
      </c>
      <c r="E521" s="33" t="str">
        <f>IFERROR(__xludf.DUMMYFUNCTION("""COMPUTED_VALUE"""),"Школа 1367")</f>
        <v>Школа 1367</v>
      </c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117" t="s">
        <v>29</v>
      </c>
      <c r="B522" s="100">
        <v>55.0</v>
      </c>
      <c r="C522" s="126" t="s">
        <v>3692</v>
      </c>
      <c r="D522" s="83" t="s">
        <v>3616</v>
      </c>
      <c r="E522" s="33" t="str">
        <f>IFERROR(__xludf.DUMMYFUNCTION("""COMPUTED_VALUE"""),"Школа 1368")</f>
        <v>Школа 1368</v>
      </c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117" t="s">
        <v>29</v>
      </c>
      <c r="B523" s="124">
        <v>56.0</v>
      </c>
      <c r="C523" s="125" t="s">
        <v>3630</v>
      </c>
      <c r="D523" s="83" t="s">
        <v>3616</v>
      </c>
      <c r="E523" s="33" t="str">
        <f>IFERROR(__xludf.DUMMYFUNCTION("""COMPUTED_VALUE"""),"Школа 1375")</f>
        <v>Школа 1375</v>
      </c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117" t="s">
        <v>29</v>
      </c>
      <c r="B524" s="86">
        <v>57.0</v>
      </c>
      <c r="C524" s="126" t="s">
        <v>3441</v>
      </c>
      <c r="D524" s="83" t="s">
        <v>3616</v>
      </c>
      <c r="E524" s="33" t="str">
        <f>IFERROR(__xludf.DUMMYFUNCTION("""COMPUTED_VALUE"""),"Школа 1387")</f>
        <v>Школа 1387</v>
      </c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117" t="s">
        <v>29</v>
      </c>
      <c r="B525" s="124">
        <v>58.0</v>
      </c>
      <c r="C525" s="125" t="s">
        <v>3401</v>
      </c>
      <c r="D525" s="83" t="s">
        <v>3616</v>
      </c>
      <c r="E525" s="33" t="str">
        <f>IFERROR(__xludf.DUMMYFUNCTION("""COMPUTED_VALUE"""),"Школа 1391")</f>
        <v>Школа 1391</v>
      </c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117" t="s">
        <v>29</v>
      </c>
      <c r="B526" s="118">
        <v>59.0</v>
      </c>
      <c r="C526" s="26" t="s">
        <v>3474</v>
      </c>
      <c r="D526" s="83" t="s">
        <v>3616</v>
      </c>
      <c r="E526" s="33" t="str">
        <f>IFERROR(__xludf.DUMMYFUNCTION("""COMPUTED_VALUE"""),"Школа 1400")</f>
        <v>Школа 1400</v>
      </c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117" t="s">
        <v>29</v>
      </c>
      <c r="B527" s="100" t="s">
        <v>3693</v>
      </c>
      <c r="C527" s="125" t="s">
        <v>3631</v>
      </c>
      <c r="D527" s="83" t="s">
        <v>3616</v>
      </c>
      <c r="E527" s="33" t="str">
        <f>IFERROR(__xludf.DUMMYFUNCTION("""COMPUTED_VALUE"""),"Школа 1409")</f>
        <v>Школа 1409</v>
      </c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117" t="s">
        <v>29</v>
      </c>
      <c r="B528" s="129">
        <v>61.0</v>
      </c>
      <c r="C528" s="130" t="s">
        <v>3694</v>
      </c>
      <c r="D528" s="83" t="s">
        <v>3616</v>
      </c>
      <c r="E528" s="33" t="str">
        <f>IFERROR(__xludf.DUMMYFUNCTION("""COMPUTED_VALUE"""),"Школа 1411")</f>
        <v>Школа 1411</v>
      </c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117" t="s">
        <v>29</v>
      </c>
      <c r="B529" s="127">
        <v>62.0</v>
      </c>
      <c r="C529" s="128" t="s">
        <v>3633</v>
      </c>
      <c r="D529" s="83" t="s">
        <v>3616</v>
      </c>
      <c r="E529" s="33" t="str">
        <f>IFERROR(__xludf.DUMMYFUNCTION("""COMPUTED_VALUE"""),"Школа 1434")</f>
        <v>Школа 1434</v>
      </c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117" t="s">
        <v>29</v>
      </c>
      <c r="B530" s="86">
        <v>63.0</v>
      </c>
      <c r="C530" s="126" t="s">
        <v>3695</v>
      </c>
      <c r="D530" s="83" t="s">
        <v>3616</v>
      </c>
      <c r="E530" s="33" t="str">
        <f>IFERROR(__xludf.DUMMYFUNCTION("""COMPUTED_VALUE"""),"Школа 1440")</f>
        <v>Школа 1440</v>
      </c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117" t="s">
        <v>29</v>
      </c>
      <c r="B531" s="127">
        <v>64.0</v>
      </c>
      <c r="C531" s="130" t="s">
        <v>3443</v>
      </c>
      <c r="D531" s="83" t="s">
        <v>3616</v>
      </c>
      <c r="E531" s="33" t="str">
        <f>IFERROR(__xludf.DUMMYFUNCTION("""COMPUTED_VALUE"""),"Школа 1449")</f>
        <v>Школа 1449</v>
      </c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117" t="s">
        <v>29</v>
      </c>
      <c r="B532" s="118">
        <v>65.0</v>
      </c>
      <c r="C532" s="125" t="s">
        <v>3476</v>
      </c>
      <c r="D532" s="83" t="s">
        <v>3616</v>
      </c>
      <c r="E532" s="33" t="str">
        <f>IFERROR(__xludf.DUMMYFUNCTION("""COMPUTED_VALUE"""),"Школа 1454")</f>
        <v>Школа 1454</v>
      </c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117" t="s">
        <v>29</v>
      </c>
      <c r="B533" s="105">
        <v>66.0</v>
      </c>
      <c r="C533" s="122" t="s">
        <v>3696</v>
      </c>
      <c r="D533" s="83" t="s">
        <v>3616</v>
      </c>
      <c r="E533" s="33" t="str">
        <f>IFERROR(__xludf.DUMMYFUNCTION("""COMPUTED_VALUE"""),"Школа 1467")</f>
        <v>Школа 1467</v>
      </c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117" t="s">
        <v>29</v>
      </c>
      <c r="B534" s="124">
        <v>67.0</v>
      </c>
      <c r="C534" s="125" t="s">
        <v>3403</v>
      </c>
      <c r="D534" s="83" t="s">
        <v>3616</v>
      </c>
      <c r="E534" s="33" t="str">
        <f>IFERROR(__xludf.DUMMYFUNCTION("""COMPUTED_VALUE"""),"Школа 1468")</f>
        <v>Школа 1468</v>
      </c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117" t="s">
        <v>29</v>
      </c>
      <c r="B535" s="118">
        <v>68.0</v>
      </c>
      <c r="C535" s="125" t="s">
        <v>3635</v>
      </c>
      <c r="D535" s="83" t="s">
        <v>3616</v>
      </c>
      <c r="E535" s="33" t="str">
        <f>IFERROR(__xludf.DUMMYFUNCTION("""COMPUTED_VALUE"""),"Школа 1474")</f>
        <v>Школа 1474</v>
      </c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117" t="s">
        <v>29</v>
      </c>
      <c r="B536" s="118">
        <v>69.0</v>
      </c>
      <c r="C536" s="125" t="s">
        <v>3697</v>
      </c>
      <c r="D536" s="83" t="s">
        <v>3616</v>
      </c>
      <c r="E536" s="33" t="str">
        <f>IFERROR(__xludf.DUMMYFUNCTION("""COMPUTED_VALUE"""),"Школа 1492")</f>
        <v>Школа 1492</v>
      </c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117" t="s">
        <v>29</v>
      </c>
      <c r="B537" s="124">
        <v>70.0</v>
      </c>
      <c r="C537" s="119" t="s">
        <v>3636</v>
      </c>
      <c r="D537" s="83" t="s">
        <v>3616</v>
      </c>
      <c r="E537" s="33" t="str">
        <f>IFERROR(__xludf.DUMMYFUNCTION("""COMPUTED_VALUE"""),"Школа 1501")</f>
        <v>Школа 1501</v>
      </c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117" t="s">
        <v>29</v>
      </c>
      <c r="B538" s="118">
        <v>71.0</v>
      </c>
      <c r="C538" s="122" t="s">
        <v>3637</v>
      </c>
      <c r="D538" s="83" t="s">
        <v>3616</v>
      </c>
      <c r="E538" s="33" t="str">
        <f>IFERROR(__xludf.DUMMYFUNCTION("""COMPUTED_VALUE"""),"Школа 1502")</f>
        <v>Школа 1502</v>
      </c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117" t="s">
        <v>29</v>
      </c>
      <c r="B539" s="105">
        <v>72.0</v>
      </c>
      <c r="C539" s="119" t="s">
        <v>3323</v>
      </c>
      <c r="D539" s="83" t="s">
        <v>3616</v>
      </c>
      <c r="E539" s="33" t="str">
        <f>IFERROR(__xludf.DUMMYFUNCTION("""COMPUTED_VALUE"""),"Школа 1505")</f>
        <v>Школа 1505</v>
      </c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117" t="s">
        <v>29</v>
      </c>
      <c r="B540" s="124">
        <v>73.0</v>
      </c>
      <c r="C540" s="125" t="s">
        <v>3638</v>
      </c>
      <c r="D540" s="83" t="s">
        <v>3616</v>
      </c>
      <c r="E540" s="33" t="str">
        <f>IFERROR(__xludf.DUMMYFUNCTION("""COMPUTED_VALUE"""),"Школа 1506")</f>
        <v>Школа 1506</v>
      </c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117" t="s">
        <v>29</v>
      </c>
      <c r="B541" s="118">
        <v>74.0</v>
      </c>
      <c r="C541" s="121" t="s">
        <v>3698</v>
      </c>
      <c r="D541" s="83" t="s">
        <v>3616</v>
      </c>
      <c r="E541" s="33" t="str">
        <f>IFERROR(__xludf.DUMMYFUNCTION("""COMPUTED_VALUE"""),"Школа 1507")</f>
        <v>Школа 1507</v>
      </c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117" t="s">
        <v>29</v>
      </c>
      <c r="B542" s="124">
        <v>75.0</v>
      </c>
      <c r="C542" s="119" t="s">
        <v>3699</v>
      </c>
      <c r="D542" s="83" t="s">
        <v>3616</v>
      </c>
      <c r="E542" s="33" t="str">
        <f>IFERROR(__xludf.DUMMYFUNCTION("""COMPUTED_VALUE"""),"Школа 1512")</f>
        <v>Школа 1512</v>
      </c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117" t="s">
        <v>29</v>
      </c>
      <c r="B543" s="118">
        <v>76.0</v>
      </c>
      <c r="C543" s="125" t="s">
        <v>3700</v>
      </c>
      <c r="D543" s="83" t="s">
        <v>3616</v>
      </c>
      <c r="E543" s="33" t="str">
        <f>IFERROR(__xludf.DUMMYFUNCTION("""COMPUTED_VALUE"""),"Школа 1514")</f>
        <v>Школа 1514</v>
      </c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117" t="s">
        <v>29</v>
      </c>
      <c r="B544" s="124">
        <v>77.0</v>
      </c>
      <c r="C544" s="125" t="s">
        <v>3701</v>
      </c>
      <c r="D544" s="83" t="s">
        <v>3616</v>
      </c>
      <c r="E544" s="33" t="str">
        <f>IFERROR(__xludf.DUMMYFUNCTION("""COMPUTED_VALUE"""),"Школа 1516")</f>
        <v>Школа 1516</v>
      </c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117" t="s">
        <v>29</v>
      </c>
      <c r="B545" s="124">
        <v>78.0</v>
      </c>
      <c r="C545" s="119" t="s">
        <v>3640</v>
      </c>
      <c r="D545" s="83" t="s">
        <v>3616</v>
      </c>
      <c r="E545" s="33" t="str">
        <f>IFERROR(__xludf.DUMMYFUNCTION("""COMPUTED_VALUE"""),"Школа 1517")</f>
        <v>Школа 1517</v>
      </c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117" t="s">
        <v>29</v>
      </c>
      <c r="B546" s="127">
        <v>79.0</v>
      </c>
      <c r="C546" s="26" t="s">
        <v>3702</v>
      </c>
      <c r="D546" s="83" t="s">
        <v>3616</v>
      </c>
      <c r="E546" s="33" t="str">
        <f>IFERROR(__xludf.DUMMYFUNCTION("""COMPUTED_VALUE"""),"Школа 1519")</f>
        <v>Школа 1519</v>
      </c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117" t="s">
        <v>29</v>
      </c>
      <c r="B547" s="129">
        <v>80.0</v>
      </c>
      <c r="C547" s="125" t="s">
        <v>3703</v>
      </c>
      <c r="D547" s="83" t="s">
        <v>3616</v>
      </c>
      <c r="E547" s="33" t="str">
        <f>IFERROR(__xludf.DUMMYFUNCTION("""COMPUTED_VALUE"""),"Школа 1524")</f>
        <v>Школа 1524</v>
      </c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117" t="s">
        <v>29</v>
      </c>
      <c r="B548" s="118">
        <v>81.0</v>
      </c>
      <c r="C548" s="130" t="s">
        <v>3607</v>
      </c>
      <c r="D548" s="83" t="s">
        <v>3616</v>
      </c>
      <c r="E548" s="33" t="str">
        <f>IFERROR(__xludf.DUMMYFUNCTION("""COMPUTED_VALUE"""),"Школа 1528")</f>
        <v>Школа 1528</v>
      </c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117" t="s">
        <v>29</v>
      </c>
      <c r="B549" s="124">
        <v>82.0</v>
      </c>
      <c r="C549" s="119" t="s">
        <v>3704</v>
      </c>
      <c r="D549" s="83" t="s">
        <v>3616</v>
      </c>
      <c r="E549" s="33" t="str">
        <f>IFERROR(__xludf.DUMMYFUNCTION("""COMPUTED_VALUE"""),"Школа 1530")</f>
        <v>Школа 1530</v>
      </c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117" t="s">
        <v>29</v>
      </c>
      <c r="B550" s="100">
        <v>83.0</v>
      </c>
      <c r="C550" s="121" t="s">
        <v>3705</v>
      </c>
      <c r="D550" s="83" t="s">
        <v>3616</v>
      </c>
      <c r="E550" s="33" t="str">
        <f>IFERROR(__xludf.DUMMYFUNCTION("""COMPUTED_VALUE"""),"Школа 1532")</f>
        <v>Школа 1532</v>
      </c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117" t="s">
        <v>29</v>
      </c>
      <c r="B551" s="86">
        <v>84.0</v>
      </c>
      <c r="C551" s="123" t="s">
        <v>3643</v>
      </c>
      <c r="D551" s="83" t="s">
        <v>3616</v>
      </c>
      <c r="E551" s="33" t="str">
        <f>IFERROR(__xludf.DUMMYFUNCTION("""COMPUTED_VALUE"""),"Школа 1534")</f>
        <v>Школа 1534</v>
      </c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117" t="s">
        <v>29</v>
      </c>
      <c r="B552" s="118">
        <v>85.0</v>
      </c>
      <c r="C552" s="122" t="s">
        <v>3706</v>
      </c>
      <c r="D552" s="83" t="s">
        <v>3616</v>
      </c>
      <c r="E552" s="33" t="str">
        <f>IFERROR(__xludf.DUMMYFUNCTION("""COMPUTED_VALUE"""),"Школа 1537")</f>
        <v>Школа 1537</v>
      </c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117" t="s">
        <v>29</v>
      </c>
      <c r="B553" s="86">
        <v>86.0</v>
      </c>
      <c r="C553" s="123" t="s">
        <v>3645</v>
      </c>
      <c r="D553" s="83" t="s">
        <v>3616</v>
      </c>
      <c r="E553" s="33" t="str">
        <f>IFERROR(__xludf.DUMMYFUNCTION("""COMPUTED_VALUE"""),"Школа 1538")</f>
        <v>Школа 1538</v>
      </c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117" t="s">
        <v>29</v>
      </c>
      <c r="B554" s="100">
        <v>87.0</v>
      </c>
      <c r="C554" s="121" t="s">
        <v>3447</v>
      </c>
      <c r="D554" s="83" t="s">
        <v>3616</v>
      </c>
      <c r="E554" s="33" t="str">
        <f>IFERROR(__xludf.DUMMYFUNCTION("""COMPUTED_VALUE"""),"Школа 1542")</f>
        <v>Школа 1542</v>
      </c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117" t="s">
        <v>29</v>
      </c>
      <c r="B555" s="86">
        <v>88.0</v>
      </c>
      <c r="C555" s="123" t="s">
        <v>3479</v>
      </c>
      <c r="D555" s="83" t="s">
        <v>3616</v>
      </c>
      <c r="E555" s="33" t="str">
        <f>IFERROR(__xludf.DUMMYFUNCTION("""COMPUTED_VALUE"""),"Школа 1544")</f>
        <v>Школа 1544</v>
      </c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117" t="s">
        <v>29</v>
      </c>
      <c r="B556" s="116">
        <v>89.0</v>
      </c>
      <c r="C556" s="120" t="s">
        <v>3707</v>
      </c>
      <c r="D556" s="83" t="s">
        <v>3616</v>
      </c>
      <c r="E556" s="33" t="str">
        <f>IFERROR(__xludf.DUMMYFUNCTION("""COMPUTED_VALUE"""),"Школа 1547")</f>
        <v>Школа 1547</v>
      </c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117" t="s">
        <v>29</v>
      </c>
      <c r="B557" s="86">
        <v>90.0</v>
      </c>
      <c r="C557" s="131" t="s">
        <v>3708</v>
      </c>
      <c r="D557" s="83" t="s">
        <v>3616</v>
      </c>
      <c r="E557" s="33" t="str">
        <f>IFERROR(__xludf.DUMMYFUNCTION("""COMPUTED_VALUE"""),"Школа 1552")</f>
        <v>Школа 1552</v>
      </c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117" t="s">
        <v>29</v>
      </c>
      <c r="B558" s="124">
        <v>91.0</v>
      </c>
      <c r="C558" s="121" t="s">
        <v>3647</v>
      </c>
      <c r="D558" s="83" t="s">
        <v>3616</v>
      </c>
      <c r="E558" s="33" t="str">
        <f>IFERROR(__xludf.DUMMYFUNCTION("""COMPUTED_VALUE"""),"Школа 1557")</f>
        <v>Школа 1557</v>
      </c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117" t="s">
        <v>29</v>
      </c>
      <c r="B559" s="86">
        <v>92.0</v>
      </c>
      <c r="C559" s="122" t="s">
        <v>3648</v>
      </c>
      <c r="D559" s="83" t="s">
        <v>3616</v>
      </c>
      <c r="E559" s="33" t="str">
        <f>IFERROR(__xludf.DUMMYFUNCTION("""COMPUTED_VALUE"""),"Школа 1560")</f>
        <v>Школа 1560</v>
      </c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117" t="s">
        <v>29</v>
      </c>
      <c r="B560" s="80" t="s">
        <v>3709</v>
      </c>
      <c r="C560" s="119" t="s">
        <v>3649</v>
      </c>
      <c r="D560" s="83" t="s">
        <v>3616</v>
      </c>
      <c r="E560" s="33" t="str">
        <f>IFERROR(__xludf.DUMMYFUNCTION("""COMPUTED_VALUE"""),"Школа 1561")</f>
        <v>Школа 1561</v>
      </c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117" t="s">
        <v>29</v>
      </c>
      <c r="B561" s="124">
        <v>94.0</v>
      </c>
      <c r="C561" s="120" t="s">
        <v>3710</v>
      </c>
      <c r="D561" s="83" t="s">
        <v>3616</v>
      </c>
      <c r="E561" s="33" t="str">
        <f>IFERROR(__xludf.DUMMYFUNCTION("""COMPUTED_VALUE"""),"Школа 1568")</f>
        <v>Школа 1568</v>
      </c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117" t="s">
        <v>29</v>
      </c>
      <c r="B562" s="100">
        <v>95.0</v>
      </c>
      <c r="C562" s="121" t="s">
        <v>3409</v>
      </c>
      <c r="D562" s="83" t="s">
        <v>3616</v>
      </c>
      <c r="E562" s="33" t="str">
        <f>IFERROR(__xludf.DUMMYFUNCTION("""COMPUTED_VALUE"""),"Школа 1569")</f>
        <v>Школа 1569</v>
      </c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117" t="s">
        <v>29</v>
      </c>
      <c r="B563" s="100">
        <v>96.0</v>
      </c>
      <c r="C563" s="26" t="s">
        <v>3650</v>
      </c>
      <c r="D563" s="83" t="s">
        <v>3616</v>
      </c>
      <c r="E563" s="33" t="str">
        <f>IFERROR(__xludf.DUMMYFUNCTION("""COMPUTED_VALUE"""),"Школа 1571")</f>
        <v>Школа 1571</v>
      </c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117" t="s">
        <v>29</v>
      </c>
      <c r="B564" s="116">
        <v>97.0</v>
      </c>
      <c r="C564" s="121" t="s">
        <v>3711</v>
      </c>
      <c r="D564" s="83" t="s">
        <v>3616</v>
      </c>
      <c r="E564" s="33" t="str">
        <f>IFERROR(__xludf.DUMMYFUNCTION("""COMPUTED_VALUE"""),"Школа 1575")</f>
        <v>Школа 1575</v>
      </c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117" t="s">
        <v>29</v>
      </c>
      <c r="B565" s="124">
        <v>98.0</v>
      </c>
      <c r="C565" s="121" t="s">
        <v>3712</v>
      </c>
      <c r="D565" s="83" t="s">
        <v>3616</v>
      </c>
      <c r="E565" s="33" t="str">
        <f>IFERROR(__xludf.DUMMYFUNCTION("""COMPUTED_VALUE"""),"Школа 1576")</f>
        <v>Школа 1576</v>
      </c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117" t="s">
        <v>29</v>
      </c>
      <c r="B566" s="124">
        <v>99.0</v>
      </c>
      <c r="C566" s="119" t="s">
        <v>3713</v>
      </c>
      <c r="D566" s="83" t="s">
        <v>3616</v>
      </c>
      <c r="E566" s="33" t="str">
        <f>IFERROR(__xludf.DUMMYFUNCTION("""COMPUTED_VALUE"""),"Школа 1580")</f>
        <v>Школа 1580</v>
      </c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117" t="s">
        <v>29</v>
      </c>
      <c r="B567" s="100">
        <v>100.0</v>
      </c>
      <c r="C567" s="130" t="s">
        <v>3714</v>
      </c>
      <c r="D567" s="83" t="s">
        <v>3616</v>
      </c>
      <c r="E567" s="33" t="str">
        <f>IFERROR(__xludf.DUMMYFUNCTION("""COMPUTED_VALUE"""),"Школа 1581")</f>
        <v>Школа 1581</v>
      </c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117" t="s">
        <v>29</v>
      </c>
      <c r="B568" s="118">
        <v>101.0</v>
      </c>
      <c r="C568" s="119" t="s">
        <v>3651</v>
      </c>
      <c r="D568" s="83" t="s">
        <v>3616</v>
      </c>
      <c r="E568" s="33" t="str">
        <f>IFERROR(__xludf.DUMMYFUNCTION("""COMPUTED_VALUE"""),"Школа 1583")</f>
        <v>Школа 1583</v>
      </c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117" t="s">
        <v>29</v>
      </c>
      <c r="B569" s="118">
        <v>102.0</v>
      </c>
      <c r="C569" s="126" t="s">
        <v>3652</v>
      </c>
      <c r="D569" s="83" t="s">
        <v>3616</v>
      </c>
      <c r="E569" s="33" t="str">
        <f>IFERROR(__xludf.DUMMYFUNCTION("""COMPUTED_VALUE"""),"Школа 1584")</f>
        <v>Школа 1584</v>
      </c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117" t="s">
        <v>29</v>
      </c>
      <c r="B570" s="124">
        <v>103.0</v>
      </c>
      <c r="C570" s="125" t="s">
        <v>3715</v>
      </c>
      <c r="D570" s="83" t="s">
        <v>3616</v>
      </c>
      <c r="E570" s="33" t="str">
        <f>IFERROR(__xludf.DUMMYFUNCTION("""COMPUTED_VALUE"""),"Школа 1591")</f>
        <v>Школа 1591</v>
      </c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117" t="s">
        <v>29</v>
      </c>
      <c r="B571" s="124">
        <v>104.0</v>
      </c>
      <c r="C571" s="125" t="s">
        <v>3716</v>
      </c>
      <c r="D571" s="83" t="s">
        <v>3616</v>
      </c>
      <c r="E571" s="33" t="str">
        <f>IFERROR(__xludf.DUMMYFUNCTION("""COMPUTED_VALUE"""),"Школа 1593")</f>
        <v>Школа 1593</v>
      </c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117" t="s">
        <v>29</v>
      </c>
      <c r="B572" s="105">
        <v>105.0</v>
      </c>
      <c r="C572" s="126" t="s">
        <v>3480</v>
      </c>
      <c r="D572" s="83" t="s">
        <v>3616</v>
      </c>
      <c r="E572" s="33" t="str">
        <f>IFERROR(__xludf.DUMMYFUNCTION("""COMPUTED_VALUE"""),"Школа 1601")</f>
        <v>Школа 1601</v>
      </c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117" t="s">
        <v>29</v>
      </c>
      <c r="B573" s="124">
        <v>106.0</v>
      </c>
      <c r="C573" s="125" t="s">
        <v>3717</v>
      </c>
      <c r="D573" s="83" t="s">
        <v>3616</v>
      </c>
      <c r="E573" s="33" t="str">
        <f>IFERROR(__xludf.DUMMYFUNCTION("""COMPUTED_VALUE"""),"Школа 1747")</f>
        <v>Школа 1747</v>
      </c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117" t="s">
        <v>29</v>
      </c>
      <c r="B574" s="124">
        <v>107.0</v>
      </c>
      <c r="C574" s="119" t="s">
        <v>3718</v>
      </c>
      <c r="D574" s="83" t="s">
        <v>3616</v>
      </c>
      <c r="E574" s="33" t="str">
        <f>IFERROR(__xludf.DUMMYFUNCTION("""COMPUTED_VALUE"""),"Школа 1748")</f>
        <v>Школа 1748</v>
      </c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117" t="s">
        <v>29</v>
      </c>
      <c r="B575" s="86">
        <v>108.0</v>
      </c>
      <c r="C575" s="125" t="s">
        <v>3719</v>
      </c>
      <c r="D575" s="83" t="s">
        <v>3616</v>
      </c>
      <c r="E575" s="33" t="str">
        <f>IFERROR(__xludf.DUMMYFUNCTION("""COMPUTED_VALUE"""),"Школа 1770")</f>
        <v>Школа 1770</v>
      </c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117" t="s">
        <v>29</v>
      </c>
      <c r="B576" s="86">
        <v>109.0</v>
      </c>
      <c r="C576" s="125" t="s">
        <v>3458</v>
      </c>
      <c r="D576" s="83" t="s">
        <v>3616</v>
      </c>
      <c r="E576" s="33" t="str">
        <f>IFERROR(__xludf.DUMMYFUNCTION("""COMPUTED_VALUE"""),"Школа 1793")</f>
        <v>Школа 1793</v>
      </c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117" t="s">
        <v>29</v>
      </c>
      <c r="B577" s="118">
        <v>110.0</v>
      </c>
      <c r="C577" s="119" t="s">
        <v>3720</v>
      </c>
      <c r="D577" s="83" t="s">
        <v>3616</v>
      </c>
      <c r="E577" s="33" t="str">
        <f>IFERROR(__xludf.DUMMYFUNCTION("""COMPUTED_VALUE"""),"Школа 1795")</f>
        <v>Школа 1795</v>
      </c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117" t="s">
        <v>29</v>
      </c>
      <c r="B578" s="118">
        <v>111.0</v>
      </c>
      <c r="C578" s="121" t="s">
        <v>3721</v>
      </c>
      <c r="D578" s="83" t="s">
        <v>3616</v>
      </c>
      <c r="E578" s="33" t="str">
        <f>IFERROR(__xludf.DUMMYFUNCTION("""COMPUTED_VALUE"""),"Школа 1797")</f>
        <v>Школа 1797</v>
      </c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117" t="s">
        <v>29</v>
      </c>
      <c r="B579" s="127">
        <v>112.0</v>
      </c>
      <c r="C579" s="119" t="s">
        <v>3657</v>
      </c>
      <c r="D579" s="83" t="s">
        <v>3616</v>
      </c>
      <c r="E579" s="33" t="str">
        <f>IFERROR(__xludf.DUMMYFUNCTION("""COMPUTED_VALUE"""),"Школа 1811")</f>
        <v>Школа 1811</v>
      </c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117" t="s">
        <v>29</v>
      </c>
      <c r="B580" s="124">
        <v>113.0</v>
      </c>
      <c r="C580" s="119" t="s">
        <v>3416</v>
      </c>
      <c r="D580" s="83" t="s">
        <v>3616</v>
      </c>
      <c r="E580" s="33" t="str">
        <f>IFERROR(__xludf.DUMMYFUNCTION("""COMPUTED_VALUE"""),"Школа 1883")</f>
        <v>Школа 1883</v>
      </c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117" t="s">
        <v>29</v>
      </c>
      <c r="B581" s="100">
        <v>114.0</v>
      </c>
      <c r="C581" s="125" t="s">
        <v>3722</v>
      </c>
      <c r="D581" s="83" t="s">
        <v>3616</v>
      </c>
      <c r="E581" s="33" t="str">
        <f>IFERROR(__xludf.DUMMYFUNCTION("""COMPUTED_VALUE"""),"Школа 1900")</f>
        <v>Школа 1900</v>
      </c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117" t="s">
        <v>29</v>
      </c>
      <c r="B582" s="86">
        <v>115.0</v>
      </c>
      <c r="C582" s="120" t="s">
        <v>3723</v>
      </c>
      <c r="D582" s="83" t="s">
        <v>3616</v>
      </c>
      <c r="E582" s="33" t="str">
        <f>IFERROR(__xludf.DUMMYFUNCTION("""COMPUTED_VALUE"""),"Школа 1980")</f>
        <v>Школа 1980</v>
      </c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117" t="s">
        <v>29</v>
      </c>
      <c r="B583" s="86">
        <v>116.0</v>
      </c>
      <c r="C583" s="119" t="s">
        <v>3724</v>
      </c>
      <c r="D583" s="83" t="s">
        <v>3616</v>
      </c>
      <c r="E583" s="33" t="str">
        <f>IFERROR(__xludf.DUMMYFUNCTION("""COMPUTED_VALUE"""),"Школа 1981")</f>
        <v>Школа 1981</v>
      </c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117" t="s">
        <v>29</v>
      </c>
      <c r="B584" s="118">
        <v>117.0</v>
      </c>
      <c r="C584" s="125" t="s">
        <v>3659</v>
      </c>
      <c r="D584" s="83" t="s">
        <v>3616</v>
      </c>
      <c r="E584" s="33" t="str">
        <f>IFERROR(__xludf.DUMMYFUNCTION("""COMPUTED_VALUE"""),"Школа 2005")</f>
        <v>Школа 2005</v>
      </c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117" t="s">
        <v>29</v>
      </c>
      <c r="B585" s="118">
        <v>118.0</v>
      </c>
      <c r="C585" s="125" t="s">
        <v>3610</v>
      </c>
      <c r="D585" s="83" t="s">
        <v>3616</v>
      </c>
      <c r="E585" s="33" t="str">
        <f>IFERROR(__xludf.DUMMYFUNCTION("""COMPUTED_VALUE"""),"Школа 2009")</f>
        <v>Школа 2009</v>
      </c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117" t="s">
        <v>29</v>
      </c>
      <c r="B586" s="118">
        <v>119.0</v>
      </c>
      <c r="C586" s="119" t="s">
        <v>3357</v>
      </c>
      <c r="D586" s="83" t="s">
        <v>3616</v>
      </c>
      <c r="E586" s="33" t="str">
        <f>IFERROR(__xludf.DUMMYFUNCTION("""COMPUTED_VALUE"""),"Школа 2010")</f>
        <v>Школа 2010</v>
      </c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117" t="s">
        <v>29</v>
      </c>
      <c r="B587" s="105">
        <v>120.0</v>
      </c>
      <c r="C587" s="26" t="s">
        <v>3725</v>
      </c>
      <c r="D587" s="83" t="s">
        <v>3616</v>
      </c>
      <c r="E587" s="33" t="str">
        <f>IFERROR(__xludf.DUMMYFUNCTION("""COMPUTED_VALUE"""),"Школа 2025")</f>
        <v>Школа 2025</v>
      </c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117" t="s">
        <v>29</v>
      </c>
      <c r="B588" s="105">
        <v>121.0</v>
      </c>
      <c r="C588" s="130" t="s">
        <v>3660</v>
      </c>
      <c r="D588" s="83" t="s">
        <v>3616</v>
      </c>
      <c r="E588" s="33" t="str">
        <f>IFERROR(__xludf.DUMMYFUNCTION("""COMPUTED_VALUE"""),"Школа 2033")</f>
        <v>Школа 2033</v>
      </c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117" t="s">
        <v>29</v>
      </c>
      <c r="B589" s="105">
        <v>122.0</v>
      </c>
      <c r="C589" s="128" t="s">
        <v>3726</v>
      </c>
      <c r="D589" s="83" t="s">
        <v>3616</v>
      </c>
      <c r="E589" s="33" t="str">
        <f>IFERROR(__xludf.DUMMYFUNCTION("""COMPUTED_VALUE"""),"Школа 2044")</f>
        <v>Школа 2044</v>
      </c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117" t="s">
        <v>29</v>
      </c>
      <c r="B590" s="124">
        <v>123.0</v>
      </c>
      <c r="C590" s="125" t="s">
        <v>3358</v>
      </c>
      <c r="D590" s="83" t="s">
        <v>3616</v>
      </c>
      <c r="E590" s="33" t="str">
        <f>IFERROR(__xludf.DUMMYFUNCTION("""COMPUTED_VALUE"""),"Школа 2045")</f>
        <v>Школа 2045</v>
      </c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117" t="s">
        <v>29</v>
      </c>
      <c r="B591" s="105">
        <v>124.0</v>
      </c>
      <c r="C591" s="119" t="s">
        <v>3451</v>
      </c>
      <c r="D591" s="83" t="s">
        <v>3616</v>
      </c>
      <c r="E591" s="33" t="str">
        <f>IFERROR(__xludf.DUMMYFUNCTION("""COMPUTED_VALUE"""),"Школа 2048")</f>
        <v>Школа 2048</v>
      </c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117" t="s">
        <v>29</v>
      </c>
      <c r="B592" s="118">
        <v>125.0</v>
      </c>
      <c r="C592" s="125" t="s">
        <v>3727</v>
      </c>
      <c r="D592" s="83" t="s">
        <v>3616</v>
      </c>
      <c r="E592" s="33" t="str">
        <f>IFERROR(__xludf.DUMMYFUNCTION("""COMPUTED_VALUE"""),"Школа 2065")</f>
        <v>Школа 2065</v>
      </c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117" t="s">
        <v>29</v>
      </c>
      <c r="B593" s="86">
        <v>126.0</v>
      </c>
      <c r="C593" s="121" t="s">
        <v>3663</v>
      </c>
      <c r="D593" s="83" t="s">
        <v>3616</v>
      </c>
      <c r="E593" s="33" t="str">
        <f>IFERROR(__xludf.DUMMYFUNCTION("""COMPUTED_VALUE"""),"Школа 2070")</f>
        <v>Школа 2070</v>
      </c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117" t="s">
        <v>29</v>
      </c>
      <c r="B594" s="86">
        <v>127.0</v>
      </c>
      <c r="C594" s="121" t="s">
        <v>3575</v>
      </c>
      <c r="D594" s="83" t="s">
        <v>3616</v>
      </c>
      <c r="E594" s="33" t="str">
        <f>IFERROR(__xludf.DUMMYFUNCTION("""COMPUTED_VALUE"""),"Школа 2072")</f>
        <v>Школа 2072</v>
      </c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117" t="s">
        <v>29</v>
      </c>
      <c r="B595" s="124">
        <v>128.0</v>
      </c>
      <c r="C595" s="123" t="s">
        <v>3728</v>
      </c>
      <c r="D595" s="83" t="s">
        <v>3616</v>
      </c>
      <c r="E595" s="33" t="str">
        <f>IFERROR(__xludf.DUMMYFUNCTION("""COMPUTED_VALUE"""),"Школа 2083")</f>
        <v>Школа 2083</v>
      </c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117" t="s">
        <v>29</v>
      </c>
      <c r="B596" s="116">
        <v>129.0</v>
      </c>
      <c r="C596" s="119" t="s">
        <v>3612</v>
      </c>
      <c r="D596" s="83" t="s">
        <v>3616</v>
      </c>
      <c r="E596" s="33" t="str">
        <f>IFERROR(__xludf.DUMMYFUNCTION("""COMPUTED_VALUE"""),"Школа 2086")</f>
        <v>Школа 2086</v>
      </c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117" t="s">
        <v>29</v>
      </c>
      <c r="B597" s="86">
        <v>130.0</v>
      </c>
      <c r="C597" s="121" t="s">
        <v>3664</v>
      </c>
      <c r="D597" s="83" t="s">
        <v>3616</v>
      </c>
      <c r="E597" s="33" t="str">
        <f>IFERROR(__xludf.DUMMYFUNCTION("""COMPUTED_VALUE"""),"Школа 2087")</f>
        <v>Школа 2087</v>
      </c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117" t="s">
        <v>29</v>
      </c>
      <c r="B598" s="127">
        <v>131.0</v>
      </c>
      <c r="C598" s="119" t="s">
        <v>3729</v>
      </c>
      <c r="D598" s="83" t="s">
        <v>3616</v>
      </c>
      <c r="E598" s="33" t="str">
        <f>IFERROR(__xludf.DUMMYFUNCTION("""COMPUTED_VALUE"""),"Школа 2089")</f>
        <v>Школа 2089</v>
      </c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117" t="s">
        <v>29</v>
      </c>
      <c r="B599" s="116">
        <v>132.0</v>
      </c>
      <c r="C599" s="119" t="s">
        <v>3665</v>
      </c>
      <c r="D599" s="83" t="s">
        <v>3616</v>
      </c>
      <c r="E599" s="33" t="str">
        <f>IFERROR(__xludf.DUMMYFUNCTION("""COMPUTED_VALUE"""),"Школа 2097")</f>
        <v>Школа 2097</v>
      </c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117" t="s">
        <v>29</v>
      </c>
      <c r="B600" s="86">
        <v>133.0</v>
      </c>
      <c r="C600" s="119" t="s">
        <v>3666</v>
      </c>
      <c r="D600" s="83" t="s">
        <v>3616</v>
      </c>
      <c r="E600" s="33" t="str">
        <f>IFERROR(__xludf.DUMMYFUNCTION("""COMPUTED_VALUE"""),"Школа 2098")</f>
        <v>Школа 2098</v>
      </c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117" t="s">
        <v>29</v>
      </c>
      <c r="B601" s="116">
        <v>134.0</v>
      </c>
      <c r="C601" s="119" t="s">
        <v>3614</v>
      </c>
      <c r="D601" s="83" t="s">
        <v>3616</v>
      </c>
      <c r="E601" s="33" t="str">
        <f>IFERROR(__xludf.DUMMYFUNCTION("""COMPUTED_VALUE"""),"Школа 2107")</f>
        <v>Школа 2107</v>
      </c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117" t="s">
        <v>29</v>
      </c>
      <c r="B602" s="124">
        <v>135.0</v>
      </c>
      <c r="C602" s="121" t="s">
        <v>3730</v>
      </c>
      <c r="D602" s="83" t="s">
        <v>3616</v>
      </c>
      <c r="E602" s="33" t="str">
        <f>IFERROR(__xludf.DUMMYFUNCTION("""COMPUTED_VALUE"""),"Школа 2109")</f>
        <v>Школа 2109</v>
      </c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117" t="s">
        <v>29</v>
      </c>
      <c r="B603" s="124">
        <v>136.0</v>
      </c>
      <c r="C603" s="119" t="s">
        <v>3731</v>
      </c>
      <c r="D603" s="83" t="s">
        <v>3616</v>
      </c>
      <c r="E603" s="33" t="str">
        <f>IFERROR(__xludf.DUMMYFUNCTION("""COMPUTED_VALUE"""),"Школа 2114")</f>
        <v>Школа 2114</v>
      </c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117" t="s">
        <v>29</v>
      </c>
      <c r="B604" s="124">
        <v>137.0</v>
      </c>
      <c r="C604" s="125" t="s">
        <v>3732</v>
      </c>
      <c r="D604" s="83" t="s">
        <v>3616</v>
      </c>
      <c r="E604" s="33" t="str">
        <f>IFERROR(__xludf.DUMMYFUNCTION("""COMPUTED_VALUE"""),"Школа 2116")</f>
        <v>Школа 2116</v>
      </c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117" t="s">
        <v>29</v>
      </c>
      <c r="B605" s="86">
        <v>138.0</v>
      </c>
      <c r="C605" s="121" t="s">
        <v>3426</v>
      </c>
      <c r="D605" s="83" t="s">
        <v>3616</v>
      </c>
      <c r="E605" s="33" t="str">
        <f>IFERROR(__xludf.DUMMYFUNCTION("""COMPUTED_VALUE"""),"Школа 2120")</f>
        <v>Школа 2120</v>
      </c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117" t="s">
        <v>29</v>
      </c>
      <c r="B606" s="118">
        <v>139.0</v>
      </c>
      <c r="C606" s="119" t="s">
        <v>3733</v>
      </c>
      <c r="D606" s="83" t="s">
        <v>3616</v>
      </c>
      <c r="E606" s="33" t="str">
        <f>IFERROR(__xludf.DUMMYFUNCTION("""COMPUTED_VALUE"""),"Школа 2121")</f>
        <v>Школа 2121</v>
      </c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117" t="s">
        <v>29</v>
      </c>
      <c r="B607" s="127">
        <v>140.0</v>
      </c>
      <c r="C607" s="119" t="s">
        <v>3453</v>
      </c>
      <c r="D607" s="83" t="s">
        <v>3616</v>
      </c>
      <c r="E607" s="33" t="str">
        <f>IFERROR(__xludf.DUMMYFUNCTION("""COMPUTED_VALUE"""),"Школа 2127")</f>
        <v>Школа 2127</v>
      </c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117" t="s">
        <v>29</v>
      </c>
      <c r="B608" s="105">
        <v>141.0</v>
      </c>
      <c r="C608" s="130" t="s">
        <v>3667</v>
      </c>
      <c r="D608" s="83" t="s">
        <v>3616</v>
      </c>
      <c r="E608" s="33" t="str">
        <f>IFERROR(__xludf.DUMMYFUNCTION("""COMPUTED_VALUE"""),"Курчатовская школа")</f>
        <v>Курчатовская школа</v>
      </c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117" t="s">
        <v>29</v>
      </c>
      <c r="B609" s="118">
        <v>142.0</v>
      </c>
      <c r="C609" s="119" t="s">
        <v>3668</v>
      </c>
      <c r="D609" s="83" t="s">
        <v>3616</v>
      </c>
      <c r="E609" s="33" t="str">
        <f>IFERROR(__xludf.DUMMYFUNCTION("""COMPUTED_VALUE"""),"Школа в Некрасовке")</f>
        <v>Школа в Некрасовке</v>
      </c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117" t="s">
        <v>29</v>
      </c>
      <c r="B610" s="118">
        <v>143.0</v>
      </c>
      <c r="C610" s="126" t="s">
        <v>3734</v>
      </c>
      <c r="D610" s="83" t="s">
        <v>3616</v>
      </c>
      <c r="E610" s="33" t="str">
        <f>IFERROR(__xludf.DUMMYFUNCTION("""COMPUTED_VALUE"""),"Школа Глория")</f>
        <v>Школа Глория</v>
      </c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117" t="s">
        <v>29</v>
      </c>
      <c r="B611" s="118">
        <v>144.0</v>
      </c>
      <c r="C611" s="125" t="s">
        <v>3429</v>
      </c>
      <c r="D611" s="83" t="s">
        <v>3616</v>
      </c>
      <c r="E611" s="33" t="str">
        <f>IFERROR(__xludf.DUMMYFUNCTION("""COMPUTED_VALUE"""),"Инженерно-техническая школа им. дважды Героя Советского Союза П. Р. Поповича")</f>
        <v>Инженерно-техническая школа им. дважды Героя Советского Союза П. Р. Поповича</v>
      </c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117" t="s">
        <v>29</v>
      </c>
      <c r="B612" s="105">
        <v>145.0</v>
      </c>
      <c r="C612" s="125" t="s">
        <v>3670</v>
      </c>
      <c r="D612" s="83" t="s">
        <v>3616</v>
      </c>
      <c r="E612" s="33" t="str">
        <f>IFERROR(__xludf.DUMMYFUNCTION("""COMPUTED_VALUE"""),"Образовательный центр Протон")</f>
        <v>Образовательный центр Протон</v>
      </c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117" t="s">
        <v>29</v>
      </c>
      <c r="B613" s="129">
        <v>146.0</v>
      </c>
      <c r="C613" s="125" t="s">
        <v>3486</v>
      </c>
      <c r="D613" s="83" t="s">
        <v>3616</v>
      </c>
      <c r="E613" s="33" t="str">
        <f>IFERROR(__xludf.DUMMYFUNCTION("""COMPUTED_VALUE"""),"Школа Дмитровский им. Героя Советского Союза В. П. Кислякова")</f>
        <v>Школа Дмитровский им. Героя Советского Союза В. П. Кислякова</v>
      </c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117" t="s">
        <v>29</v>
      </c>
      <c r="B614" s="129">
        <v>147.0</v>
      </c>
      <c r="C614" s="125" t="s">
        <v>3673</v>
      </c>
      <c r="D614" s="83" t="s">
        <v>3616</v>
      </c>
      <c r="E614" s="33" t="str">
        <f>IFERROR(__xludf.DUMMYFUNCTION("""COMPUTED_VALUE"""),"Школа Интеграл")</f>
        <v>Школа Интеграл</v>
      </c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117" t="s">
        <v>29</v>
      </c>
      <c r="B615" s="124">
        <v>148.0</v>
      </c>
      <c r="C615" s="119" t="s">
        <v>3671</v>
      </c>
      <c r="D615" s="83" t="s">
        <v>3616</v>
      </c>
      <c r="E615" s="33" t="str">
        <f>IFERROR(__xludf.DUMMYFUNCTION("""COMPUTED_VALUE"""),"Школа Покровский квартал")</f>
        <v>Школа Покровский квартал</v>
      </c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117" t="s">
        <v>29</v>
      </c>
      <c r="B616" s="124">
        <v>149.0</v>
      </c>
      <c r="C616" s="119" t="s">
        <v>3576</v>
      </c>
      <c r="D616" s="83" t="s">
        <v>3616</v>
      </c>
      <c r="E616" s="33" t="str">
        <f>IFERROR(__xludf.DUMMYFUNCTION("""COMPUTED_VALUE"""),"Школа Свиблово")</f>
        <v>Школа Свиблово</v>
      </c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117" t="s">
        <v>29</v>
      </c>
      <c r="B617" s="118">
        <v>150.0</v>
      </c>
      <c r="C617" s="130" t="s">
        <v>3578</v>
      </c>
      <c r="D617" s="83" t="s">
        <v>3616</v>
      </c>
      <c r="E617" s="33" t="str">
        <f>IFERROR(__xludf.DUMMYFUNCTION("""COMPUTED_VALUE"""),"Школа им. Артема Боровика")</f>
        <v>Школа им. Артема Боровика</v>
      </c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117" t="s">
        <v>29</v>
      </c>
      <c r="B618" s="105">
        <v>151.0</v>
      </c>
      <c r="C618" s="119" t="s">
        <v>3367</v>
      </c>
      <c r="D618" s="83" t="s">
        <v>3616</v>
      </c>
      <c r="E618" s="33" t="str">
        <f>IFERROR(__xludf.DUMMYFUNCTION("""COMPUTED_VALUE"""),"Школа им. В. В. Маяковского")</f>
        <v>Школа им. В. В. Маяковского</v>
      </c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117" t="s">
        <v>29</v>
      </c>
      <c r="B619" s="118">
        <v>152.0</v>
      </c>
      <c r="C619" s="125" t="s">
        <v>3672</v>
      </c>
      <c r="D619" s="83" t="s">
        <v>3616</v>
      </c>
      <c r="E619" s="33" t="str">
        <f>IFERROR(__xludf.DUMMYFUNCTION("""COMPUTED_VALUE"""),"Школа Марьина Роща им. В. Ф. Орлова")</f>
        <v>Школа Марьина Роща им. В. Ф. Орлова</v>
      </c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117" t="s">
        <v>29</v>
      </c>
      <c r="B620" s="124">
        <v>153.0</v>
      </c>
      <c r="C620" s="125" t="s">
        <v>3735</v>
      </c>
      <c r="D620" s="83" t="s">
        <v>3616</v>
      </c>
      <c r="E620" s="33" t="str">
        <f>IFERROR(__xludf.DUMMYFUNCTION("""COMPUTED_VALUE"""),"Школа на проспекте Вернадского")</f>
        <v>Школа на проспекте Вернадского</v>
      </c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117" t="s">
        <v>29</v>
      </c>
      <c r="B621" s="124">
        <v>154.0</v>
      </c>
      <c r="C621" s="130" t="s">
        <v>3736</v>
      </c>
      <c r="D621" s="83" t="s">
        <v>3616</v>
      </c>
      <c r="E621" s="33" t="str">
        <f>IFERROR(__xludf.DUMMYFUNCTION("""COMPUTED_VALUE"""),"профессиональное образовательное Первый Московский Образовательный Комплекс")</f>
        <v>профессиональное образовательное Первый Московский Образовательный Комплекс</v>
      </c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7" t="s">
        <v>31</v>
      </c>
      <c r="B622" s="129">
        <v>1.0</v>
      </c>
      <c r="C622" s="128" t="s">
        <v>3430</v>
      </c>
      <c r="D622" s="83" t="s">
        <v>3616</v>
      </c>
      <c r="E622" s="33" t="str">
        <f>IFERROR(__xludf.DUMMYFUNCTION("""COMPUTED_VALUE"""),"Школа 7")</f>
        <v>Школа 7</v>
      </c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7" t="s">
        <v>31</v>
      </c>
      <c r="B623" s="127">
        <v>2.0</v>
      </c>
      <c r="C623" s="130" t="s">
        <v>3492</v>
      </c>
      <c r="D623" s="83" t="s">
        <v>3616</v>
      </c>
      <c r="E623" s="33" t="str">
        <f>IFERROR(__xludf.DUMMYFUNCTION("""COMPUTED_VALUE"""),"Школа 17")</f>
        <v>Школа 17</v>
      </c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7" t="s">
        <v>31</v>
      </c>
      <c r="B624" s="129">
        <v>3.0</v>
      </c>
      <c r="C624" s="128" t="s">
        <v>3737</v>
      </c>
      <c r="D624" s="83" t="s">
        <v>3616</v>
      </c>
      <c r="E624" s="33" t="str">
        <f>IFERROR(__xludf.DUMMYFUNCTION("""COMPUTED_VALUE"""),"Школа 45")</f>
        <v>Школа 45</v>
      </c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7" t="s">
        <v>31</v>
      </c>
      <c r="B625" s="132">
        <v>4.0</v>
      </c>
      <c r="C625" s="128" t="s">
        <v>3738</v>
      </c>
      <c r="D625" s="83" t="s">
        <v>3616</v>
      </c>
      <c r="E625" s="33" t="str">
        <f>IFERROR(__xludf.DUMMYFUNCTION("""COMPUTED_VALUE"""),"Школа 64")</f>
        <v>Школа 64</v>
      </c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7" t="s">
        <v>31</v>
      </c>
      <c r="B626" s="135">
        <v>5.0</v>
      </c>
      <c r="C626" s="136" t="s">
        <v>3739</v>
      </c>
      <c r="D626" s="83" t="s">
        <v>3616</v>
      </c>
      <c r="E626" s="33" t="str">
        <f>IFERROR(__xludf.DUMMYFUNCTION("""COMPUTED_VALUE"""),"Школа 152")</f>
        <v>Школа 152</v>
      </c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7" t="s">
        <v>31</v>
      </c>
      <c r="B627" s="137">
        <v>6.0</v>
      </c>
      <c r="C627" s="138" t="s">
        <v>3494</v>
      </c>
      <c r="D627" s="83" t="s">
        <v>3616</v>
      </c>
      <c r="E627" s="33" t="str">
        <f>IFERROR(__xludf.DUMMYFUNCTION("""COMPUTED_VALUE"""),"Школа 285")</f>
        <v>Школа 285</v>
      </c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7" t="s">
        <v>31</v>
      </c>
      <c r="B628" s="135">
        <v>7.0</v>
      </c>
      <c r="C628" s="139" t="s">
        <v>3740</v>
      </c>
      <c r="D628" s="83" t="s">
        <v>3616</v>
      </c>
      <c r="E628" s="33" t="str">
        <f>IFERROR(__xludf.DUMMYFUNCTION("""COMPUTED_VALUE"""),"Школа 338")</f>
        <v>Школа 338</v>
      </c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7" t="s">
        <v>31</v>
      </c>
      <c r="B629" s="140">
        <v>8.0</v>
      </c>
      <c r="C629" s="136" t="s">
        <v>3677</v>
      </c>
      <c r="D629" s="83" t="s">
        <v>3616</v>
      </c>
      <c r="E629" s="33" t="str">
        <f>IFERROR(__xludf.DUMMYFUNCTION("""COMPUTED_VALUE"""),"Школа 354")</f>
        <v>Школа 354</v>
      </c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7" t="s">
        <v>31</v>
      </c>
      <c r="B630" s="137">
        <v>9.0</v>
      </c>
      <c r="C630" s="141" t="s">
        <v>3619</v>
      </c>
      <c r="D630" s="83" t="s">
        <v>3616</v>
      </c>
      <c r="E630" s="33" t="str">
        <f>IFERROR(__xludf.DUMMYFUNCTION("""COMPUTED_VALUE"""),"Школа 444")</f>
        <v>Школа 444</v>
      </c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7" t="s">
        <v>31</v>
      </c>
      <c r="B631" s="135">
        <v>10.0</v>
      </c>
      <c r="C631" s="136" t="s">
        <v>3741</v>
      </c>
      <c r="D631" s="83" t="s">
        <v>3616</v>
      </c>
      <c r="E631" s="33" t="str">
        <f>IFERROR(__xludf.DUMMYFUNCTION("""COMPUTED_VALUE"""),"Школа 460")</f>
        <v>Школа 460</v>
      </c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7" t="s">
        <v>31</v>
      </c>
      <c r="B632" s="135">
        <v>11.0</v>
      </c>
      <c r="C632" s="141" t="s">
        <v>3742</v>
      </c>
      <c r="D632" s="83" t="s">
        <v>3616</v>
      </c>
      <c r="E632" s="33" t="str">
        <f>IFERROR(__xludf.DUMMYFUNCTION("""COMPUTED_VALUE"""),"Школа 403")</f>
        <v>Школа 403</v>
      </c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7" t="s">
        <v>31</v>
      </c>
      <c r="B633" s="142">
        <v>12.0</v>
      </c>
      <c r="C633" s="143" t="s">
        <v>3743</v>
      </c>
      <c r="D633" s="83" t="s">
        <v>3616</v>
      </c>
      <c r="E633" s="33" t="str">
        <f>IFERROR(__xludf.DUMMYFUNCTION("""COMPUTED_VALUE"""),"Школа 498")</f>
        <v>Школа 498</v>
      </c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7" t="s">
        <v>31</v>
      </c>
      <c r="B634" s="144">
        <v>13.0</v>
      </c>
      <c r="C634" s="139" t="s">
        <v>3553</v>
      </c>
      <c r="D634" s="83" t="s">
        <v>3616</v>
      </c>
      <c r="E634" s="33" t="str">
        <f>IFERROR(__xludf.DUMMYFUNCTION("""COMPUTED_VALUE"""),"Школа 508")</f>
        <v>Школа 508</v>
      </c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7" t="s">
        <v>31</v>
      </c>
      <c r="B635" s="142">
        <v>14.0</v>
      </c>
      <c r="C635" s="139" t="s">
        <v>3620</v>
      </c>
      <c r="D635" s="83" t="s">
        <v>3616</v>
      </c>
      <c r="E635" s="33" t="str">
        <f>IFERROR(__xludf.DUMMYFUNCTION("""COMPUTED_VALUE"""),"Школа 548")</f>
        <v>Школа 548</v>
      </c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7" t="s">
        <v>31</v>
      </c>
      <c r="B636" s="144">
        <v>15.0</v>
      </c>
      <c r="C636" s="139" t="s">
        <v>3680</v>
      </c>
      <c r="D636" s="83" t="s">
        <v>3616</v>
      </c>
      <c r="E636" s="33" t="str">
        <f>IFERROR(__xludf.DUMMYFUNCTION("""COMPUTED_VALUE"""),"Школа 627")</f>
        <v>Школа 627</v>
      </c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7" t="s">
        <v>31</v>
      </c>
      <c r="B637" s="142">
        <v>16.0</v>
      </c>
      <c r="C637" s="139" t="s">
        <v>3744</v>
      </c>
      <c r="D637" s="83" t="s">
        <v>3616</v>
      </c>
      <c r="E637" s="33" t="str">
        <f>IFERROR(__xludf.DUMMYFUNCTION("""COMPUTED_VALUE"""),"Школа 630")</f>
        <v>Школа 630</v>
      </c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7" t="s">
        <v>31</v>
      </c>
      <c r="B638" s="144">
        <v>17.0</v>
      </c>
      <c r="C638" s="141" t="s">
        <v>3745</v>
      </c>
      <c r="D638" s="83" t="s">
        <v>3616</v>
      </c>
      <c r="E638" s="33" t="str">
        <f>IFERROR(__xludf.DUMMYFUNCTION("""COMPUTED_VALUE"""),"Школа 667")</f>
        <v>Школа 667</v>
      </c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7" t="s">
        <v>31</v>
      </c>
      <c r="B639" s="144">
        <v>18.0</v>
      </c>
      <c r="C639" s="139" t="s">
        <v>3587</v>
      </c>
      <c r="D639" s="83" t="s">
        <v>3616</v>
      </c>
      <c r="E639" s="33" t="str">
        <f>IFERROR(__xludf.DUMMYFUNCTION("""COMPUTED_VALUE"""),"Школа 760")</f>
        <v>Школа 760</v>
      </c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7" t="s">
        <v>31</v>
      </c>
      <c r="B640" s="135">
        <v>19.0</v>
      </c>
      <c r="C640" s="136" t="s">
        <v>3746</v>
      </c>
      <c r="D640" s="83" t="s">
        <v>3616</v>
      </c>
      <c r="E640" s="33" t="str">
        <f>IFERROR(__xludf.DUMMYFUNCTION("""COMPUTED_VALUE"""),"Школа 771")</f>
        <v>Школа 771</v>
      </c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7" t="s">
        <v>31</v>
      </c>
      <c r="B641" s="142">
        <v>20.0</v>
      </c>
      <c r="C641" s="136" t="s">
        <v>3377</v>
      </c>
      <c r="D641" s="83" t="s">
        <v>3616</v>
      </c>
      <c r="E641" s="33" t="str">
        <f>IFERROR(__xludf.DUMMYFUNCTION("""COMPUTED_VALUE"""),"Школа 814")</f>
        <v>Школа 814</v>
      </c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7" t="s">
        <v>31</v>
      </c>
      <c r="B642" s="140">
        <v>21.0</v>
      </c>
      <c r="C642" s="145" t="s">
        <v>3466</v>
      </c>
      <c r="D642" s="83" t="s">
        <v>3616</v>
      </c>
      <c r="E642" s="33" t="str">
        <f>IFERROR(__xludf.DUMMYFUNCTION("""COMPUTED_VALUE"""),"Школа 853")</f>
        <v>Школа 853</v>
      </c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7" t="s">
        <v>31</v>
      </c>
      <c r="B643" s="140">
        <v>22.0</v>
      </c>
      <c r="C643" s="145" t="s">
        <v>3437</v>
      </c>
      <c r="D643" s="83" t="s">
        <v>3616</v>
      </c>
      <c r="E643" s="33" t="str">
        <f>IFERROR(__xludf.DUMMYFUNCTION("""COMPUTED_VALUE"""),"Школа 947")</f>
        <v>Школа 947</v>
      </c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7" t="s">
        <v>31</v>
      </c>
      <c r="B644" s="135">
        <v>23.0</v>
      </c>
      <c r="C644" s="136" t="s">
        <v>3502</v>
      </c>
      <c r="D644" s="83" t="s">
        <v>3616</v>
      </c>
      <c r="E644" s="33" t="str">
        <f>IFERROR(__xludf.DUMMYFUNCTION("""COMPUTED_VALUE"""),"Школа 962")</f>
        <v>Школа 962</v>
      </c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7" t="s">
        <v>31</v>
      </c>
      <c r="B645" s="140">
        <v>24.0</v>
      </c>
      <c r="C645" s="146" t="s">
        <v>3747</v>
      </c>
      <c r="D645" s="83" t="s">
        <v>3616</v>
      </c>
      <c r="E645" s="33" t="str">
        <f>IFERROR(__xludf.DUMMYFUNCTION("""COMPUTED_VALUE"""),"Школа 1000")</f>
        <v>Школа 1000</v>
      </c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7" t="s">
        <v>31</v>
      </c>
      <c r="B646" s="142">
        <v>25.0</v>
      </c>
      <c r="C646" s="141" t="s">
        <v>3468</v>
      </c>
      <c r="D646" s="83" t="s">
        <v>3616</v>
      </c>
      <c r="E646" s="33" t="str">
        <f>IFERROR(__xludf.DUMMYFUNCTION("""COMPUTED_VALUE"""),"Школа 1101")</f>
        <v>Школа 1101</v>
      </c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7" t="s">
        <v>31</v>
      </c>
      <c r="B647" s="142">
        <v>26.0</v>
      </c>
      <c r="C647" s="145" t="s">
        <v>3623</v>
      </c>
      <c r="D647" s="83" t="s">
        <v>3616</v>
      </c>
      <c r="E647" s="33" t="str">
        <f>IFERROR(__xludf.DUMMYFUNCTION("""COMPUTED_VALUE"""),"Школа 1158")</f>
        <v>Школа 1158</v>
      </c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7" t="s">
        <v>31</v>
      </c>
      <c r="B648" s="135">
        <v>27.0</v>
      </c>
      <c r="C648" s="141" t="s">
        <v>3624</v>
      </c>
      <c r="D648" s="83" t="s">
        <v>3616</v>
      </c>
      <c r="E648" s="33" t="str">
        <f>IFERROR(__xludf.DUMMYFUNCTION("""COMPUTED_VALUE"""),"Школа 1194")</f>
        <v>Школа 1194</v>
      </c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7" t="s">
        <v>31</v>
      </c>
      <c r="B649" s="137">
        <v>28.0</v>
      </c>
      <c r="C649" s="141" t="s">
        <v>3385</v>
      </c>
      <c r="D649" s="83" t="s">
        <v>3616</v>
      </c>
      <c r="E649" s="33" t="str">
        <f>IFERROR(__xludf.DUMMYFUNCTION("""COMPUTED_VALUE"""),"Школа 1208")</f>
        <v>Школа 1208</v>
      </c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7" t="s">
        <v>31</v>
      </c>
      <c r="B650" s="147">
        <v>29.0</v>
      </c>
      <c r="C650" s="139" t="s">
        <v>3748</v>
      </c>
      <c r="D650" s="83" t="s">
        <v>3616</v>
      </c>
      <c r="E650" s="33" t="str">
        <f>IFERROR(__xludf.DUMMYFUNCTION("""COMPUTED_VALUE"""),"Школа 1212")</f>
        <v>Школа 1212</v>
      </c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7" t="s">
        <v>31</v>
      </c>
      <c r="B651" s="147">
        <v>30.0</v>
      </c>
      <c r="C651" s="143" t="s">
        <v>3386</v>
      </c>
      <c r="D651" s="83" t="s">
        <v>3616</v>
      </c>
      <c r="E651" s="33" t="str">
        <f>IFERROR(__xludf.DUMMYFUNCTION("""COMPUTED_VALUE"""),"Школа 1231")</f>
        <v>Школа 1231</v>
      </c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7" t="s">
        <v>31</v>
      </c>
      <c r="B652" s="142">
        <v>31.0</v>
      </c>
      <c r="C652" s="136" t="s">
        <v>3387</v>
      </c>
      <c r="D652" s="83" t="s">
        <v>3616</v>
      </c>
      <c r="E652" s="33" t="str">
        <f>IFERROR(__xludf.DUMMYFUNCTION("""COMPUTED_VALUE"""),"Школа 1238")</f>
        <v>Школа 1238</v>
      </c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7" t="s">
        <v>31</v>
      </c>
      <c r="B653" s="144">
        <v>32.0</v>
      </c>
      <c r="C653" s="138" t="s">
        <v>3749</v>
      </c>
      <c r="D653" s="83" t="s">
        <v>3616</v>
      </c>
      <c r="E653" s="33" t="str">
        <f>IFERROR(__xludf.DUMMYFUNCTION("""COMPUTED_VALUE"""),"Школа 1252")</f>
        <v>Школа 1252</v>
      </c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7" t="s">
        <v>31</v>
      </c>
      <c r="B654" s="148">
        <v>33.0</v>
      </c>
      <c r="C654" s="143" t="s">
        <v>3394</v>
      </c>
      <c r="D654" s="83" t="s">
        <v>3616</v>
      </c>
      <c r="E654" s="33" t="str">
        <f>IFERROR(__xludf.DUMMYFUNCTION("""COMPUTED_VALUE"""),"Школа 1298")</f>
        <v>Школа 1298</v>
      </c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7" t="s">
        <v>31</v>
      </c>
      <c r="B655" s="135">
        <v>34.0</v>
      </c>
      <c r="C655" s="143" t="s">
        <v>3750</v>
      </c>
      <c r="D655" s="83" t="s">
        <v>3616</v>
      </c>
      <c r="E655" s="33" t="str">
        <f>IFERROR(__xludf.DUMMYFUNCTION("""COMPUTED_VALUE"""),"Школа 1302")</f>
        <v>Школа 1302</v>
      </c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7" t="s">
        <v>31</v>
      </c>
      <c r="B656" s="149">
        <v>35.0</v>
      </c>
      <c r="C656" s="143" t="s">
        <v>3751</v>
      </c>
      <c r="D656" s="83" t="s">
        <v>3616</v>
      </c>
      <c r="E656" s="33" t="str">
        <f>IFERROR(__xludf.DUMMYFUNCTION("""COMPUTED_VALUE"""),"Школа 1317")</f>
        <v>Школа 1317</v>
      </c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7" t="s">
        <v>31</v>
      </c>
      <c r="B657" s="135">
        <v>36.0</v>
      </c>
      <c r="C657" s="138" t="s">
        <v>3626</v>
      </c>
      <c r="D657" s="83" t="s">
        <v>3616</v>
      </c>
      <c r="E657" s="33" t="str">
        <f>IFERROR(__xludf.DUMMYFUNCTION("""COMPUTED_VALUE"""),"Школа 1329")</f>
        <v>Школа 1329</v>
      </c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7" t="s">
        <v>31</v>
      </c>
      <c r="B658" s="149">
        <v>37.0</v>
      </c>
      <c r="C658" s="143" t="s">
        <v>3603</v>
      </c>
      <c r="D658" s="83" t="s">
        <v>3616</v>
      </c>
      <c r="E658" s="33" t="str">
        <f>IFERROR(__xludf.DUMMYFUNCTION("""COMPUTED_VALUE"""),"Школа 1357")</f>
        <v>Школа 1357</v>
      </c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7" t="s">
        <v>31</v>
      </c>
      <c r="B659" s="147">
        <v>38.0</v>
      </c>
      <c r="C659" s="136" t="s">
        <v>3752</v>
      </c>
      <c r="D659" s="83" t="s">
        <v>3616</v>
      </c>
      <c r="E659" s="33" t="str">
        <f>IFERROR(__xludf.DUMMYFUNCTION("""COMPUTED_VALUE"""),"Школа 1358")</f>
        <v>Школа 1358</v>
      </c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7" t="s">
        <v>31</v>
      </c>
      <c r="B660" s="142">
        <v>39.0</v>
      </c>
      <c r="C660" s="139" t="s">
        <v>3568</v>
      </c>
      <c r="D660" s="83" t="s">
        <v>3616</v>
      </c>
      <c r="E660" s="33" t="str">
        <f>IFERROR(__xludf.DUMMYFUNCTION("""COMPUTED_VALUE"""),"Школа 1362")</f>
        <v>Школа 1362</v>
      </c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7" t="s">
        <v>31</v>
      </c>
      <c r="B661" s="140">
        <v>40.0</v>
      </c>
      <c r="C661" s="136" t="s">
        <v>3628</v>
      </c>
      <c r="D661" s="83" t="s">
        <v>3616</v>
      </c>
      <c r="E661" s="33" t="str">
        <f>IFERROR(__xludf.DUMMYFUNCTION("""COMPUTED_VALUE"""),"Школа 1363")</f>
        <v>Школа 1363</v>
      </c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7" t="s">
        <v>31</v>
      </c>
      <c r="B662" s="137">
        <v>41.0</v>
      </c>
      <c r="C662" s="139" t="s">
        <v>3629</v>
      </c>
      <c r="D662" s="83" t="s">
        <v>3616</v>
      </c>
      <c r="E662" s="33" t="str">
        <f>IFERROR(__xludf.DUMMYFUNCTION("""COMPUTED_VALUE"""),"Школа 1367")</f>
        <v>Школа 1367</v>
      </c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7" t="s">
        <v>31</v>
      </c>
      <c r="B663" s="150">
        <v>42.0</v>
      </c>
      <c r="C663" s="136" t="s">
        <v>3630</v>
      </c>
      <c r="D663" s="83" t="s">
        <v>3616</v>
      </c>
      <c r="E663" s="33" t="str">
        <f>IFERROR(__xludf.DUMMYFUNCTION("""COMPUTED_VALUE"""),"Школа 1375")</f>
        <v>Школа 1375</v>
      </c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7" t="s">
        <v>31</v>
      </c>
      <c r="B664" s="137">
        <v>43.0</v>
      </c>
      <c r="C664" s="141" t="s">
        <v>3753</v>
      </c>
      <c r="D664" s="83" t="s">
        <v>3616</v>
      </c>
      <c r="E664" s="33" t="str">
        <f>IFERROR(__xludf.DUMMYFUNCTION("""COMPUTED_VALUE"""),"Школа 1384")</f>
        <v>Школа 1384</v>
      </c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7" t="s">
        <v>31</v>
      </c>
      <c r="B665" s="150">
        <v>44.0</v>
      </c>
      <c r="C665" s="145" t="s">
        <v>3605</v>
      </c>
      <c r="D665" s="83" t="s">
        <v>3616</v>
      </c>
      <c r="E665" s="33" t="str">
        <f>IFERROR(__xludf.DUMMYFUNCTION("""COMPUTED_VALUE"""),"Школа 1391")</f>
        <v>Школа 1391</v>
      </c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7" t="s">
        <v>31</v>
      </c>
      <c r="B666" s="147">
        <v>45.0</v>
      </c>
      <c r="C666" s="136" t="s">
        <v>3474</v>
      </c>
      <c r="D666" s="83" t="s">
        <v>3616</v>
      </c>
      <c r="E666" s="33" t="str">
        <f>IFERROR(__xludf.DUMMYFUNCTION("""COMPUTED_VALUE"""),"Школа 1400")</f>
        <v>Школа 1400</v>
      </c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7" t="s">
        <v>31</v>
      </c>
      <c r="B667" s="137">
        <v>46.0</v>
      </c>
      <c r="C667" s="139" t="s">
        <v>3631</v>
      </c>
      <c r="D667" s="83" t="s">
        <v>3616</v>
      </c>
      <c r="E667" s="33" t="str">
        <f>IFERROR(__xludf.DUMMYFUNCTION("""COMPUTED_VALUE"""),"Школа 1409")</f>
        <v>Школа 1409</v>
      </c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7" t="s">
        <v>31</v>
      </c>
      <c r="B668" s="135">
        <v>47.0</v>
      </c>
      <c r="C668" s="143" t="s">
        <v>3632</v>
      </c>
      <c r="D668" s="83" t="s">
        <v>3616</v>
      </c>
      <c r="E668" s="33" t="str">
        <f>IFERROR(__xludf.DUMMYFUNCTION("""COMPUTED_VALUE"""),"Школа 1420")</f>
        <v>Школа 1420</v>
      </c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7" t="s">
        <v>31</v>
      </c>
      <c r="B669" s="135">
        <v>48.0</v>
      </c>
      <c r="C669" s="138" t="s">
        <v>3754</v>
      </c>
      <c r="D669" s="83" t="s">
        <v>3616</v>
      </c>
      <c r="E669" s="33" t="str">
        <f>IFERROR(__xludf.DUMMYFUNCTION("""COMPUTED_VALUE"""),"Школа 1448")</f>
        <v>Школа 1448</v>
      </c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7" t="s">
        <v>31</v>
      </c>
      <c r="B670" s="148">
        <v>49.0</v>
      </c>
      <c r="C670" s="138" t="s">
        <v>3755</v>
      </c>
      <c r="D670" s="83" t="s">
        <v>3616</v>
      </c>
      <c r="E670" s="33" t="str">
        <f>IFERROR(__xludf.DUMMYFUNCTION("""COMPUTED_VALUE"""),"Школа 1449")</f>
        <v>Школа 1449</v>
      </c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7" t="s">
        <v>31</v>
      </c>
      <c r="B671" s="149">
        <v>50.0</v>
      </c>
      <c r="C671" s="138" t="s">
        <v>3635</v>
      </c>
      <c r="D671" s="83" t="s">
        <v>3616</v>
      </c>
      <c r="E671" s="33" t="str">
        <f>IFERROR(__xludf.DUMMYFUNCTION("""COMPUTED_VALUE"""),"Школа 1474")</f>
        <v>Школа 1474</v>
      </c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7" t="s">
        <v>31</v>
      </c>
      <c r="B672" s="135">
        <v>51.0</v>
      </c>
      <c r="C672" s="143" t="s">
        <v>3404</v>
      </c>
      <c r="D672" s="83" t="s">
        <v>3616</v>
      </c>
      <c r="E672" s="33" t="str">
        <f>IFERROR(__xludf.DUMMYFUNCTION("""COMPUTED_VALUE"""),"Школа 1494")</f>
        <v>Школа 1494</v>
      </c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7" t="s">
        <v>31</v>
      </c>
      <c r="B673" s="147">
        <v>52.0</v>
      </c>
      <c r="C673" s="151" t="s">
        <v>3636</v>
      </c>
      <c r="D673" s="83" t="s">
        <v>3616</v>
      </c>
      <c r="E673" s="33" t="str">
        <f>IFERROR(__xludf.DUMMYFUNCTION("""COMPUTED_VALUE"""),"Школа 1501")</f>
        <v>Школа 1501</v>
      </c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7" t="s">
        <v>31</v>
      </c>
      <c r="B674" s="152">
        <v>53.0</v>
      </c>
      <c r="C674" s="138" t="s">
        <v>3637</v>
      </c>
      <c r="D674" s="83" t="s">
        <v>3616</v>
      </c>
      <c r="E674" s="33" t="str">
        <f>IFERROR(__xludf.DUMMYFUNCTION("""COMPUTED_VALUE"""),"Школа 1502")</f>
        <v>Школа 1502</v>
      </c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7" t="s">
        <v>31</v>
      </c>
      <c r="B675" s="149">
        <v>54.0</v>
      </c>
      <c r="C675" s="138" t="s">
        <v>3756</v>
      </c>
      <c r="D675" s="83" t="s">
        <v>3616</v>
      </c>
      <c r="E675" s="33" t="str">
        <f>IFERROR(__xludf.DUMMYFUNCTION("""COMPUTED_VALUE"""),"Школа 1503")</f>
        <v>Школа 1503</v>
      </c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7" t="s">
        <v>31</v>
      </c>
      <c r="B676" s="147">
        <v>55.0</v>
      </c>
      <c r="C676" s="153" t="s">
        <v>3757</v>
      </c>
      <c r="D676" s="83" t="s">
        <v>3616</v>
      </c>
      <c r="E676" s="33" t="str">
        <f>IFERROR(__xludf.DUMMYFUNCTION("""COMPUTED_VALUE"""),"Школа 1504")</f>
        <v>Школа 1504</v>
      </c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7" t="s">
        <v>31</v>
      </c>
      <c r="B677" s="147">
        <v>56.0</v>
      </c>
      <c r="C677" s="143" t="s">
        <v>3323</v>
      </c>
      <c r="D677" s="83" t="s">
        <v>3616</v>
      </c>
      <c r="E677" s="33" t="str">
        <f>IFERROR(__xludf.DUMMYFUNCTION("""COMPUTED_VALUE"""),"Школа 1505")</f>
        <v>Школа 1505</v>
      </c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7" t="s">
        <v>31</v>
      </c>
      <c r="B678" s="144">
        <v>57.0</v>
      </c>
      <c r="C678" s="138" t="s">
        <v>3405</v>
      </c>
      <c r="D678" s="83" t="s">
        <v>3616</v>
      </c>
      <c r="E678" s="33" t="str">
        <f>IFERROR(__xludf.DUMMYFUNCTION("""COMPUTED_VALUE"""),"Школа 1508")</f>
        <v>Школа 1508</v>
      </c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7" t="s">
        <v>31</v>
      </c>
      <c r="B679" s="149">
        <v>58.0</v>
      </c>
      <c r="C679" s="139" t="s">
        <v>3640</v>
      </c>
      <c r="D679" s="83" t="s">
        <v>3616</v>
      </c>
      <c r="E679" s="33" t="str">
        <f>IFERROR(__xludf.DUMMYFUNCTION("""COMPUTED_VALUE"""),"Школа 1517")</f>
        <v>Школа 1517</v>
      </c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7" t="s">
        <v>31</v>
      </c>
      <c r="B680" s="149">
        <v>59.0</v>
      </c>
      <c r="C680" s="138" t="s">
        <v>3758</v>
      </c>
      <c r="D680" s="83" t="s">
        <v>3616</v>
      </c>
      <c r="E680" s="33" t="str">
        <f>IFERROR(__xludf.DUMMYFUNCTION("""COMPUTED_VALUE"""),"Школа 1518")</f>
        <v>Школа 1518</v>
      </c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7" t="s">
        <v>31</v>
      </c>
      <c r="B681" s="147">
        <v>60.0</v>
      </c>
      <c r="C681" s="143" t="s">
        <v>3406</v>
      </c>
      <c r="D681" s="83" t="s">
        <v>3616</v>
      </c>
      <c r="E681" s="33" t="str">
        <f>IFERROR(__xludf.DUMMYFUNCTION("""COMPUTED_VALUE"""),"Школа 1520")</f>
        <v>Школа 1520</v>
      </c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7" t="s">
        <v>31</v>
      </c>
      <c r="B682" s="142">
        <v>61.0</v>
      </c>
      <c r="C682" s="138" t="s">
        <v>3705</v>
      </c>
      <c r="D682" s="83" t="s">
        <v>3616</v>
      </c>
      <c r="E682" s="33" t="str">
        <f>IFERROR(__xludf.DUMMYFUNCTION("""COMPUTED_VALUE"""),"Школа 1532")</f>
        <v>Школа 1532</v>
      </c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7" t="s">
        <v>31</v>
      </c>
      <c r="B683" s="140">
        <v>62.0</v>
      </c>
      <c r="C683" s="136" t="s">
        <v>3643</v>
      </c>
      <c r="D683" s="83" t="s">
        <v>3616</v>
      </c>
      <c r="E683" s="33" t="str">
        <f>IFERROR(__xludf.DUMMYFUNCTION("""COMPUTED_VALUE"""),"Школа 1534")</f>
        <v>Школа 1534</v>
      </c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7" t="s">
        <v>31</v>
      </c>
      <c r="B684" s="147">
        <v>63.0</v>
      </c>
      <c r="C684" s="139" t="s">
        <v>3644</v>
      </c>
      <c r="D684" s="83" t="s">
        <v>3616</v>
      </c>
      <c r="E684" s="33" t="str">
        <f>IFERROR(__xludf.DUMMYFUNCTION("""COMPUTED_VALUE"""),"Школа 1535")</f>
        <v>Школа 1535</v>
      </c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7" t="s">
        <v>31</v>
      </c>
      <c r="B685" s="142">
        <v>64.0</v>
      </c>
      <c r="C685" s="145" t="s">
        <v>3706</v>
      </c>
      <c r="D685" s="83" t="s">
        <v>3616</v>
      </c>
      <c r="E685" s="33" t="str">
        <f>IFERROR(__xludf.DUMMYFUNCTION("""COMPUTED_VALUE"""),"Школа 1537")</f>
        <v>Школа 1537</v>
      </c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7" t="s">
        <v>31</v>
      </c>
      <c r="B686" s="140">
        <v>65.0</v>
      </c>
      <c r="C686" s="145" t="s">
        <v>3479</v>
      </c>
      <c r="D686" s="83" t="s">
        <v>3616</v>
      </c>
      <c r="E686" s="33" t="str">
        <f>IFERROR(__xludf.DUMMYFUNCTION("""COMPUTED_VALUE"""),"Школа 1544")</f>
        <v>Школа 1544</v>
      </c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7" t="s">
        <v>31</v>
      </c>
      <c r="B687" s="140">
        <v>66.0</v>
      </c>
      <c r="C687" s="136" t="s">
        <v>3707</v>
      </c>
      <c r="D687" s="83" t="s">
        <v>3616</v>
      </c>
      <c r="E687" s="33" t="str">
        <f>IFERROR(__xludf.DUMMYFUNCTION("""COMPUTED_VALUE"""),"Школа 1547")</f>
        <v>Школа 1547</v>
      </c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7" t="s">
        <v>31</v>
      </c>
      <c r="B688" s="147">
        <v>67.0</v>
      </c>
      <c r="C688" s="139" t="s">
        <v>3646</v>
      </c>
      <c r="D688" s="83" t="s">
        <v>3616</v>
      </c>
      <c r="E688" s="33" t="str">
        <f>IFERROR(__xludf.DUMMYFUNCTION("""COMPUTED_VALUE"""),"Школа 1553")</f>
        <v>Школа 1553</v>
      </c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7" t="s">
        <v>31</v>
      </c>
      <c r="B689" s="142">
        <v>68.0</v>
      </c>
      <c r="C689" s="139" t="s">
        <v>3759</v>
      </c>
      <c r="D689" s="83" t="s">
        <v>3616</v>
      </c>
      <c r="E689" s="33" t="str">
        <f>IFERROR(__xludf.DUMMYFUNCTION("""COMPUTED_VALUE"""),"Школа 1554")</f>
        <v>Школа 1554</v>
      </c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7" t="s">
        <v>31</v>
      </c>
      <c r="B690" s="147">
        <v>69.0</v>
      </c>
      <c r="C690" s="136" t="s">
        <v>3647</v>
      </c>
      <c r="D690" s="83" t="s">
        <v>3616</v>
      </c>
      <c r="E690" s="33" t="str">
        <f>IFERROR(__xludf.DUMMYFUNCTION("""COMPUTED_VALUE"""),"Школа 1557")</f>
        <v>Школа 1557</v>
      </c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7" t="s">
        <v>31</v>
      </c>
      <c r="B691" s="135">
        <v>70.0</v>
      </c>
      <c r="C691" s="143" t="s">
        <v>3648</v>
      </c>
      <c r="D691" s="83" t="s">
        <v>3616</v>
      </c>
      <c r="E691" s="33" t="str">
        <f>IFERROR(__xludf.DUMMYFUNCTION("""COMPUTED_VALUE"""),"Школа 1560")</f>
        <v>Школа 1560</v>
      </c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7" t="s">
        <v>31</v>
      </c>
      <c r="B692" s="144">
        <v>71.0</v>
      </c>
      <c r="C692" s="138" t="s">
        <v>3649</v>
      </c>
      <c r="D692" s="83" t="s">
        <v>3616</v>
      </c>
      <c r="E692" s="33" t="str">
        <f>IFERROR(__xludf.DUMMYFUNCTION("""COMPUTED_VALUE"""),"Школа 1561")</f>
        <v>Школа 1561</v>
      </c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7" t="s">
        <v>31</v>
      </c>
      <c r="B693" s="142">
        <v>72.0</v>
      </c>
      <c r="C693" s="139" t="s">
        <v>3514</v>
      </c>
      <c r="D693" s="83" t="s">
        <v>3616</v>
      </c>
      <c r="E693" s="33" t="str">
        <f>IFERROR(__xludf.DUMMYFUNCTION("""COMPUTED_VALUE"""),"Школа 1564")</f>
        <v>Школа 1564</v>
      </c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7" t="s">
        <v>31</v>
      </c>
      <c r="B694" s="144">
        <v>73.0</v>
      </c>
      <c r="C694" s="138" t="s">
        <v>3760</v>
      </c>
      <c r="D694" s="83" t="s">
        <v>3616</v>
      </c>
      <c r="E694" s="33" t="str">
        <f>IFERROR(__xludf.DUMMYFUNCTION("""COMPUTED_VALUE"""),"Школа 1568")</f>
        <v>Школа 1568</v>
      </c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7" t="s">
        <v>31</v>
      </c>
      <c r="B695" s="142">
        <v>74.0</v>
      </c>
      <c r="C695" s="139" t="s">
        <v>3650</v>
      </c>
      <c r="D695" s="83" t="s">
        <v>3616</v>
      </c>
      <c r="E695" s="33" t="str">
        <f>IFERROR(__xludf.DUMMYFUNCTION("""COMPUTED_VALUE"""),"Школа 1571")</f>
        <v>Школа 1571</v>
      </c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7" t="s">
        <v>31</v>
      </c>
      <c r="B696" s="147">
        <v>75.0</v>
      </c>
      <c r="C696" s="139" t="s">
        <v>3515</v>
      </c>
      <c r="D696" s="83" t="s">
        <v>3616</v>
      </c>
      <c r="E696" s="33" t="str">
        <f>IFERROR(__xludf.DUMMYFUNCTION("""COMPUTED_VALUE"""),"Школа 1573")</f>
        <v>Школа 1573</v>
      </c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7" t="s">
        <v>31</v>
      </c>
      <c r="B697" s="135">
        <v>76.0</v>
      </c>
      <c r="C697" s="141" t="s">
        <v>3711</v>
      </c>
      <c r="D697" s="83" t="s">
        <v>3616</v>
      </c>
      <c r="E697" s="33" t="str">
        <f>IFERROR(__xludf.DUMMYFUNCTION("""COMPUTED_VALUE"""),"Школа 1575")</f>
        <v>Школа 1575</v>
      </c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7" t="s">
        <v>31</v>
      </c>
      <c r="B698" s="142">
        <v>77.0</v>
      </c>
      <c r="C698" s="143" t="s">
        <v>3761</v>
      </c>
      <c r="D698" s="83" t="s">
        <v>3616</v>
      </c>
      <c r="E698" s="33" t="str">
        <f>IFERROR(__xludf.DUMMYFUNCTION("""COMPUTED_VALUE"""),"Школа 1576")</f>
        <v>Школа 1576</v>
      </c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7" t="s">
        <v>31</v>
      </c>
      <c r="B699" s="144">
        <v>78.0</v>
      </c>
      <c r="C699" s="139" t="s">
        <v>3762</v>
      </c>
      <c r="D699" s="83" t="s">
        <v>3616</v>
      </c>
      <c r="E699" s="33" t="str">
        <f>IFERROR(__xludf.DUMMYFUNCTION("""COMPUTED_VALUE"""),"Школа 1579")</f>
        <v>Школа 1579</v>
      </c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7" t="s">
        <v>31</v>
      </c>
      <c r="B700" s="144">
        <v>79.0</v>
      </c>
      <c r="C700" s="139" t="s">
        <v>3763</v>
      </c>
      <c r="D700" s="83" t="s">
        <v>3616</v>
      </c>
      <c r="E700" s="33" t="str">
        <f>IFERROR(__xludf.DUMMYFUNCTION("""COMPUTED_VALUE"""),"Школа 1580")</f>
        <v>Школа 1580</v>
      </c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7" t="s">
        <v>31</v>
      </c>
      <c r="B701" s="142">
        <v>80.0</v>
      </c>
      <c r="C701" s="136" t="s">
        <v>3714</v>
      </c>
      <c r="D701" s="83" t="s">
        <v>3616</v>
      </c>
      <c r="E701" s="33" t="str">
        <f>IFERROR(__xludf.DUMMYFUNCTION("""COMPUTED_VALUE"""),"Школа 1581")</f>
        <v>Школа 1581</v>
      </c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7" t="s">
        <v>31</v>
      </c>
      <c r="B702" s="140">
        <v>81.0</v>
      </c>
      <c r="C702" s="141" t="s">
        <v>3764</v>
      </c>
      <c r="D702" s="83" t="s">
        <v>3616</v>
      </c>
      <c r="E702" s="33" t="str">
        <f>IFERROR(__xludf.DUMMYFUNCTION("""COMPUTED_VALUE"""),"Школа 1582")</f>
        <v>Школа 1582</v>
      </c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7" t="s">
        <v>31</v>
      </c>
      <c r="B703" s="150">
        <v>82.0</v>
      </c>
      <c r="C703" s="139" t="s">
        <v>3765</v>
      </c>
      <c r="D703" s="83" t="s">
        <v>3616</v>
      </c>
      <c r="E703" s="33" t="str">
        <f>IFERROR(__xludf.DUMMYFUNCTION("""COMPUTED_VALUE"""),"Школа 1589")</f>
        <v>Школа 1589</v>
      </c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7" t="s">
        <v>31</v>
      </c>
      <c r="B704" s="135">
        <v>83.0</v>
      </c>
      <c r="C704" s="136" t="s">
        <v>3653</v>
      </c>
      <c r="D704" s="83" t="s">
        <v>3616</v>
      </c>
      <c r="E704" s="33" t="str">
        <f>IFERROR(__xludf.DUMMYFUNCTION("""COMPUTED_VALUE"""),"Школа 1636")</f>
        <v>Школа 1636</v>
      </c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7" t="s">
        <v>31</v>
      </c>
      <c r="B705" s="140">
        <v>84.0</v>
      </c>
      <c r="C705" s="146" t="s">
        <v>3334</v>
      </c>
      <c r="D705" s="83" t="s">
        <v>3616</v>
      </c>
      <c r="E705" s="33" t="str">
        <f>IFERROR(__xludf.DUMMYFUNCTION("""COMPUTED_VALUE"""),"Школа 1788")</f>
        <v>Школа 1788</v>
      </c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7" t="s">
        <v>31</v>
      </c>
      <c r="B706" s="135">
        <v>85.0</v>
      </c>
      <c r="C706" s="141" t="s">
        <v>3656</v>
      </c>
      <c r="D706" s="83" t="s">
        <v>3616</v>
      </c>
      <c r="E706" s="33" t="str">
        <f>IFERROR(__xludf.DUMMYFUNCTION("""COMPUTED_VALUE"""),"Школа 1799")</f>
        <v>Школа 1799</v>
      </c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7" t="s">
        <v>31</v>
      </c>
      <c r="B707" s="135">
        <v>86.0</v>
      </c>
      <c r="C707" s="136" t="s">
        <v>3659</v>
      </c>
      <c r="D707" s="83" t="s">
        <v>3616</v>
      </c>
      <c r="E707" s="33" t="str">
        <f>IFERROR(__xludf.DUMMYFUNCTION("""COMPUTED_VALUE"""),"Школа 2005")</f>
        <v>Школа 2005</v>
      </c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7" t="s">
        <v>31</v>
      </c>
      <c r="B708" s="147">
        <v>87.0</v>
      </c>
      <c r="C708" s="141" t="s">
        <v>3610</v>
      </c>
      <c r="D708" s="83" t="s">
        <v>3616</v>
      </c>
      <c r="E708" s="33" t="str">
        <f>IFERROR(__xludf.DUMMYFUNCTION("""COMPUTED_VALUE"""),"Школа 2009")</f>
        <v>Школа 2009</v>
      </c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7" t="s">
        <v>31</v>
      </c>
      <c r="B709" s="147">
        <v>88.0</v>
      </c>
      <c r="C709" s="139" t="s">
        <v>3661</v>
      </c>
      <c r="D709" s="83" t="s">
        <v>3616</v>
      </c>
      <c r="E709" s="33" t="str">
        <f>IFERROR(__xludf.DUMMYFUNCTION("""COMPUTED_VALUE"""),"Школа 2036")</f>
        <v>Школа 2036</v>
      </c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7" t="s">
        <v>31</v>
      </c>
      <c r="B710" s="135">
        <v>89.0</v>
      </c>
      <c r="C710" s="139" t="s">
        <v>3727</v>
      </c>
      <c r="D710" s="83" t="s">
        <v>3616</v>
      </c>
      <c r="E710" s="33" t="str">
        <f>IFERROR(__xludf.DUMMYFUNCTION("""COMPUTED_VALUE"""),"Школа 2065")</f>
        <v>Школа 2065</v>
      </c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7" t="s">
        <v>31</v>
      </c>
      <c r="B711" s="147">
        <v>90.0</v>
      </c>
      <c r="C711" s="143" t="s">
        <v>3663</v>
      </c>
      <c r="D711" s="83" t="s">
        <v>3616</v>
      </c>
      <c r="E711" s="33" t="str">
        <f>IFERROR(__xludf.DUMMYFUNCTION("""COMPUTED_VALUE"""),"Школа 2070")</f>
        <v>Школа 2070</v>
      </c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7" t="s">
        <v>31</v>
      </c>
      <c r="B712" s="135">
        <v>91.0</v>
      </c>
      <c r="C712" s="139" t="s">
        <v>3612</v>
      </c>
      <c r="D712" s="83" t="s">
        <v>3616</v>
      </c>
      <c r="E712" s="33" t="str">
        <f>IFERROR(__xludf.DUMMYFUNCTION("""COMPUTED_VALUE"""),"Школа 2086")</f>
        <v>Школа 2086</v>
      </c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7" t="s">
        <v>31</v>
      </c>
      <c r="B713" s="147">
        <v>92.0</v>
      </c>
      <c r="C713" s="139" t="s">
        <v>3665</v>
      </c>
      <c r="D713" s="83" t="s">
        <v>3616</v>
      </c>
      <c r="E713" s="33" t="str">
        <f>IFERROR(__xludf.DUMMYFUNCTION("""COMPUTED_VALUE"""),"Школа 2097")</f>
        <v>Школа 2097</v>
      </c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7" t="s">
        <v>31</v>
      </c>
      <c r="B714" s="148">
        <v>93.0</v>
      </c>
      <c r="C714" s="153" t="s">
        <v>3666</v>
      </c>
      <c r="D714" s="83" t="s">
        <v>3616</v>
      </c>
      <c r="E714" s="33" t="str">
        <f>IFERROR(__xludf.DUMMYFUNCTION("""COMPUTED_VALUE"""),"Школа 2098")</f>
        <v>Школа 2098</v>
      </c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7" t="s">
        <v>31</v>
      </c>
      <c r="B715" s="142">
        <v>94.0</v>
      </c>
      <c r="C715" s="139" t="s">
        <v>3766</v>
      </c>
      <c r="D715" s="83" t="s">
        <v>3616</v>
      </c>
      <c r="E715" s="33" t="str">
        <f>IFERROR(__xludf.DUMMYFUNCTION("""COMPUTED_VALUE"""),"Школа 2107")</f>
        <v>Школа 2107</v>
      </c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7" t="s">
        <v>31</v>
      </c>
      <c r="B716" s="142">
        <v>95.0</v>
      </c>
      <c r="C716" s="143" t="s">
        <v>3730</v>
      </c>
      <c r="D716" s="83" t="s">
        <v>3616</v>
      </c>
      <c r="E716" s="33" t="str">
        <f>IFERROR(__xludf.DUMMYFUNCTION("""COMPUTED_VALUE"""),"Школа 2109")</f>
        <v>Школа 2109</v>
      </c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7" t="s">
        <v>31</v>
      </c>
      <c r="B717" s="147">
        <v>96.0</v>
      </c>
      <c r="C717" s="136" t="s">
        <v>3731</v>
      </c>
      <c r="D717" s="83" t="s">
        <v>3616</v>
      </c>
      <c r="E717" s="33" t="str">
        <f>IFERROR(__xludf.DUMMYFUNCTION("""COMPUTED_VALUE"""),"Школа 2114")</f>
        <v>Школа 2114</v>
      </c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7" t="s">
        <v>31</v>
      </c>
      <c r="B718" s="148">
        <v>97.0</v>
      </c>
      <c r="C718" s="143" t="s">
        <v>3453</v>
      </c>
      <c r="D718" s="83" t="s">
        <v>3616</v>
      </c>
      <c r="E718" s="33" t="str">
        <f>IFERROR(__xludf.DUMMYFUNCTION("""COMPUTED_VALUE"""),"Школа 2127")</f>
        <v>Школа 2127</v>
      </c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7" t="s">
        <v>31</v>
      </c>
      <c r="B719" s="135">
        <v>98.0</v>
      </c>
      <c r="C719" s="143" t="s">
        <v>3767</v>
      </c>
      <c r="D719" s="83" t="s">
        <v>3616</v>
      </c>
      <c r="E719" s="33" t="str">
        <f>IFERROR(__xludf.DUMMYFUNCTION("""COMPUTED_VALUE"""),"Школа 2129")</f>
        <v>Школа 2129</v>
      </c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7" t="s">
        <v>31</v>
      </c>
      <c r="B720" s="135">
        <v>99.0</v>
      </c>
      <c r="C720" s="139" t="s">
        <v>3427</v>
      </c>
      <c r="D720" s="83" t="s">
        <v>3616</v>
      </c>
      <c r="E720" s="33" t="str">
        <f>IFERROR(__xludf.DUMMYFUNCTION("""COMPUTED_VALUE"""),"Школа 2200")</f>
        <v>Школа 2200</v>
      </c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7" t="s">
        <v>31</v>
      </c>
      <c r="B721" s="142">
        <v>100.0</v>
      </c>
      <c r="C721" s="145" t="s">
        <v>3529</v>
      </c>
      <c r="D721" s="83" t="s">
        <v>3616</v>
      </c>
      <c r="E721" s="33" t="str">
        <f>IFERROR(__xludf.DUMMYFUNCTION("""COMPUTED_VALUE"""),"Вешняковская школа")</f>
        <v>Вешняковская школа</v>
      </c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7" t="s">
        <v>31</v>
      </c>
      <c r="B722" s="147">
        <v>101.0</v>
      </c>
      <c r="C722" s="141" t="s">
        <v>3670</v>
      </c>
      <c r="D722" s="83" t="s">
        <v>3616</v>
      </c>
      <c r="E722" s="33" t="str">
        <f>IFERROR(__xludf.DUMMYFUNCTION("""COMPUTED_VALUE"""),"Образовательный центр Протон")</f>
        <v>Образовательный центр Протон</v>
      </c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7" t="s">
        <v>31</v>
      </c>
      <c r="B723" s="142">
        <v>102.0</v>
      </c>
      <c r="C723" s="141" t="s">
        <v>3489</v>
      </c>
      <c r="D723" s="83" t="s">
        <v>3616</v>
      </c>
      <c r="E723" s="33" t="str">
        <f>IFERROR(__xludf.DUMMYFUNCTION("""COMPUTED_VALUE"""),"Школа в Капотне")</f>
        <v>Школа в Капотне</v>
      </c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7" t="s">
        <v>31</v>
      </c>
      <c r="B724" s="147">
        <v>103.0</v>
      </c>
      <c r="C724" s="136" t="s">
        <v>3672</v>
      </c>
      <c r="D724" s="83" t="s">
        <v>3616</v>
      </c>
      <c r="E724" s="33" t="str">
        <f>IFERROR(__xludf.DUMMYFUNCTION("""COMPUTED_VALUE"""),"Школа Марьина Роща им. В. Ф. Орлова")</f>
        <v>Школа Марьина Роща им. В. Ф. Орлова</v>
      </c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114" t="s">
        <v>32</v>
      </c>
      <c r="B725" s="137">
        <v>1.0</v>
      </c>
      <c r="C725" s="139" t="s">
        <v>3580</v>
      </c>
      <c r="D725" s="83" t="s">
        <v>3616</v>
      </c>
      <c r="E725" s="33" t="str">
        <f>IFERROR(__xludf.DUMMYFUNCTION("""COMPUTED_VALUE"""),"Школа 15")</f>
        <v>Школа 15</v>
      </c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114" t="s">
        <v>32</v>
      </c>
      <c r="B726" s="140">
        <v>2.0</v>
      </c>
      <c r="C726" s="139" t="s">
        <v>3340</v>
      </c>
      <c r="D726" s="83" t="s">
        <v>3616</v>
      </c>
      <c r="E726" s="33" t="str">
        <f>IFERROR(__xludf.DUMMYFUNCTION("""COMPUTED_VALUE"""),"Школа 56")</f>
        <v>Школа 56</v>
      </c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114" t="s">
        <v>32</v>
      </c>
      <c r="B727" s="147">
        <v>3.0</v>
      </c>
      <c r="C727" s="139" t="s">
        <v>3738</v>
      </c>
      <c r="D727" s="83" t="s">
        <v>3616</v>
      </c>
      <c r="E727" s="33" t="str">
        <f>IFERROR(__xludf.DUMMYFUNCTION("""COMPUTED_VALUE"""),"Школа 64")</f>
        <v>Школа 64</v>
      </c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114" t="s">
        <v>32</v>
      </c>
      <c r="B728" s="135">
        <v>4.0</v>
      </c>
      <c r="C728" s="138" t="s">
        <v>3459</v>
      </c>
      <c r="D728" s="83" t="s">
        <v>3616</v>
      </c>
      <c r="E728" s="33" t="str">
        <f>IFERROR(__xludf.DUMMYFUNCTION("""COMPUTED_VALUE"""),"Школа 138")</f>
        <v>Школа 138</v>
      </c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114" t="s">
        <v>32</v>
      </c>
      <c r="B729" s="152">
        <v>5.0</v>
      </c>
      <c r="C729" s="138" t="s">
        <v>3739</v>
      </c>
      <c r="D729" s="83" t="s">
        <v>3616</v>
      </c>
      <c r="E729" s="33" t="str">
        <f>IFERROR(__xludf.DUMMYFUNCTION("""COMPUTED_VALUE"""),"Школа 152")</f>
        <v>Школа 152</v>
      </c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114" t="s">
        <v>32</v>
      </c>
      <c r="B730" s="135">
        <v>6.0</v>
      </c>
      <c r="C730" s="138" t="s">
        <v>3740</v>
      </c>
      <c r="D730" s="83" t="s">
        <v>3616</v>
      </c>
      <c r="E730" s="33" t="str">
        <f>IFERROR(__xludf.DUMMYFUNCTION("""COMPUTED_VALUE"""),"Школа 338")</f>
        <v>Школа 338</v>
      </c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114" t="s">
        <v>32</v>
      </c>
      <c r="B731" s="147">
        <v>7.0</v>
      </c>
      <c r="C731" s="154" t="s">
        <v>3768</v>
      </c>
      <c r="D731" s="83" t="s">
        <v>3616</v>
      </c>
      <c r="E731" s="33" t="str">
        <f>IFERROR(__xludf.DUMMYFUNCTION("""COMPUTED_VALUE"""),"Школа 368")</f>
        <v>Школа 368</v>
      </c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114" t="s">
        <v>32</v>
      </c>
      <c r="B732" s="147">
        <v>8.0</v>
      </c>
      <c r="C732" s="153" t="s">
        <v>3619</v>
      </c>
      <c r="D732" s="83" t="s">
        <v>3616</v>
      </c>
      <c r="E732" s="33" t="str">
        <f>IFERROR(__xludf.DUMMYFUNCTION("""COMPUTED_VALUE"""),"Школа 444")</f>
        <v>Школа 444</v>
      </c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114" t="s">
        <v>32</v>
      </c>
      <c r="B733" s="147">
        <v>9.0</v>
      </c>
      <c r="C733" s="153" t="s">
        <v>3769</v>
      </c>
      <c r="D733" s="83" t="s">
        <v>3616</v>
      </c>
      <c r="E733" s="33" t="str">
        <f>IFERROR(__xludf.DUMMYFUNCTION("""COMPUTED_VALUE"""),"Школа 554")</f>
        <v>Школа 554</v>
      </c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114" t="s">
        <v>32</v>
      </c>
      <c r="B734" s="148">
        <v>10.0</v>
      </c>
      <c r="C734" s="153" t="s">
        <v>3680</v>
      </c>
      <c r="D734" s="83" t="s">
        <v>3616</v>
      </c>
      <c r="E734" s="33" t="str">
        <f>IFERROR(__xludf.DUMMYFUNCTION("""COMPUTED_VALUE"""),"Школа 627")</f>
        <v>Школа 627</v>
      </c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114" t="s">
        <v>32</v>
      </c>
      <c r="B735" s="137">
        <v>11.0</v>
      </c>
      <c r="C735" s="138" t="s">
        <v>3466</v>
      </c>
      <c r="D735" s="83" t="s">
        <v>3616</v>
      </c>
      <c r="E735" s="33" t="str">
        <f>IFERROR(__xludf.DUMMYFUNCTION("""COMPUTED_VALUE"""),"Школа 853")</f>
        <v>Школа 853</v>
      </c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114" t="s">
        <v>32</v>
      </c>
      <c r="B736" s="149">
        <v>12.0</v>
      </c>
      <c r="C736" s="153" t="s">
        <v>3770</v>
      </c>
      <c r="D736" s="83" t="s">
        <v>3616</v>
      </c>
      <c r="E736" s="33" t="str">
        <f>IFERROR(__xludf.DUMMYFUNCTION("""COMPUTED_VALUE"""),"Школа 902")</f>
        <v>Школа 902</v>
      </c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114" t="s">
        <v>32</v>
      </c>
      <c r="B737" s="148">
        <v>13.0</v>
      </c>
      <c r="C737" s="154" t="s">
        <v>3502</v>
      </c>
      <c r="D737" s="83" t="s">
        <v>3616</v>
      </c>
      <c r="E737" s="33" t="str">
        <f>IFERROR(__xludf.DUMMYFUNCTION("""COMPUTED_VALUE"""),"Школа 962")</f>
        <v>Школа 962</v>
      </c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114" t="s">
        <v>32</v>
      </c>
      <c r="B738" s="149">
        <v>14.0</v>
      </c>
      <c r="C738" s="154" t="s">
        <v>3747</v>
      </c>
      <c r="D738" s="83" t="s">
        <v>3616</v>
      </c>
      <c r="E738" s="33" t="str">
        <f>IFERROR(__xludf.DUMMYFUNCTION("""COMPUTED_VALUE"""),"Школа 1000")</f>
        <v>Школа 1000</v>
      </c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114" t="s">
        <v>32</v>
      </c>
      <c r="B739" s="155">
        <v>15.0</v>
      </c>
      <c r="C739" s="151" t="s">
        <v>3623</v>
      </c>
      <c r="D739" s="83" t="s">
        <v>3616</v>
      </c>
      <c r="E739" s="33" t="str">
        <f>IFERROR(__xludf.DUMMYFUNCTION("""COMPUTED_VALUE"""),"Школа 1158")</f>
        <v>Школа 1158</v>
      </c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114" t="s">
        <v>32</v>
      </c>
      <c r="B740" s="149">
        <v>16.0</v>
      </c>
      <c r="C740" s="143" t="s">
        <v>3771</v>
      </c>
      <c r="D740" s="83" t="s">
        <v>3616</v>
      </c>
      <c r="E740" s="33" t="str">
        <f>IFERROR(__xludf.DUMMYFUNCTION("""COMPUTED_VALUE"""),"Школа 1173")</f>
        <v>Школа 1173</v>
      </c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114" t="s">
        <v>32</v>
      </c>
      <c r="B741" s="144">
        <v>17.0</v>
      </c>
      <c r="C741" s="143" t="s">
        <v>3624</v>
      </c>
      <c r="D741" s="83" t="s">
        <v>3616</v>
      </c>
      <c r="E741" s="33" t="str">
        <f>IFERROR(__xludf.DUMMYFUNCTION("""COMPUTED_VALUE"""),"Школа 1194")</f>
        <v>Школа 1194</v>
      </c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114" t="s">
        <v>32</v>
      </c>
      <c r="B742" s="144">
        <v>18.0</v>
      </c>
      <c r="C742" s="156" t="s">
        <v>3469</v>
      </c>
      <c r="D742" s="83" t="s">
        <v>3616</v>
      </c>
      <c r="E742" s="33" t="str">
        <f>IFERROR(__xludf.DUMMYFUNCTION("""COMPUTED_VALUE"""),"Школа 1210")</f>
        <v>Школа 1210</v>
      </c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114" t="s">
        <v>32</v>
      </c>
      <c r="B743" s="137">
        <v>19.0</v>
      </c>
      <c r="C743" s="139" t="s">
        <v>3593</v>
      </c>
      <c r="D743" s="83" t="s">
        <v>3616</v>
      </c>
      <c r="E743" s="33" t="str">
        <f>IFERROR(__xludf.DUMMYFUNCTION("""COMPUTED_VALUE"""),"Школа 1223")</f>
        <v>Школа 1223</v>
      </c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114" t="s">
        <v>32</v>
      </c>
      <c r="B744" s="135">
        <v>20.0</v>
      </c>
      <c r="C744" s="139" t="s">
        <v>3598</v>
      </c>
      <c r="D744" s="83" t="s">
        <v>3616</v>
      </c>
      <c r="E744" s="33" t="str">
        <f>IFERROR(__xludf.DUMMYFUNCTION("""COMPUTED_VALUE"""),"Школа 1250")</f>
        <v>Школа 1250</v>
      </c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114" t="s">
        <v>32</v>
      </c>
      <c r="B745" s="150">
        <v>21.0</v>
      </c>
      <c r="C745" s="146" t="s">
        <v>3772</v>
      </c>
      <c r="D745" s="83" t="s">
        <v>3616</v>
      </c>
      <c r="E745" s="33" t="str">
        <f>IFERROR(__xludf.DUMMYFUNCTION("""COMPUTED_VALUE"""),"Школа 1270")</f>
        <v>Школа 1270</v>
      </c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114" t="s">
        <v>32</v>
      </c>
      <c r="B746" s="135">
        <v>22.0</v>
      </c>
      <c r="C746" s="136" t="s">
        <v>3600</v>
      </c>
      <c r="D746" s="83" t="s">
        <v>3616</v>
      </c>
      <c r="E746" s="33" t="str">
        <f>IFERROR(__xludf.DUMMYFUNCTION("""COMPUTED_VALUE"""),"Школа 1279")</f>
        <v>Школа 1279</v>
      </c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114" t="s">
        <v>32</v>
      </c>
      <c r="B747" s="142">
        <v>23.0</v>
      </c>
      <c r="C747" s="139" t="s">
        <v>3773</v>
      </c>
      <c r="D747" s="83" t="s">
        <v>3616</v>
      </c>
      <c r="E747" s="33" t="str">
        <f>IFERROR(__xludf.DUMMYFUNCTION("""COMPUTED_VALUE"""),"Школа 1285")</f>
        <v>Школа 1285</v>
      </c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114" t="s">
        <v>32</v>
      </c>
      <c r="B748" s="137">
        <v>24.0</v>
      </c>
      <c r="C748" s="143" t="s">
        <v>3541</v>
      </c>
      <c r="D748" s="83" t="s">
        <v>3616</v>
      </c>
      <c r="E748" s="33" t="str">
        <f>IFERROR(__xludf.DUMMYFUNCTION("""COMPUTED_VALUE"""),"Школа 1287")</f>
        <v>Школа 1287</v>
      </c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114" t="s">
        <v>32</v>
      </c>
      <c r="B749" s="147">
        <v>25.0</v>
      </c>
      <c r="C749" s="143" t="s">
        <v>3750</v>
      </c>
      <c r="D749" s="83" t="s">
        <v>3616</v>
      </c>
      <c r="E749" s="33" t="str">
        <f>IFERROR(__xludf.DUMMYFUNCTION("""COMPUTED_VALUE"""),"Школа 1302")</f>
        <v>Школа 1302</v>
      </c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114" t="s">
        <v>32</v>
      </c>
      <c r="B750" s="147">
        <v>26.0</v>
      </c>
      <c r="C750" s="138" t="s">
        <v>3626</v>
      </c>
      <c r="D750" s="83" t="s">
        <v>3616</v>
      </c>
      <c r="E750" s="33" t="str">
        <f>IFERROR(__xludf.DUMMYFUNCTION("""COMPUTED_VALUE"""),"Школа 1329")</f>
        <v>Школа 1329</v>
      </c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114" t="s">
        <v>32</v>
      </c>
      <c r="B751" s="149">
        <v>27.0</v>
      </c>
      <c r="C751" s="143" t="s">
        <v>3628</v>
      </c>
      <c r="D751" s="83" t="s">
        <v>3616</v>
      </c>
      <c r="E751" s="33" t="str">
        <f>IFERROR(__xludf.DUMMYFUNCTION("""COMPUTED_VALUE"""),"Школа 1363")</f>
        <v>Школа 1363</v>
      </c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114" t="s">
        <v>32</v>
      </c>
      <c r="B752" s="147">
        <v>28.0</v>
      </c>
      <c r="C752" s="143" t="s">
        <v>3629</v>
      </c>
      <c r="D752" s="83" t="s">
        <v>3616</v>
      </c>
      <c r="E752" s="33" t="str">
        <f>IFERROR(__xludf.DUMMYFUNCTION("""COMPUTED_VALUE"""),"Школа 1367")</f>
        <v>Школа 1367</v>
      </c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114" t="s">
        <v>32</v>
      </c>
      <c r="B753" s="144">
        <v>29.0</v>
      </c>
      <c r="C753" s="154" t="s">
        <v>3774</v>
      </c>
      <c r="D753" s="83" t="s">
        <v>3616</v>
      </c>
      <c r="E753" s="33" t="str">
        <f>IFERROR(__xludf.DUMMYFUNCTION("""COMPUTED_VALUE"""),"Школа 1370")</f>
        <v>Школа 1370</v>
      </c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114" t="s">
        <v>32</v>
      </c>
      <c r="B754" s="148">
        <v>30.0</v>
      </c>
      <c r="C754" s="154" t="s">
        <v>3630</v>
      </c>
      <c r="D754" s="83" t="s">
        <v>3616</v>
      </c>
      <c r="E754" s="33" t="str">
        <f>IFERROR(__xludf.DUMMYFUNCTION("""COMPUTED_VALUE"""),"Школа 1375")</f>
        <v>Школа 1375</v>
      </c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114" t="s">
        <v>32</v>
      </c>
      <c r="B755" s="144">
        <v>31.0</v>
      </c>
      <c r="C755" s="138" t="s">
        <v>3474</v>
      </c>
      <c r="D755" s="83" t="s">
        <v>3616</v>
      </c>
      <c r="E755" s="33" t="str">
        <f>IFERROR(__xludf.DUMMYFUNCTION("""COMPUTED_VALUE"""),"Школа 1400")</f>
        <v>Школа 1400</v>
      </c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114" t="s">
        <v>32</v>
      </c>
      <c r="B756" s="148">
        <v>32.0</v>
      </c>
      <c r="C756" s="138" t="s">
        <v>3631</v>
      </c>
      <c r="D756" s="83" t="s">
        <v>3616</v>
      </c>
      <c r="E756" s="33" t="str">
        <f>IFERROR(__xludf.DUMMYFUNCTION("""COMPUTED_VALUE"""),"Школа 1409")</f>
        <v>Школа 1409</v>
      </c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114" t="s">
        <v>32</v>
      </c>
      <c r="B757" s="152">
        <v>33.0</v>
      </c>
      <c r="C757" s="151" t="s">
        <v>3775</v>
      </c>
      <c r="D757" s="83" t="s">
        <v>3616</v>
      </c>
      <c r="E757" s="33" t="str">
        <f>IFERROR(__xludf.DUMMYFUNCTION("""COMPUTED_VALUE"""),"Школа 1440")</f>
        <v>Школа 1440</v>
      </c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114" t="s">
        <v>32</v>
      </c>
      <c r="B758" s="149">
        <v>34.0</v>
      </c>
      <c r="C758" s="138" t="s">
        <v>3754</v>
      </c>
      <c r="D758" s="83" t="s">
        <v>3616</v>
      </c>
      <c r="E758" s="33" t="str">
        <f>IFERROR(__xludf.DUMMYFUNCTION("""COMPUTED_VALUE"""),"Школа 1448")</f>
        <v>Школа 1448</v>
      </c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114" t="s">
        <v>32</v>
      </c>
      <c r="B759" s="144">
        <v>35.0</v>
      </c>
      <c r="C759" s="139" t="s">
        <v>3776</v>
      </c>
      <c r="D759" s="83" t="s">
        <v>3616</v>
      </c>
      <c r="E759" s="33" t="str">
        <f>IFERROR(__xludf.DUMMYFUNCTION("""COMPUTED_VALUE"""),"Школа 1465")</f>
        <v>Школа 1465</v>
      </c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114" t="s">
        <v>32</v>
      </c>
      <c r="B760" s="147">
        <v>36.0</v>
      </c>
      <c r="C760" s="138" t="s">
        <v>3777</v>
      </c>
      <c r="D760" s="83" t="s">
        <v>3616</v>
      </c>
      <c r="E760" s="33" t="str">
        <f>IFERROR(__xludf.DUMMYFUNCTION("""COMPUTED_VALUE"""),"Школа 1466")</f>
        <v>Школа 1466</v>
      </c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114" t="s">
        <v>32</v>
      </c>
      <c r="B761" s="147">
        <v>37.0</v>
      </c>
      <c r="C761" s="139" t="s">
        <v>3635</v>
      </c>
      <c r="D761" s="83" t="s">
        <v>3616</v>
      </c>
      <c r="E761" s="33" t="str">
        <f>IFERROR(__xludf.DUMMYFUNCTION("""COMPUTED_VALUE"""),"Школа 1474")</f>
        <v>Школа 1474</v>
      </c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114" t="s">
        <v>32</v>
      </c>
      <c r="B762" s="142">
        <v>38.0</v>
      </c>
      <c r="C762" s="139" t="s">
        <v>3636</v>
      </c>
      <c r="D762" s="83" t="s">
        <v>3616</v>
      </c>
      <c r="E762" s="33" t="str">
        <f>IFERROR(__xludf.DUMMYFUNCTION("""COMPUTED_VALUE"""),"Школа 1501")</f>
        <v>Школа 1501</v>
      </c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114" t="s">
        <v>32</v>
      </c>
      <c r="B763" s="147">
        <v>39.0</v>
      </c>
      <c r="C763" s="139" t="s">
        <v>3638</v>
      </c>
      <c r="D763" s="83" t="s">
        <v>3616</v>
      </c>
      <c r="E763" s="33" t="str">
        <f>IFERROR(__xludf.DUMMYFUNCTION("""COMPUTED_VALUE"""),"Школа 1506")</f>
        <v>Школа 1506</v>
      </c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114" t="s">
        <v>32</v>
      </c>
      <c r="B764" s="142">
        <v>40.0</v>
      </c>
      <c r="C764" s="139" t="s">
        <v>3698</v>
      </c>
      <c r="D764" s="83" t="s">
        <v>3616</v>
      </c>
      <c r="E764" s="33" t="str">
        <f>IFERROR(__xludf.DUMMYFUNCTION("""COMPUTED_VALUE"""),"Школа 1507")</f>
        <v>Школа 1507</v>
      </c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114" t="s">
        <v>32</v>
      </c>
      <c r="B765" s="147">
        <v>41.0</v>
      </c>
      <c r="C765" s="141" t="s">
        <v>3640</v>
      </c>
      <c r="D765" s="83" t="s">
        <v>3616</v>
      </c>
      <c r="E765" s="33" t="str">
        <f>IFERROR(__xludf.DUMMYFUNCTION("""COMPUTED_VALUE"""),"Школа 1517")</f>
        <v>Школа 1517</v>
      </c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114" t="s">
        <v>32</v>
      </c>
      <c r="B766" s="140">
        <v>42.0</v>
      </c>
      <c r="C766" s="141" t="s">
        <v>3758</v>
      </c>
      <c r="D766" s="83" t="s">
        <v>3616</v>
      </c>
      <c r="E766" s="33" t="str">
        <f>IFERROR(__xludf.DUMMYFUNCTION("""COMPUTED_VALUE"""),"Школа 1518")</f>
        <v>Школа 1518</v>
      </c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114" t="s">
        <v>32</v>
      </c>
      <c r="B767" s="135">
        <v>43.0</v>
      </c>
      <c r="C767" s="145" t="s">
        <v>3702</v>
      </c>
      <c r="D767" s="83" t="s">
        <v>3616</v>
      </c>
      <c r="E767" s="33" t="str">
        <f>IFERROR(__xludf.DUMMYFUNCTION("""COMPUTED_VALUE"""),"Школа 1519")</f>
        <v>Школа 1519</v>
      </c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114" t="s">
        <v>32</v>
      </c>
      <c r="B768" s="142">
        <v>44.0</v>
      </c>
      <c r="C768" s="141" t="s">
        <v>3778</v>
      </c>
      <c r="D768" s="83" t="s">
        <v>3616</v>
      </c>
      <c r="E768" s="33" t="str">
        <f>IFERROR(__xludf.DUMMYFUNCTION("""COMPUTED_VALUE"""),"Школа 1522")</f>
        <v>Школа 1522</v>
      </c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114" t="s">
        <v>32</v>
      </c>
      <c r="B769" s="140">
        <v>45.0</v>
      </c>
      <c r="C769" s="136" t="s">
        <v>3703</v>
      </c>
      <c r="D769" s="83" t="s">
        <v>3616</v>
      </c>
      <c r="E769" s="33" t="str">
        <f>IFERROR(__xludf.DUMMYFUNCTION("""COMPUTED_VALUE"""),"Школа 1524")</f>
        <v>Школа 1524</v>
      </c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114" t="s">
        <v>32</v>
      </c>
      <c r="B770" s="149">
        <v>46.0</v>
      </c>
      <c r="C770" s="139" t="s">
        <v>3641</v>
      </c>
      <c r="D770" s="83" t="s">
        <v>3616</v>
      </c>
      <c r="E770" s="33" t="str">
        <f>IFERROR(__xludf.DUMMYFUNCTION("""COMPUTED_VALUE"""),"Школа 1527")</f>
        <v>Школа 1527</v>
      </c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114" t="s">
        <v>32</v>
      </c>
      <c r="B771" s="142">
        <v>47.0</v>
      </c>
      <c r="C771" s="136" t="s">
        <v>3704</v>
      </c>
      <c r="D771" s="83" t="s">
        <v>3616</v>
      </c>
      <c r="E771" s="33" t="str">
        <f>IFERROR(__xludf.DUMMYFUNCTION("""COMPUTED_VALUE"""),"Школа 1530")</f>
        <v>Школа 1530</v>
      </c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114" t="s">
        <v>32</v>
      </c>
      <c r="B772" s="135">
        <v>48.0</v>
      </c>
      <c r="C772" s="139" t="s">
        <v>3705</v>
      </c>
      <c r="D772" s="83" t="s">
        <v>3616</v>
      </c>
      <c r="E772" s="33" t="str">
        <f>IFERROR(__xludf.DUMMYFUNCTION("""COMPUTED_VALUE"""),"Школа 1532")</f>
        <v>Школа 1532</v>
      </c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114" t="s">
        <v>32</v>
      </c>
      <c r="B773" s="135">
        <v>49.0</v>
      </c>
      <c r="C773" s="136" t="s">
        <v>3643</v>
      </c>
      <c r="D773" s="83" t="s">
        <v>3616</v>
      </c>
      <c r="E773" s="33" t="str">
        <f>IFERROR(__xludf.DUMMYFUNCTION("""COMPUTED_VALUE"""),"Школа 1534")</f>
        <v>Школа 1534</v>
      </c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114" t="s">
        <v>32</v>
      </c>
      <c r="B774" s="142" t="s">
        <v>3779</v>
      </c>
      <c r="C774" s="136" t="s">
        <v>3706</v>
      </c>
      <c r="D774" s="83" t="s">
        <v>3616</v>
      </c>
      <c r="E774" s="33" t="str">
        <f>IFERROR(__xludf.DUMMYFUNCTION("""COMPUTED_VALUE"""),"Школа 1537")</f>
        <v>Школа 1537</v>
      </c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114" t="s">
        <v>32</v>
      </c>
      <c r="B775" s="147">
        <v>51.0</v>
      </c>
      <c r="C775" s="143" t="s">
        <v>3645</v>
      </c>
      <c r="D775" s="83" t="s">
        <v>3616</v>
      </c>
      <c r="E775" s="33" t="str">
        <f>IFERROR(__xludf.DUMMYFUNCTION("""COMPUTED_VALUE"""),"Школа 1538")</f>
        <v>Школа 1538</v>
      </c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114" t="s">
        <v>32</v>
      </c>
      <c r="B776" s="140">
        <v>52.0</v>
      </c>
      <c r="C776" s="136" t="s">
        <v>3447</v>
      </c>
      <c r="D776" s="83" t="s">
        <v>3616</v>
      </c>
      <c r="E776" s="33" t="str">
        <f>IFERROR(__xludf.DUMMYFUNCTION("""COMPUTED_VALUE"""),"Школа 1542")</f>
        <v>Школа 1542</v>
      </c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114" t="s">
        <v>32</v>
      </c>
      <c r="B777" s="149">
        <v>53.0</v>
      </c>
      <c r="C777" s="139" t="s">
        <v>3707</v>
      </c>
      <c r="D777" s="83" t="s">
        <v>3616</v>
      </c>
      <c r="E777" s="33" t="str">
        <f>IFERROR(__xludf.DUMMYFUNCTION("""COMPUTED_VALUE"""),"Школа 1547")</f>
        <v>Школа 1547</v>
      </c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114" t="s">
        <v>32</v>
      </c>
      <c r="B778" s="142">
        <v>54.0</v>
      </c>
      <c r="C778" s="145" t="s">
        <v>3448</v>
      </c>
      <c r="D778" s="83" t="s">
        <v>3616</v>
      </c>
      <c r="E778" s="33" t="str">
        <f>IFERROR(__xludf.DUMMYFUNCTION("""COMPUTED_VALUE"""),"Школа 1552")</f>
        <v>Школа 1552</v>
      </c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114" t="s">
        <v>32</v>
      </c>
      <c r="B779" s="144">
        <v>55.0</v>
      </c>
      <c r="C779" s="139" t="s">
        <v>3647</v>
      </c>
      <c r="D779" s="83" t="s">
        <v>3616</v>
      </c>
      <c r="E779" s="33" t="str">
        <f>IFERROR(__xludf.DUMMYFUNCTION("""COMPUTED_VALUE"""),"Школа 1557")</f>
        <v>Школа 1557</v>
      </c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114" t="s">
        <v>32</v>
      </c>
      <c r="B780" s="142">
        <v>56.0</v>
      </c>
      <c r="C780" s="141" t="s">
        <v>3648</v>
      </c>
      <c r="D780" s="83" t="s">
        <v>3616</v>
      </c>
      <c r="E780" s="33" t="str">
        <f>IFERROR(__xludf.DUMMYFUNCTION("""COMPUTED_VALUE"""),"Школа 1560")</f>
        <v>Школа 1560</v>
      </c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114" t="s">
        <v>32</v>
      </c>
      <c r="B781" s="135">
        <v>57.0</v>
      </c>
      <c r="C781" s="136" t="s">
        <v>3711</v>
      </c>
      <c r="D781" s="83" t="s">
        <v>3616</v>
      </c>
      <c r="E781" s="33" t="str">
        <f>IFERROR(__xludf.DUMMYFUNCTION("""COMPUTED_VALUE"""),"Школа 1575")</f>
        <v>Школа 1575</v>
      </c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114" t="s">
        <v>32</v>
      </c>
      <c r="B782" s="135">
        <v>58.0</v>
      </c>
      <c r="C782" s="143" t="s">
        <v>3651</v>
      </c>
      <c r="D782" s="83" t="s">
        <v>3616</v>
      </c>
      <c r="E782" s="33" t="str">
        <f>IFERROR(__xludf.DUMMYFUNCTION("""COMPUTED_VALUE"""),"Школа 1583")</f>
        <v>Школа 1583</v>
      </c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114" t="s">
        <v>32</v>
      </c>
      <c r="B783" s="142">
        <v>59.0</v>
      </c>
      <c r="C783" s="141" t="s">
        <v>3780</v>
      </c>
      <c r="D783" s="83" t="s">
        <v>3616</v>
      </c>
      <c r="E783" s="33" t="str">
        <f>IFERROR(__xludf.DUMMYFUNCTION("""COMPUTED_VALUE"""),"Школа 1584")</f>
        <v>Школа 1584</v>
      </c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114" t="s">
        <v>32</v>
      </c>
      <c r="B784" s="135">
        <v>60.0</v>
      </c>
      <c r="C784" s="145" t="s">
        <v>3781</v>
      </c>
      <c r="D784" s="83" t="s">
        <v>3616</v>
      </c>
      <c r="E784" s="33" t="str">
        <f>IFERROR(__xludf.DUMMYFUNCTION("""COMPUTED_VALUE"""),"Школа 1590")</f>
        <v>Школа 1590</v>
      </c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114" t="s">
        <v>32</v>
      </c>
      <c r="B785" s="142">
        <v>61.0</v>
      </c>
      <c r="C785" s="146" t="s">
        <v>3716</v>
      </c>
      <c r="D785" s="83" t="s">
        <v>3616</v>
      </c>
      <c r="E785" s="33" t="str">
        <f>IFERROR(__xludf.DUMMYFUNCTION("""COMPUTED_VALUE"""),"Школа 1593")</f>
        <v>Школа 1593</v>
      </c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114" t="s">
        <v>32</v>
      </c>
      <c r="B786" s="150">
        <v>62.0</v>
      </c>
      <c r="C786" s="146" t="s">
        <v>3334</v>
      </c>
      <c r="D786" s="83" t="s">
        <v>3616</v>
      </c>
      <c r="E786" s="33" t="str">
        <f>IFERROR(__xludf.DUMMYFUNCTION("""COMPUTED_VALUE"""),"Школа 1788")</f>
        <v>Школа 1788</v>
      </c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114" t="s">
        <v>32</v>
      </c>
      <c r="B787" s="135">
        <v>63.0</v>
      </c>
      <c r="C787" s="141" t="s">
        <v>3458</v>
      </c>
      <c r="D787" s="83" t="s">
        <v>3616</v>
      </c>
      <c r="E787" s="33" t="str">
        <f>IFERROR(__xludf.DUMMYFUNCTION("""COMPUTED_VALUE"""),"Школа 1793")</f>
        <v>Школа 1793</v>
      </c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114" t="s">
        <v>32</v>
      </c>
      <c r="B788" s="142">
        <v>64.0</v>
      </c>
      <c r="C788" s="145" t="s">
        <v>3656</v>
      </c>
      <c r="D788" s="83" t="s">
        <v>3616</v>
      </c>
      <c r="E788" s="33" t="str">
        <f>IFERROR(__xludf.DUMMYFUNCTION("""COMPUTED_VALUE"""),"Школа 1799")</f>
        <v>Школа 1799</v>
      </c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114" t="s">
        <v>32</v>
      </c>
      <c r="B789" s="140">
        <v>65.0</v>
      </c>
      <c r="C789" s="145" t="s">
        <v>3657</v>
      </c>
      <c r="D789" s="83" t="s">
        <v>3616</v>
      </c>
      <c r="E789" s="33" t="str">
        <f>IFERROR(__xludf.DUMMYFUNCTION("""COMPUTED_VALUE"""),"Школа 1811")</f>
        <v>Школа 1811</v>
      </c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114" t="s">
        <v>32</v>
      </c>
      <c r="B790" s="137">
        <v>66.0</v>
      </c>
      <c r="C790" s="139" t="s">
        <v>3782</v>
      </c>
      <c r="D790" s="83" t="s">
        <v>3616</v>
      </c>
      <c r="E790" s="33" t="str">
        <f>IFERROR(__xludf.DUMMYFUNCTION("""COMPUTED_VALUE"""),"Школа 1935")</f>
        <v>Школа 1935</v>
      </c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114" t="s">
        <v>32</v>
      </c>
      <c r="B791" s="135">
        <v>67.0</v>
      </c>
      <c r="C791" s="139" t="s">
        <v>3783</v>
      </c>
      <c r="D791" s="83" t="s">
        <v>3616</v>
      </c>
      <c r="E791" s="33" t="str">
        <f>IFERROR(__xludf.DUMMYFUNCTION("""COMPUTED_VALUE"""),"Школа 1948")</f>
        <v>Школа 1948</v>
      </c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114" t="s">
        <v>32</v>
      </c>
      <c r="B792" s="135">
        <v>68.0</v>
      </c>
      <c r="C792" s="141" t="s">
        <v>3610</v>
      </c>
      <c r="D792" s="83" t="s">
        <v>3616</v>
      </c>
      <c r="E792" s="33" t="str">
        <f>IFERROR(__xludf.DUMMYFUNCTION("""COMPUTED_VALUE"""),"Школа 2009")</f>
        <v>Школа 2009</v>
      </c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114" t="s">
        <v>32</v>
      </c>
      <c r="B793" s="142">
        <v>69.0</v>
      </c>
      <c r="C793" s="136" t="s">
        <v>3725</v>
      </c>
      <c r="D793" s="83" t="s">
        <v>3616</v>
      </c>
      <c r="E793" s="33" t="str">
        <f>IFERROR(__xludf.DUMMYFUNCTION("""COMPUTED_VALUE"""),"Школа 2025")</f>
        <v>Школа 2025</v>
      </c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114" t="s">
        <v>32</v>
      </c>
      <c r="B794" s="135">
        <v>70.0</v>
      </c>
      <c r="C794" s="139" t="s">
        <v>3660</v>
      </c>
      <c r="D794" s="83" t="s">
        <v>3616</v>
      </c>
      <c r="E794" s="33" t="str">
        <f>IFERROR(__xludf.DUMMYFUNCTION("""COMPUTED_VALUE"""),"Школа 2033")</f>
        <v>Школа 2033</v>
      </c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114" t="s">
        <v>32</v>
      </c>
      <c r="B795" s="149">
        <v>71.0</v>
      </c>
      <c r="C795" s="143" t="s">
        <v>3726</v>
      </c>
      <c r="D795" s="83" t="s">
        <v>3616</v>
      </c>
      <c r="E795" s="33" t="str">
        <f>IFERROR(__xludf.DUMMYFUNCTION("""COMPUTED_VALUE"""),"Школа 2044")</f>
        <v>Школа 2044</v>
      </c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114" t="s">
        <v>32</v>
      </c>
      <c r="B796" s="149">
        <v>72.0</v>
      </c>
      <c r="C796" s="141" t="s">
        <v>3451</v>
      </c>
      <c r="D796" s="83" t="s">
        <v>3616</v>
      </c>
      <c r="E796" s="33" t="str">
        <f>IFERROR(__xludf.DUMMYFUNCTION("""COMPUTED_VALUE"""),"Школа 2048")</f>
        <v>Школа 2048</v>
      </c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114" t="s">
        <v>32</v>
      </c>
      <c r="B797" s="147">
        <v>73.0</v>
      </c>
      <c r="C797" s="139" t="s">
        <v>3663</v>
      </c>
      <c r="D797" s="83" t="s">
        <v>3616</v>
      </c>
      <c r="E797" s="33" t="str">
        <f>IFERROR(__xludf.DUMMYFUNCTION("""COMPUTED_VALUE"""),"Школа 2070")</f>
        <v>Школа 2070</v>
      </c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114" t="s">
        <v>32</v>
      </c>
      <c r="B798" s="149">
        <v>74.0</v>
      </c>
      <c r="C798" s="139" t="s">
        <v>3612</v>
      </c>
      <c r="D798" s="83" t="s">
        <v>3616</v>
      </c>
      <c r="E798" s="33" t="str">
        <f>IFERROR(__xludf.DUMMYFUNCTION("""COMPUTED_VALUE"""),"Школа 2086")</f>
        <v>Школа 2086</v>
      </c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114" t="s">
        <v>32</v>
      </c>
      <c r="B799" s="135">
        <v>75.0</v>
      </c>
      <c r="C799" s="141" t="s">
        <v>3665</v>
      </c>
      <c r="D799" s="83" t="s">
        <v>3616</v>
      </c>
      <c r="E799" s="33" t="str">
        <f>IFERROR(__xludf.DUMMYFUNCTION("""COMPUTED_VALUE"""),"Школа 2097")</f>
        <v>Школа 2097</v>
      </c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114" t="s">
        <v>32</v>
      </c>
      <c r="B800" s="142">
        <v>76.0</v>
      </c>
      <c r="C800" s="145" t="s">
        <v>3666</v>
      </c>
      <c r="D800" s="83" t="s">
        <v>3616</v>
      </c>
      <c r="E800" s="33" t="str">
        <f>IFERROR(__xludf.DUMMYFUNCTION("""COMPUTED_VALUE"""),"Школа 2098")</f>
        <v>Школа 2098</v>
      </c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114" t="s">
        <v>32</v>
      </c>
      <c r="B801" s="149">
        <v>77.0</v>
      </c>
      <c r="C801" s="141" t="s">
        <v>3485</v>
      </c>
      <c r="D801" s="83" t="s">
        <v>3616</v>
      </c>
      <c r="E801" s="33" t="str">
        <f>IFERROR(__xludf.DUMMYFUNCTION("""COMPUTED_VALUE"""),"Школа 2101")</f>
        <v>Школа 2101</v>
      </c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114" t="s">
        <v>32</v>
      </c>
      <c r="B802" s="150">
        <v>78.0</v>
      </c>
      <c r="C802" s="145" t="s">
        <v>3614</v>
      </c>
      <c r="D802" s="83" t="s">
        <v>3616</v>
      </c>
      <c r="E802" s="33" t="str">
        <f>IFERROR(__xludf.DUMMYFUNCTION("""COMPUTED_VALUE"""),"Школа 2107")</f>
        <v>Школа 2107</v>
      </c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114" t="s">
        <v>32</v>
      </c>
      <c r="B803" s="150">
        <v>79.0</v>
      </c>
      <c r="C803" s="139" t="s">
        <v>3731</v>
      </c>
      <c r="D803" s="83" t="s">
        <v>3616</v>
      </c>
      <c r="E803" s="33" t="str">
        <f>IFERROR(__xludf.DUMMYFUNCTION("""COMPUTED_VALUE"""),"Школа 2114")</f>
        <v>Школа 2114</v>
      </c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114" t="s">
        <v>32</v>
      </c>
      <c r="B804" s="157">
        <v>80.0</v>
      </c>
      <c r="C804" s="146" t="s">
        <v>3784</v>
      </c>
      <c r="D804" s="83" t="s">
        <v>3616</v>
      </c>
      <c r="E804" s="33" t="str">
        <f>IFERROR(__xludf.DUMMYFUNCTION("""COMPUTED_VALUE"""),"Школа 2127")</f>
        <v>Школа 2127</v>
      </c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114" t="s">
        <v>32</v>
      </c>
      <c r="B805" s="142">
        <v>81.0</v>
      </c>
      <c r="C805" s="139" t="s">
        <v>3668</v>
      </c>
      <c r="D805" s="83" t="s">
        <v>3616</v>
      </c>
      <c r="E805" s="33" t="str">
        <f>IFERROR(__xludf.DUMMYFUNCTION("""COMPUTED_VALUE"""),"Школа в Некрасовке")</f>
        <v>Школа в Некрасовке</v>
      </c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114" t="s">
        <v>32</v>
      </c>
      <c r="B806" s="147">
        <v>82.0</v>
      </c>
      <c r="C806" s="143" t="s">
        <v>3670</v>
      </c>
      <c r="D806" s="83" t="s">
        <v>3616</v>
      </c>
      <c r="E806" s="33" t="str">
        <f>IFERROR(__xludf.DUMMYFUNCTION("""COMPUTED_VALUE"""),"Образовательный центр Протон")</f>
        <v>Образовательный центр Протон</v>
      </c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114" t="s">
        <v>32</v>
      </c>
      <c r="B807" s="144">
        <v>83.0</v>
      </c>
      <c r="C807" s="139" t="s">
        <v>3487</v>
      </c>
      <c r="D807" s="83" t="s">
        <v>3616</v>
      </c>
      <c r="E807" s="33" t="str">
        <f>IFERROR(__xludf.DUMMYFUNCTION("""COMPUTED_VALUE"""),"Школа Кузьминки")</f>
        <v>Школа Кузьминки</v>
      </c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114" t="s">
        <v>32</v>
      </c>
      <c r="B808" s="144">
        <v>84.0</v>
      </c>
      <c r="C808" s="143" t="s">
        <v>3366</v>
      </c>
      <c r="D808" s="83" t="s">
        <v>3616</v>
      </c>
      <c r="E808" s="33" t="str">
        <f>IFERROR(__xludf.DUMMYFUNCTION("""COMPUTED_VALUE"""),"Школа им. дважды Героя Советского Союза И. С. Полбина")</f>
        <v>Школа им. дважды Героя Советского Союза И. С. Полбина</v>
      </c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114" t="s">
        <v>32</v>
      </c>
      <c r="B809" s="147">
        <v>85.0</v>
      </c>
      <c r="C809" s="143" t="s">
        <v>3367</v>
      </c>
      <c r="D809" s="83" t="s">
        <v>3616</v>
      </c>
      <c r="E809" s="33" t="str">
        <f>IFERROR(__xludf.DUMMYFUNCTION("""COMPUTED_VALUE"""),"Школа им. В. В. Маяковского")</f>
        <v>Школа им. В. В. Маяковского</v>
      </c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114" t="s">
        <v>32</v>
      </c>
      <c r="B810" s="148">
        <v>86.0</v>
      </c>
      <c r="C810" s="138" t="s">
        <v>3672</v>
      </c>
      <c r="D810" s="83" t="s">
        <v>3616</v>
      </c>
      <c r="E810" s="33" t="str">
        <f>IFERROR(__xludf.DUMMYFUNCTION("""COMPUTED_VALUE"""),"Школа Марьина Роща им. В. Ф. Орлова")</f>
        <v>Школа Марьина Роща им. В. Ф. Орлова</v>
      </c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114" t="s">
        <v>33</v>
      </c>
      <c r="B811" s="147">
        <v>1.0</v>
      </c>
      <c r="C811" s="153" t="s">
        <v>3340</v>
      </c>
      <c r="D811" s="83" t="s">
        <v>3616</v>
      </c>
      <c r="E811" s="33" t="str">
        <f>IFERROR(__xludf.DUMMYFUNCTION("""COMPUTED_VALUE"""),"Школа 56")</f>
        <v>Школа 56</v>
      </c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114" t="s">
        <v>33</v>
      </c>
      <c r="B812" s="149">
        <v>2.0</v>
      </c>
      <c r="C812" s="143" t="s">
        <v>3459</v>
      </c>
      <c r="D812" s="83" t="s">
        <v>3616</v>
      </c>
      <c r="E812" s="33" t="str">
        <f>IFERROR(__xludf.DUMMYFUNCTION("""COMPUTED_VALUE"""),"Школа 138")</f>
        <v>Школа 138</v>
      </c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114" t="s">
        <v>33</v>
      </c>
      <c r="B813" s="135">
        <v>3.0</v>
      </c>
      <c r="C813" s="154" t="s">
        <v>3494</v>
      </c>
      <c r="D813" s="83" t="s">
        <v>3616</v>
      </c>
      <c r="E813" s="33" t="str">
        <f>IFERROR(__xludf.DUMMYFUNCTION("""COMPUTED_VALUE"""),"Школа 285")</f>
        <v>Школа 285</v>
      </c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114" t="s">
        <v>33</v>
      </c>
      <c r="B814" s="147">
        <v>4.0</v>
      </c>
      <c r="C814" s="138" t="s">
        <v>3740</v>
      </c>
      <c r="D814" s="83" t="s">
        <v>3616</v>
      </c>
      <c r="E814" s="33" t="str">
        <f>IFERROR(__xludf.DUMMYFUNCTION("""COMPUTED_VALUE"""),"Школа 338")</f>
        <v>Школа 338</v>
      </c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114" t="s">
        <v>33</v>
      </c>
      <c r="B815" s="152">
        <v>5.0</v>
      </c>
      <c r="C815" s="138" t="s">
        <v>3785</v>
      </c>
      <c r="D815" s="83" t="s">
        <v>3616</v>
      </c>
      <c r="E815" s="33" t="str">
        <f>IFERROR(__xludf.DUMMYFUNCTION("""COMPUTED_VALUE"""),"Школа 429")</f>
        <v>Школа 429</v>
      </c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114" t="s">
        <v>33</v>
      </c>
      <c r="B816" s="135">
        <v>6.0</v>
      </c>
      <c r="C816" s="139" t="s">
        <v>3619</v>
      </c>
      <c r="D816" s="83" t="s">
        <v>3616</v>
      </c>
      <c r="E816" s="33" t="str">
        <f>IFERROR(__xludf.DUMMYFUNCTION("""COMPUTED_VALUE"""),"Школа 444")</f>
        <v>Школа 444</v>
      </c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114" t="s">
        <v>33</v>
      </c>
      <c r="B817" s="148">
        <v>7.0</v>
      </c>
      <c r="C817" s="143" t="s">
        <v>3552</v>
      </c>
      <c r="D817" s="83" t="s">
        <v>3616</v>
      </c>
      <c r="E817" s="33" t="str">
        <f>IFERROR(__xludf.DUMMYFUNCTION("""COMPUTED_VALUE"""),"Школа 463")</f>
        <v>Школа 463</v>
      </c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114" t="s">
        <v>33</v>
      </c>
      <c r="B818" s="147">
        <v>8.0</v>
      </c>
      <c r="C818" s="138" t="s">
        <v>3786</v>
      </c>
      <c r="D818" s="83" t="s">
        <v>3616</v>
      </c>
      <c r="E818" s="33" t="str">
        <f>IFERROR(__xludf.DUMMYFUNCTION("""COMPUTED_VALUE"""),"Школа 625")</f>
        <v>Школа 625</v>
      </c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114" t="s">
        <v>33</v>
      </c>
      <c r="B819" s="148">
        <v>9.0</v>
      </c>
      <c r="C819" s="143" t="s">
        <v>3680</v>
      </c>
      <c r="D819" s="83" t="s">
        <v>3616</v>
      </c>
      <c r="E819" s="33" t="str">
        <f>IFERROR(__xludf.DUMMYFUNCTION("""COMPUTED_VALUE"""),"Школа 627")</f>
        <v>Школа 627</v>
      </c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114" t="s">
        <v>33</v>
      </c>
      <c r="B820" s="152">
        <v>10.0</v>
      </c>
      <c r="C820" s="143" t="s">
        <v>3744</v>
      </c>
      <c r="D820" s="83" t="s">
        <v>3616</v>
      </c>
      <c r="E820" s="33" t="str">
        <f>IFERROR(__xludf.DUMMYFUNCTION("""COMPUTED_VALUE"""),"Школа 630")</f>
        <v>Школа 630</v>
      </c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114" t="s">
        <v>33</v>
      </c>
      <c r="B821" s="142">
        <v>11.0</v>
      </c>
      <c r="C821" s="139" t="s">
        <v>3548</v>
      </c>
      <c r="D821" s="83" t="s">
        <v>3616</v>
      </c>
      <c r="E821" s="33" t="str">
        <f>IFERROR(__xludf.DUMMYFUNCTION("""COMPUTED_VALUE"""),"Школа 41")</f>
        <v>Школа 41</v>
      </c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114" t="s">
        <v>33</v>
      </c>
      <c r="B822" s="140">
        <v>12.0</v>
      </c>
      <c r="C822" s="141" t="s">
        <v>3537</v>
      </c>
      <c r="D822" s="83" t="s">
        <v>3616</v>
      </c>
      <c r="E822" s="33" t="str">
        <f>IFERROR(__xludf.DUMMYFUNCTION("""COMPUTED_VALUE"""),"Школа 949")</f>
        <v>Школа 949</v>
      </c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114" t="s">
        <v>33</v>
      </c>
      <c r="B823" s="135">
        <v>13.0</v>
      </c>
      <c r="C823" s="139" t="s">
        <v>3468</v>
      </c>
      <c r="D823" s="83" t="s">
        <v>3616</v>
      </c>
      <c r="E823" s="33" t="str">
        <f>IFERROR(__xludf.DUMMYFUNCTION("""COMPUTED_VALUE"""),"Школа 1101")</f>
        <v>Школа 1101</v>
      </c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114" t="s">
        <v>33</v>
      </c>
      <c r="B824" s="140">
        <v>14.0</v>
      </c>
      <c r="C824" s="136" t="s">
        <v>3623</v>
      </c>
      <c r="D824" s="83" t="s">
        <v>3616</v>
      </c>
      <c r="E824" s="33" t="str">
        <f>IFERROR(__xludf.DUMMYFUNCTION("""COMPUTED_VALUE"""),"Школа 1158")</f>
        <v>Школа 1158</v>
      </c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114" t="s">
        <v>33</v>
      </c>
      <c r="B825" s="135">
        <v>15.0</v>
      </c>
      <c r="C825" s="145" t="s">
        <v>3624</v>
      </c>
      <c r="D825" s="83" t="s">
        <v>3616</v>
      </c>
      <c r="E825" s="33" t="str">
        <f>IFERROR(__xludf.DUMMYFUNCTION("""COMPUTED_VALUE"""),"Школа 1194")</f>
        <v>Школа 1194</v>
      </c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114" t="s">
        <v>33</v>
      </c>
      <c r="B826" s="142">
        <v>16.0</v>
      </c>
      <c r="C826" s="141" t="s">
        <v>3787</v>
      </c>
      <c r="D826" s="83" t="s">
        <v>3616</v>
      </c>
      <c r="E826" s="33" t="str">
        <f>IFERROR(__xludf.DUMMYFUNCTION("""COMPUTED_VALUE"""),"Школа 1212")</f>
        <v>Школа 1212</v>
      </c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114" t="s">
        <v>33</v>
      </c>
      <c r="B827" s="135">
        <v>17.0</v>
      </c>
      <c r="C827" s="141" t="s">
        <v>3748</v>
      </c>
      <c r="D827" s="83" t="s">
        <v>3616</v>
      </c>
      <c r="E827" s="33" t="str">
        <f>IFERROR(__xludf.DUMMYFUNCTION("""COMPUTED_VALUE"""),"Школа 1212")</f>
        <v>Школа 1212</v>
      </c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114" t="s">
        <v>33</v>
      </c>
      <c r="B828" s="150">
        <v>18.0</v>
      </c>
      <c r="C828" s="139" t="s">
        <v>3505</v>
      </c>
      <c r="D828" s="83" t="s">
        <v>3616</v>
      </c>
      <c r="E828" s="33" t="str">
        <f>IFERROR(__xludf.DUMMYFUNCTION("""COMPUTED_VALUE"""),"Школа 1228")</f>
        <v>Школа 1228</v>
      </c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114" t="s">
        <v>33</v>
      </c>
      <c r="B829" s="147">
        <v>19.0</v>
      </c>
      <c r="C829" s="143" t="s">
        <v>3386</v>
      </c>
      <c r="D829" s="83" t="s">
        <v>3616</v>
      </c>
      <c r="E829" s="33" t="str">
        <f>IFERROR(__xludf.DUMMYFUNCTION("""COMPUTED_VALUE"""),"Школа 1231")</f>
        <v>Школа 1231</v>
      </c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114" t="s">
        <v>33</v>
      </c>
      <c r="B830" s="147">
        <v>20.0</v>
      </c>
      <c r="C830" s="143" t="s">
        <v>3749</v>
      </c>
      <c r="D830" s="83" t="s">
        <v>3616</v>
      </c>
      <c r="E830" s="33" t="str">
        <f>IFERROR(__xludf.DUMMYFUNCTION("""COMPUTED_VALUE"""),"Школа 1252")</f>
        <v>Школа 1252</v>
      </c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114" t="s">
        <v>33</v>
      </c>
      <c r="B831" s="147">
        <v>21.0</v>
      </c>
      <c r="C831" s="138" t="s">
        <v>3625</v>
      </c>
      <c r="D831" s="83" t="s">
        <v>3616</v>
      </c>
      <c r="E831" s="33" t="str">
        <f>IFERROR(__xludf.DUMMYFUNCTION("""COMPUTED_VALUE"""),"Школа 1253")</f>
        <v>Школа 1253</v>
      </c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114" t="s">
        <v>33</v>
      </c>
      <c r="B832" s="135">
        <v>22.0</v>
      </c>
      <c r="C832" s="139" t="s">
        <v>3772</v>
      </c>
      <c r="D832" s="83" t="s">
        <v>3616</v>
      </c>
      <c r="E832" s="33" t="str">
        <f>IFERROR(__xludf.DUMMYFUNCTION("""COMPUTED_VALUE"""),"Школа 1270")</f>
        <v>Школа 1270</v>
      </c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114" t="s">
        <v>33</v>
      </c>
      <c r="B833" s="149">
        <v>23.0</v>
      </c>
      <c r="C833" s="138" t="s">
        <v>3565</v>
      </c>
      <c r="D833" s="83" t="s">
        <v>3616</v>
      </c>
      <c r="E833" s="33" t="str">
        <f>IFERROR(__xludf.DUMMYFUNCTION("""COMPUTED_VALUE"""),"Школа 1282")</f>
        <v>Школа 1282</v>
      </c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114" t="s">
        <v>33</v>
      </c>
      <c r="B834" s="142">
        <v>24.0</v>
      </c>
      <c r="C834" s="139" t="s">
        <v>3508</v>
      </c>
      <c r="D834" s="83" t="s">
        <v>3616</v>
      </c>
      <c r="E834" s="33" t="str">
        <f>IFERROR(__xludf.DUMMYFUNCTION("""COMPUTED_VALUE"""),"Школа 1287")</f>
        <v>Школа 1287</v>
      </c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114" t="s">
        <v>33</v>
      </c>
      <c r="B835" s="142">
        <v>25.0</v>
      </c>
      <c r="C835" s="139" t="s">
        <v>3393</v>
      </c>
      <c r="D835" s="83" t="s">
        <v>3616</v>
      </c>
      <c r="E835" s="33" t="str">
        <f>IFERROR(__xludf.DUMMYFUNCTION("""COMPUTED_VALUE"""),"Школа 1290")</f>
        <v>Школа 1290</v>
      </c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114" t="s">
        <v>33</v>
      </c>
      <c r="B836" s="135">
        <v>26.0</v>
      </c>
      <c r="C836" s="141" t="s">
        <v>3472</v>
      </c>
      <c r="D836" s="83" t="s">
        <v>3616</v>
      </c>
      <c r="E836" s="33" t="str">
        <f>IFERROR(__xludf.DUMMYFUNCTION("""COMPUTED_VALUE"""),"Школа 1293")</f>
        <v>Школа 1293</v>
      </c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114" t="s">
        <v>33</v>
      </c>
      <c r="B837" s="147">
        <v>27.0</v>
      </c>
      <c r="C837" s="143" t="s">
        <v>3394</v>
      </c>
      <c r="D837" s="83" t="s">
        <v>3616</v>
      </c>
      <c r="E837" s="33" t="str">
        <f>IFERROR(__xludf.DUMMYFUNCTION("""COMPUTED_VALUE"""),"Школа 1298")</f>
        <v>Школа 1298</v>
      </c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114" t="s">
        <v>33</v>
      </c>
      <c r="B838" s="135">
        <v>28.0</v>
      </c>
      <c r="C838" s="139" t="s">
        <v>3788</v>
      </c>
      <c r="D838" s="83" t="s">
        <v>3616</v>
      </c>
      <c r="E838" s="33" t="str">
        <f>IFERROR(__xludf.DUMMYFUNCTION("""COMPUTED_VALUE"""),"Школа 1306")</f>
        <v>Школа 1306</v>
      </c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114" t="s">
        <v>33</v>
      </c>
      <c r="B839" s="142">
        <v>29.0</v>
      </c>
      <c r="C839" s="141" t="s">
        <v>3751</v>
      </c>
      <c r="D839" s="83" t="s">
        <v>3616</v>
      </c>
      <c r="E839" s="33" t="str">
        <f>IFERROR(__xludf.DUMMYFUNCTION("""COMPUTED_VALUE"""),"Школа 1317")</f>
        <v>Школа 1317</v>
      </c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114" t="s">
        <v>33</v>
      </c>
      <c r="B840" s="147">
        <v>30.0</v>
      </c>
      <c r="C840" s="141" t="s">
        <v>3626</v>
      </c>
      <c r="D840" s="83" t="s">
        <v>3616</v>
      </c>
      <c r="E840" s="33" t="str">
        <f>IFERROR(__xludf.DUMMYFUNCTION("""COMPUTED_VALUE"""),"Школа 1329")</f>
        <v>Школа 1329</v>
      </c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114" t="s">
        <v>33</v>
      </c>
      <c r="B841" s="140">
        <v>31.0</v>
      </c>
      <c r="C841" s="145" t="s">
        <v>3399</v>
      </c>
      <c r="D841" s="83" t="s">
        <v>3616</v>
      </c>
      <c r="E841" s="33" t="str">
        <f>IFERROR(__xludf.DUMMYFUNCTION("""COMPUTED_VALUE"""),"Школа 1359")</f>
        <v>Школа 1359</v>
      </c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114" t="s">
        <v>33</v>
      </c>
      <c r="B842" s="142">
        <v>32.0</v>
      </c>
      <c r="C842" s="141" t="s">
        <v>3568</v>
      </c>
      <c r="D842" s="83" t="s">
        <v>3616</v>
      </c>
      <c r="E842" s="33" t="str">
        <f>IFERROR(__xludf.DUMMYFUNCTION("""COMPUTED_VALUE"""),"Школа 1362")</f>
        <v>Школа 1362</v>
      </c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114" t="s">
        <v>33</v>
      </c>
      <c r="B843" s="137">
        <v>33.0</v>
      </c>
      <c r="C843" s="141" t="s">
        <v>3628</v>
      </c>
      <c r="D843" s="83" t="s">
        <v>3616</v>
      </c>
      <c r="E843" s="33" t="str">
        <f>IFERROR(__xludf.DUMMYFUNCTION("""COMPUTED_VALUE"""),"Школа 1363")</f>
        <v>Школа 1363</v>
      </c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114" t="s">
        <v>33</v>
      </c>
      <c r="B844" s="142">
        <v>34.0</v>
      </c>
      <c r="C844" s="145" t="s">
        <v>3474</v>
      </c>
      <c r="D844" s="83" t="s">
        <v>3616</v>
      </c>
      <c r="E844" s="33" t="str">
        <f>IFERROR(__xludf.DUMMYFUNCTION("""COMPUTED_VALUE"""),"Школа 1400")</f>
        <v>Школа 1400</v>
      </c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114" t="s">
        <v>33</v>
      </c>
      <c r="B845" s="135">
        <v>35.0</v>
      </c>
      <c r="C845" s="136" t="s">
        <v>3631</v>
      </c>
      <c r="D845" s="83" t="s">
        <v>3616</v>
      </c>
      <c r="E845" s="33" t="str">
        <f>IFERROR(__xludf.DUMMYFUNCTION("""COMPUTED_VALUE"""),"Школа 1409")</f>
        <v>Школа 1409</v>
      </c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114" t="s">
        <v>33</v>
      </c>
      <c r="B846" s="140">
        <v>36.0</v>
      </c>
      <c r="C846" s="141" t="s">
        <v>3510</v>
      </c>
      <c r="D846" s="83" t="s">
        <v>3616</v>
      </c>
      <c r="E846" s="33" t="str">
        <f>IFERROR(__xludf.DUMMYFUNCTION("""COMPUTED_VALUE"""),"Школа 1413")</f>
        <v>Школа 1413</v>
      </c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114" t="s">
        <v>33</v>
      </c>
      <c r="B847" s="135">
        <v>37.0</v>
      </c>
      <c r="C847" s="139" t="s">
        <v>3789</v>
      </c>
      <c r="D847" s="83" t="s">
        <v>3616</v>
      </c>
      <c r="E847" s="33" t="str">
        <f>IFERROR(__xludf.DUMMYFUNCTION("""COMPUTED_VALUE"""),"Школа 1415")</f>
        <v>Школа 1415</v>
      </c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114" t="s">
        <v>33</v>
      </c>
      <c r="B848" s="147">
        <v>38.0</v>
      </c>
      <c r="C848" s="143" t="s">
        <v>3632</v>
      </c>
      <c r="D848" s="83" t="s">
        <v>3616</v>
      </c>
      <c r="E848" s="33" t="str">
        <f>IFERROR(__xludf.DUMMYFUNCTION("""COMPUTED_VALUE"""),"Школа 1420")</f>
        <v>Школа 1420</v>
      </c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114" t="s">
        <v>33</v>
      </c>
      <c r="B849" s="149">
        <v>39.0</v>
      </c>
      <c r="C849" s="139" t="s">
        <v>3790</v>
      </c>
      <c r="D849" s="83" t="s">
        <v>3616</v>
      </c>
      <c r="E849" s="33" t="str">
        <f>IFERROR(__xludf.DUMMYFUNCTION("""COMPUTED_VALUE"""),"Школа 1430")</f>
        <v>Школа 1430</v>
      </c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114" t="s">
        <v>33</v>
      </c>
      <c r="B850" s="147">
        <v>40.0</v>
      </c>
      <c r="C850" s="139" t="s">
        <v>3695</v>
      </c>
      <c r="D850" s="83" t="s">
        <v>3616</v>
      </c>
      <c r="E850" s="33" t="str">
        <f>IFERROR(__xludf.DUMMYFUNCTION("""COMPUTED_VALUE"""),"Школа 1440")</f>
        <v>Школа 1440</v>
      </c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114" t="s">
        <v>33</v>
      </c>
      <c r="B851" s="140">
        <v>41.0</v>
      </c>
      <c r="C851" s="136" t="s">
        <v>3754</v>
      </c>
      <c r="D851" s="83" t="s">
        <v>3616</v>
      </c>
      <c r="E851" s="33" t="str">
        <f>IFERROR(__xludf.DUMMYFUNCTION("""COMPUTED_VALUE"""),"Школа 1448")</f>
        <v>Школа 1448</v>
      </c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114" t="s">
        <v>33</v>
      </c>
      <c r="B852" s="148">
        <v>42.0</v>
      </c>
      <c r="C852" s="153" t="s">
        <v>3476</v>
      </c>
      <c r="D852" s="83" t="s">
        <v>3616</v>
      </c>
      <c r="E852" s="33" t="str">
        <f>IFERROR(__xludf.DUMMYFUNCTION("""COMPUTED_VALUE"""),"Школа 1454")</f>
        <v>Школа 1454</v>
      </c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114" t="s">
        <v>33</v>
      </c>
      <c r="B853" s="147">
        <v>43.0</v>
      </c>
      <c r="C853" s="143" t="s">
        <v>3791</v>
      </c>
      <c r="D853" s="83" t="s">
        <v>3616</v>
      </c>
      <c r="E853" s="33" t="str">
        <f>IFERROR(__xludf.DUMMYFUNCTION("""COMPUTED_VALUE"""),"Школа 1466")</f>
        <v>Школа 1466</v>
      </c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114" t="s">
        <v>33</v>
      </c>
      <c r="B854" s="142">
        <v>44.0</v>
      </c>
      <c r="C854" s="139" t="s">
        <v>3403</v>
      </c>
      <c r="D854" s="83" t="s">
        <v>3616</v>
      </c>
      <c r="E854" s="33" t="str">
        <f>IFERROR(__xludf.DUMMYFUNCTION("""COMPUTED_VALUE"""),"Школа 1468")</f>
        <v>Школа 1468</v>
      </c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114" t="s">
        <v>33</v>
      </c>
      <c r="B855" s="149">
        <v>45.0</v>
      </c>
      <c r="C855" s="143" t="s">
        <v>3635</v>
      </c>
      <c r="D855" s="83" t="s">
        <v>3616</v>
      </c>
      <c r="E855" s="33" t="str">
        <f>IFERROR(__xludf.DUMMYFUNCTION("""COMPUTED_VALUE"""),"Школа 1474")</f>
        <v>Школа 1474</v>
      </c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114" t="s">
        <v>33</v>
      </c>
      <c r="B856" s="147">
        <v>46.0</v>
      </c>
      <c r="C856" s="136" t="s">
        <v>3348</v>
      </c>
      <c r="D856" s="83" t="s">
        <v>3616</v>
      </c>
      <c r="E856" s="33" t="str">
        <f>IFERROR(__xludf.DUMMYFUNCTION("""COMPUTED_VALUE"""),"Школа 1498")</f>
        <v>Школа 1498</v>
      </c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114" t="s">
        <v>33</v>
      </c>
      <c r="B857" s="147">
        <v>47.0</v>
      </c>
      <c r="C857" s="139" t="s">
        <v>3636</v>
      </c>
      <c r="D857" s="83" t="s">
        <v>3616</v>
      </c>
      <c r="E857" s="33" t="str">
        <f>IFERROR(__xludf.DUMMYFUNCTION("""COMPUTED_VALUE"""),"Школа 1501")</f>
        <v>Школа 1501</v>
      </c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114" t="s">
        <v>33</v>
      </c>
      <c r="B858" s="147">
        <v>48.0</v>
      </c>
      <c r="C858" s="136" t="s">
        <v>3637</v>
      </c>
      <c r="D858" s="83" t="s">
        <v>3616</v>
      </c>
      <c r="E858" s="33" t="str">
        <f>IFERROR(__xludf.DUMMYFUNCTION("""COMPUTED_VALUE"""),"Школа 1502")</f>
        <v>Школа 1502</v>
      </c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114" t="s">
        <v>33</v>
      </c>
      <c r="B859" s="142">
        <v>49.0</v>
      </c>
      <c r="C859" s="136" t="s">
        <v>3323</v>
      </c>
      <c r="D859" s="83" t="s">
        <v>3616</v>
      </c>
      <c r="E859" s="33" t="str">
        <f>IFERROR(__xludf.DUMMYFUNCTION("""COMPUTED_VALUE"""),"Школа 1505")</f>
        <v>Школа 1505</v>
      </c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114" t="s">
        <v>33</v>
      </c>
      <c r="B860" s="149">
        <v>50.0</v>
      </c>
      <c r="C860" s="139" t="s">
        <v>3405</v>
      </c>
      <c r="D860" s="83" t="s">
        <v>3616</v>
      </c>
      <c r="E860" s="33" t="str">
        <f>IFERROR(__xludf.DUMMYFUNCTION("""COMPUTED_VALUE"""),"Школа 1508")</f>
        <v>Школа 1508</v>
      </c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114" t="s">
        <v>33</v>
      </c>
      <c r="B861" s="150">
        <v>51.0</v>
      </c>
      <c r="C861" s="145" t="s">
        <v>3640</v>
      </c>
      <c r="D861" s="83" t="s">
        <v>3616</v>
      </c>
      <c r="E861" s="33" t="str">
        <f>IFERROR(__xludf.DUMMYFUNCTION("""COMPUTED_VALUE"""),"Школа 1517")</f>
        <v>Школа 1517</v>
      </c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114" t="s">
        <v>33</v>
      </c>
      <c r="B862" s="135">
        <v>52.0</v>
      </c>
      <c r="C862" s="136" t="s">
        <v>3758</v>
      </c>
      <c r="D862" s="83" t="s">
        <v>3616</v>
      </c>
      <c r="E862" s="33" t="str">
        <f>IFERROR(__xludf.DUMMYFUNCTION("""COMPUTED_VALUE"""),"Школа 1518")</f>
        <v>Школа 1518</v>
      </c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114" t="s">
        <v>33</v>
      </c>
      <c r="B863" s="140">
        <v>53.0</v>
      </c>
      <c r="C863" s="141" t="s">
        <v>3703</v>
      </c>
      <c r="D863" s="83" t="s">
        <v>3616</v>
      </c>
      <c r="E863" s="33" t="str">
        <f>IFERROR(__xludf.DUMMYFUNCTION("""COMPUTED_VALUE"""),"Школа 1524")</f>
        <v>Школа 1524</v>
      </c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114" t="s">
        <v>33</v>
      </c>
      <c r="B864" s="144">
        <v>54.0</v>
      </c>
      <c r="C864" s="141" t="s">
        <v>3641</v>
      </c>
      <c r="D864" s="83" t="s">
        <v>3616</v>
      </c>
      <c r="E864" s="33" t="str">
        <f>IFERROR(__xludf.DUMMYFUNCTION("""COMPUTED_VALUE"""),"Школа 1527")</f>
        <v>Школа 1527</v>
      </c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114" t="s">
        <v>33</v>
      </c>
      <c r="B865" s="135">
        <v>55.0</v>
      </c>
      <c r="C865" s="141" t="s">
        <v>3407</v>
      </c>
      <c r="D865" s="83" t="s">
        <v>3616</v>
      </c>
      <c r="E865" s="33" t="str">
        <f>IFERROR(__xludf.DUMMYFUNCTION("""COMPUTED_VALUE"""),"Школа 1541")</f>
        <v>Школа 1541</v>
      </c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114" t="s">
        <v>33</v>
      </c>
      <c r="B866" s="135">
        <v>56.0</v>
      </c>
      <c r="C866" s="139" t="s">
        <v>3479</v>
      </c>
      <c r="D866" s="83" t="s">
        <v>3616</v>
      </c>
      <c r="E866" s="33" t="str">
        <f>IFERROR(__xludf.DUMMYFUNCTION("""COMPUTED_VALUE"""),"Школа 1544")</f>
        <v>Школа 1544</v>
      </c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114" t="s">
        <v>33</v>
      </c>
      <c r="B867" s="142">
        <v>57.0</v>
      </c>
      <c r="C867" s="143" t="s">
        <v>3707</v>
      </c>
      <c r="D867" s="83" t="s">
        <v>3616</v>
      </c>
      <c r="E867" s="33" t="str">
        <f>IFERROR(__xludf.DUMMYFUNCTION("""COMPUTED_VALUE"""),"Школа 1547")</f>
        <v>Школа 1547</v>
      </c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114" t="s">
        <v>33</v>
      </c>
      <c r="B868" s="147">
        <v>58.0</v>
      </c>
      <c r="C868" s="139" t="s">
        <v>3646</v>
      </c>
      <c r="D868" s="83" t="s">
        <v>3616</v>
      </c>
      <c r="E868" s="33" t="str">
        <f>IFERROR(__xludf.DUMMYFUNCTION("""COMPUTED_VALUE"""),"Школа 1553")</f>
        <v>Школа 1553</v>
      </c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114" t="s">
        <v>33</v>
      </c>
      <c r="B869" s="135">
        <v>59.0</v>
      </c>
      <c r="C869" s="139" t="s">
        <v>3647</v>
      </c>
      <c r="D869" s="83" t="s">
        <v>3616</v>
      </c>
      <c r="E869" s="33" t="str">
        <f>IFERROR(__xludf.DUMMYFUNCTION("""COMPUTED_VALUE"""),"Школа 1557")</f>
        <v>Школа 1557</v>
      </c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114" t="s">
        <v>33</v>
      </c>
      <c r="B870" s="142">
        <v>60.0</v>
      </c>
      <c r="C870" s="143" t="s">
        <v>3792</v>
      </c>
      <c r="D870" s="83" t="s">
        <v>3616</v>
      </c>
      <c r="E870" s="33" t="str">
        <f>IFERROR(__xludf.DUMMYFUNCTION("""COMPUTED_VALUE"""),"Школа 1558")</f>
        <v>Школа 1558</v>
      </c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114" t="s">
        <v>33</v>
      </c>
      <c r="B871" s="137">
        <v>61.0</v>
      </c>
      <c r="C871" s="141" t="s">
        <v>3648</v>
      </c>
      <c r="D871" s="83" t="s">
        <v>3616</v>
      </c>
      <c r="E871" s="33" t="str">
        <f>IFERROR(__xludf.DUMMYFUNCTION("""COMPUTED_VALUE"""),"Школа 1560")</f>
        <v>Школа 1560</v>
      </c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114" t="s">
        <v>33</v>
      </c>
      <c r="B872" s="149">
        <v>62.0</v>
      </c>
      <c r="C872" s="143" t="s">
        <v>3514</v>
      </c>
      <c r="D872" s="83" t="s">
        <v>3616</v>
      </c>
      <c r="E872" s="33" t="str">
        <f>IFERROR(__xludf.DUMMYFUNCTION("""COMPUTED_VALUE"""),"Школа 1564")</f>
        <v>Школа 1564</v>
      </c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114" t="s">
        <v>33</v>
      </c>
      <c r="B873" s="147">
        <v>63.0</v>
      </c>
      <c r="C873" s="139" t="s">
        <v>3650</v>
      </c>
      <c r="D873" s="83" t="s">
        <v>3616</v>
      </c>
      <c r="E873" s="33" t="str">
        <f>IFERROR(__xludf.DUMMYFUNCTION("""COMPUTED_VALUE"""),"Школа 1571")</f>
        <v>Школа 1571</v>
      </c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114" t="s">
        <v>33</v>
      </c>
      <c r="B874" s="147">
        <v>64.0</v>
      </c>
      <c r="C874" s="154" t="s">
        <v>3711</v>
      </c>
      <c r="D874" s="83" t="s">
        <v>3616</v>
      </c>
      <c r="E874" s="33" t="str">
        <f>IFERROR(__xludf.DUMMYFUNCTION("""COMPUTED_VALUE"""),"Школа 1575")</f>
        <v>Школа 1575</v>
      </c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114" t="s">
        <v>33</v>
      </c>
      <c r="B875" s="149">
        <v>65.0</v>
      </c>
      <c r="C875" s="153" t="s">
        <v>3518</v>
      </c>
      <c r="D875" s="83" t="s">
        <v>3616</v>
      </c>
      <c r="E875" s="33" t="str">
        <f>IFERROR(__xludf.DUMMYFUNCTION("""COMPUTED_VALUE"""),"Школа 1579")</f>
        <v>Школа 1579</v>
      </c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114" t="s">
        <v>33</v>
      </c>
      <c r="B876" s="144">
        <v>66.0</v>
      </c>
      <c r="C876" s="143" t="s">
        <v>3651</v>
      </c>
      <c r="D876" s="83" t="s">
        <v>3616</v>
      </c>
      <c r="E876" s="33" t="str">
        <f>IFERROR(__xludf.DUMMYFUNCTION("""COMPUTED_VALUE"""),"Школа 1583")</f>
        <v>Школа 1583</v>
      </c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114" t="s">
        <v>33</v>
      </c>
      <c r="B877" s="142">
        <v>67.0</v>
      </c>
      <c r="C877" s="139" t="s">
        <v>3652</v>
      </c>
      <c r="D877" s="83" t="s">
        <v>3616</v>
      </c>
      <c r="E877" s="33" t="str">
        <f>IFERROR(__xludf.DUMMYFUNCTION("""COMPUTED_VALUE"""),"Школа 1584")</f>
        <v>Школа 1584</v>
      </c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114" t="s">
        <v>33</v>
      </c>
      <c r="B878" s="144">
        <v>68.0</v>
      </c>
      <c r="C878" s="138" t="s">
        <v>3653</v>
      </c>
      <c r="D878" s="83" t="s">
        <v>3616</v>
      </c>
      <c r="E878" s="33" t="str">
        <f>IFERROR(__xludf.DUMMYFUNCTION("""COMPUTED_VALUE"""),"Школа 1636")</f>
        <v>Школа 1636</v>
      </c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114" t="s">
        <v>33</v>
      </c>
      <c r="B879" s="142">
        <v>69.0</v>
      </c>
      <c r="C879" s="136" t="s">
        <v>3324</v>
      </c>
      <c r="D879" s="83" t="s">
        <v>3616</v>
      </c>
      <c r="E879" s="33" t="str">
        <f>IFERROR(__xludf.DUMMYFUNCTION("""COMPUTED_VALUE"""),"Школа 1637")</f>
        <v>Школа 1637</v>
      </c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114" t="s">
        <v>33</v>
      </c>
      <c r="B880" s="142">
        <v>70.0</v>
      </c>
      <c r="C880" s="141" t="s">
        <v>3719</v>
      </c>
      <c r="D880" s="83" t="s">
        <v>3616</v>
      </c>
      <c r="E880" s="33" t="str">
        <f>IFERROR(__xludf.DUMMYFUNCTION("""COMPUTED_VALUE"""),"Школа 1770")</f>
        <v>Школа 1770</v>
      </c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114" t="s">
        <v>33</v>
      </c>
      <c r="B881" s="137">
        <v>71.0</v>
      </c>
      <c r="C881" s="146" t="s">
        <v>3656</v>
      </c>
      <c r="D881" s="83" t="s">
        <v>3616</v>
      </c>
      <c r="E881" s="33" t="str">
        <f>IFERROR(__xludf.DUMMYFUNCTION("""COMPUTED_VALUE"""),"Школа 1799")</f>
        <v>Школа 1799</v>
      </c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114" t="s">
        <v>33</v>
      </c>
      <c r="B882" s="142">
        <v>72.0</v>
      </c>
      <c r="C882" s="139" t="s">
        <v>3657</v>
      </c>
      <c r="D882" s="83" t="s">
        <v>3616</v>
      </c>
      <c r="E882" s="33" t="str">
        <f>IFERROR(__xludf.DUMMYFUNCTION("""COMPUTED_VALUE"""),"Школа 1811")</f>
        <v>Школа 1811</v>
      </c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114" t="s">
        <v>33</v>
      </c>
      <c r="B883" s="135">
        <v>73.0</v>
      </c>
      <c r="C883" s="139" t="s">
        <v>3658</v>
      </c>
      <c r="D883" s="83" t="s">
        <v>3616</v>
      </c>
      <c r="E883" s="33" t="str">
        <f>IFERROR(__xludf.DUMMYFUNCTION("""COMPUTED_VALUE"""),"Школа 1950")</f>
        <v>Школа 1950</v>
      </c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114" t="s">
        <v>33</v>
      </c>
      <c r="B884" s="147">
        <v>74.0</v>
      </c>
      <c r="C884" s="136" t="s">
        <v>3723</v>
      </c>
      <c r="D884" s="83" t="s">
        <v>3616</v>
      </c>
      <c r="E884" s="33" t="str">
        <f>IFERROR(__xludf.DUMMYFUNCTION("""COMPUTED_VALUE"""),"Школа 1980")</f>
        <v>Школа 1980</v>
      </c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114" t="s">
        <v>33</v>
      </c>
      <c r="B885" s="144">
        <v>75.0</v>
      </c>
      <c r="C885" s="143" t="s">
        <v>3337</v>
      </c>
      <c r="D885" s="83" t="s">
        <v>3616</v>
      </c>
      <c r="E885" s="33" t="str">
        <f>IFERROR(__xludf.DUMMYFUNCTION("""COMPUTED_VALUE"""),"Школа 2000")</f>
        <v>Школа 2000</v>
      </c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114" t="s">
        <v>33</v>
      </c>
      <c r="B886" s="147">
        <v>76.0</v>
      </c>
      <c r="C886" s="143" t="s">
        <v>3659</v>
      </c>
      <c r="D886" s="83" t="s">
        <v>3616</v>
      </c>
      <c r="E886" s="33" t="str">
        <f>IFERROR(__xludf.DUMMYFUNCTION("""COMPUTED_VALUE"""),"Школа 2005")</f>
        <v>Школа 2005</v>
      </c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114" t="s">
        <v>33</v>
      </c>
      <c r="B887" s="149">
        <v>77.0</v>
      </c>
      <c r="C887" s="139" t="s">
        <v>3793</v>
      </c>
      <c r="D887" s="83" t="s">
        <v>3616</v>
      </c>
      <c r="E887" s="33" t="str">
        <f>IFERROR(__xludf.DUMMYFUNCTION("""COMPUTED_VALUE"""),"Школа 2031")</f>
        <v>Школа 2031</v>
      </c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114" t="s">
        <v>33</v>
      </c>
      <c r="B888" s="158">
        <v>78.0</v>
      </c>
      <c r="C888" s="143" t="s">
        <v>3358</v>
      </c>
      <c r="D888" s="83" t="s">
        <v>3616</v>
      </c>
      <c r="E888" s="33" t="str">
        <f>IFERROR(__xludf.DUMMYFUNCTION("""COMPUTED_VALUE"""),"Школа 2045")</f>
        <v>Школа 2045</v>
      </c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114" t="s">
        <v>33</v>
      </c>
      <c r="B889" s="147">
        <v>79.0</v>
      </c>
      <c r="C889" s="143" t="s">
        <v>3727</v>
      </c>
      <c r="D889" s="83" t="s">
        <v>3616</v>
      </c>
      <c r="E889" s="33" t="str">
        <f>IFERROR(__xludf.DUMMYFUNCTION("""COMPUTED_VALUE"""),"Школа 2065")</f>
        <v>Школа 2065</v>
      </c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114" t="s">
        <v>33</v>
      </c>
      <c r="B890" s="144">
        <v>80.0</v>
      </c>
      <c r="C890" s="143" t="s">
        <v>3663</v>
      </c>
      <c r="D890" s="83" t="s">
        <v>3616</v>
      </c>
      <c r="E890" s="33" t="str">
        <f>IFERROR(__xludf.DUMMYFUNCTION("""COMPUTED_VALUE"""),"Школа 2070")</f>
        <v>Школа 2070</v>
      </c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114" t="s">
        <v>33</v>
      </c>
      <c r="B891" s="149">
        <v>81.0</v>
      </c>
      <c r="C891" s="138" t="s">
        <v>3575</v>
      </c>
      <c r="D891" s="83" t="s">
        <v>3616</v>
      </c>
      <c r="E891" s="33" t="str">
        <f>IFERROR(__xludf.DUMMYFUNCTION("""COMPUTED_VALUE"""),"Школа 2072")</f>
        <v>Школа 2072</v>
      </c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114" t="s">
        <v>33</v>
      </c>
      <c r="B892" s="149">
        <v>82.0</v>
      </c>
      <c r="C892" s="153" t="s">
        <v>3728</v>
      </c>
      <c r="D892" s="83" t="s">
        <v>3616</v>
      </c>
      <c r="E892" s="33" t="str">
        <f>IFERROR(__xludf.DUMMYFUNCTION("""COMPUTED_VALUE"""),"Школа 2083")</f>
        <v>Школа 2083</v>
      </c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114" t="s">
        <v>33</v>
      </c>
      <c r="B893" s="148">
        <v>83.0</v>
      </c>
      <c r="C893" s="143" t="s">
        <v>3664</v>
      </c>
      <c r="D893" s="83" t="s">
        <v>3616</v>
      </c>
      <c r="E893" s="33" t="str">
        <f>IFERROR(__xludf.DUMMYFUNCTION("""COMPUTED_VALUE"""),"Школа 2087")</f>
        <v>Школа 2087</v>
      </c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114" t="s">
        <v>33</v>
      </c>
      <c r="B894" s="149">
        <v>84.0</v>
      </c>
      <c r="C894" s="143" t="s">
        <v>3665</v>
      </c>
      <c r="D894" s="83" t="s">
        <v>3616</v>
      </c>
      <c r="E894" s="33" t="str">
        <f>IFERROR(__xludf.DUMMYFUNCTION("""COMPUTED_VALUE"""),"Школа 2097")</f>
        <v>Школа 2097</v>
      </c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114" t="s">
        <v>33</v>
      </c>
      <c r="B895" s="148">
        <v>85.0</v>
      </c>
      <c r="C895" s="143" t="s">
        <v>3666</v>
      </c>
      <c r="D895" s="83" t="s">
        <v>3616</v>
      </c>
      <c r="E895" s="33" t="str">
        <f>IFERROR(__xludf.DUMMYFUNCTION("""COMPUTED_VALUE"""),"Школа 2098")</f>
        <v>Школа 2098</v>
      </c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114" t="s">
        <v>33</v>
      </c>
      <c r="B896" s="149">
        <v>86.0</v>
      </c>
      <c r="C896" s="139" t="s">
        <v>3485</v>
      </c>
      <c r="D896" s="83" t="s">
        <v>3616</v>
      </c>
      <c r="E896" s="33" t="str">
        <f>IFERROR(__xludf.DUMMYFUNCTION("""COMPUTED_VALUE"""),"Школа 2101")</f>
        <v>Школа 2101</v>
      </c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114" t="s">
        <v>33</v>
      </c>
      <c r="B897" s="149">
        <v>87.0</v>
      </c>
      <c r="C897" s="143" t="s">
        <v>3426</v>
      </c>
      <c r="D897" s="83" t="s">
        <v>3616</v>
      </c>
      <c r="E897" s="33" t="str">
        <f>IFERROR(__xludf.DUMMYFUNCTION("""COMPUTED_VALUE"""),"Школа 2120")</f>
        <v>Школа 2120</v>
      </c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114" t="s">
        <v>33</v>
      </c>
      <c r="B898" s="149">
        <v>88.0</v>
      </c>
      <c r="C898" s="143" t="s">
        <v>3794</v>
      </c>
      <c r="D898" s="83" t="s">
        <v>3616</v>
      </c>
      <c r="E898" s="33" t="str">
        <f>IFERROR(__xludf.DUMMYFUNCTION("""COMPUTED_VALUE"""),"Школа 2123")</f>
        <v>Школа 2123</v>
      </c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114" t="s">
        <v>33</v>
      </c>
      <c r="B899" s="144">
        <v>89.0</v>
      </c>
      <c r="C899" s="138" t="s">
        <v>3795</v>
      </c>
      <c r="D899" s="83" t="s">
        <v>3616</v>
      </c>
      <c r="E899" s="33" t="str">
        <f>IFERROR(__xludf.DUMMYFUNCTION("""COMPUTED_VALUE"""),"Школа 2129")</f>
        <v>Школа 2129</v>
      </c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114" t="s">
        <v>33</v>
      </c>
      <c r="B900" s="144">
        <v>90.0</v>
      </c>
      <c r="C900" s="136" t="s">
        <v>3667</v>
      </c>
      <c r="D900" s="83" t="s">
        <v>3616</v>
      </c>
      <c r="E900" s="33" t="str">
        <f>IFERROR(__xludf.DUMMYFUNCTION("""COMPUTED_VALUE"""),"Курчатовская школа")</f>
        <v>Курчатовская школа</v>
      </c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114" t="s">
        <v>33</v>
      </c>
      <c r="B901" s="140">
        <v>91.0</v>
      </c>
      <c r="C901" s="139" t="s">
        <v>3668</v>
      </c>
      <c r="D901" s="83" t="s">
        <v>3616</v>
      </c>
      <c r="E901" s="33" t="str">
        <f>IFERROR(__xludf.DUMMYFUNCTION("""COMPUTED_VALUE"""),"Школа в Некрасовке")</f>
        <v>Школа в Некрасовке</v>
      </c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114" t="s">
        <v>33</v>
      </c>
      <c r="B902" s="137">
        <v>92.0</v>
      </c>
      <c r="C902" s="141" t="s">
        <v>3734</v>
      </c>
      <c r="D902" s="83" t="s">
        <v>3616</v>
      </c>
      <c r="E902" s="33" t="str">
        <f>IFERROR(__xludf.DUMMYFUNCTION("""COMPUTED_VALUE"""),"Школа Глория")</f>
        <v>Школа Глория</v>
      </c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114" t="s">
        <v>33</v>
      </c>
      <c r="B903" s="142">
        <v>93.0</v>
      </c>
      <c r="C903" s="141" t="s">
        <v>3669</v>
      </c>
      <c r="D903" s="83" t="s">
        <v>3616</v>
      </c>
      <c r="E903" s="33" t="str">
        <f>IFERROR(__xludf.DUMMYFUNCTION("""COMPUTED_VALUE"""),"Школа Новокосино им. Героя Советского Союза адмирала А. П. Михайловского")</f>
        <v>Школа Новокосино им. Героя Советского Союза адмирала А. П. Михайловского</v>
      </c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114" t="s">
        <v>33</v>
      </c>
      <c r="B904" s="140">
        <v>94.0</v>
      </c>
      <c r="C904" s="145" t="s">
        <v>3529</v>
      </c>
      <c r="D904" s="83" t="s">
        <v>3616</v>
      </c>
      <c r="E904" s="33" t="str">
        <f>IFERROR(__xludf.DUMMYFUNCTION("""COMPUTED_VALUE"""),"Вешняковская школа")</f>
        <v>Вешняковская школа</v>
      </c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114" t="s">
        <v>33</v>
      </c>
      <c r="B905" s="148">
        <v>95.0</v>
      </c>
      <c r="C905" s="141" t="s">
        <v>3670</v>
      </c>
      <c r="D905" s="83" t="s">
        <v>3616</v>
      </c>
      <c r="E905" s="33" t="str">
        <f>IFERROR(__xludf.DUMMYFUNCTION("""COMPUTED_VALUE"""),"Образовательный центр Протон")</f>
        <v>Образовательный центр Протон</v>
      </c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114" t="s">
        <v>33</v>
      </c>
      <c r="B906" s="142">
        <v>96.0</v>
      </c>
      <c r="C906" s="139" t="s">
        <v>3486</v>
      </c>
      <c r="D906" s="83" t="s">
        <v>3616</v>
      </c>
      <c r="E906" s="33" t="str">
        <f>IFERROR(__xludf.DUMMYFUNCTION("""COMPUTED_VALUE"""),"Школа Дмитровский им. Героя Советского Союза В. П. Кислякова")</f>
        <v>Школа Дмитровский им. Героя Советского Союза В. П. Кислякова</v>
      </c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114" t="s">
        <v>33</v>
      </c>
      <c r="B907" s="147">
        <v>97.0</v>
      </c>
      <c r="C907" s="139" t="s">
        <v>3673</v>
      </c>
      <c r="D907" s="83" t="s">
        <v>3616</v>
      </c>
      <c r="E907" s="33" t="str">
        <f>IFERROR(__xludf.DUMMYFUNCTION("""COMPUTED_VALUE"""),"Школа Интеграл")</f>
        <v>Школа Интеграл</v>
      </c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114" t="s">
        <v>33</v>
      </c>
      <c r="B908" s="144">
        <v>98.0</v>
      </c>
      <c r="C908" s="143" t="s">
        <v>3671</v>
      </c>
      <c r="D908" s="83" t="s">
        <v>3616</v>
      </c>
      <c r="E908" s="33" t="str">
        <f>IFERROR(__xludf.DUMMYFUNCTION("""COMPUTED_VALUE"""),"Школа Покровский квартал")</f>
        <v>Школа Покровский квартал</v>
      </c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114" t="s">
        <v>33</v>
      </c>
      <c r="B909" s="147">
        <v>99.0</v>
      </c>
      <c r="C909" s="141" t="s">
        <v>3576</v>
      </c>
      <c r="D909" s="83" t="s">
        <v>3616</v>
      </c>
      <c r="E909" s="33" t="str">
        <f>IFERROR(__xludf.DUMMYFUNCTION("""COMPUTED_VALUE"""),"Школа Свиблово")</f>
        <v>Школа Свиблово</v>
      </c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114" t="s">
        <v>33</v>
      </c>
      <c r="B910" s="144">
        <v>100.0</v>
      </c>
      <c r="C910" s="143" t="s">
        <v>3367</v>
      </c>
      <c r="D910" s="83" t="s">
        <v>3616</v>
      </c>
      <c r="E910" s="33" t="str">
        <f>IFERROR(__xludf.DUMMYFUNCTION("""COMPUTED_VALUE"""),"Школа им. В. В. Маяковского")</f>
        <v>Школа им. В. В. Маяковского</v>
      </c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114" t="s">
        <v>33</v>
      </c>
      <c r="B911" s="135">
        <v>101.0</v>
      </c>
      <c r="C911" s="139" t="s">
        <v>3672</v>
      </c>
      <c r="D911" s="83" t="s">
        <v>3616</v>
      </c>
      <c r="E911" s="33" t="str">
        <f>IFERROR(__xludf.DUMMYFUNCTION("""COMPUTED_VALUE"""),"Школа Марьина Роща им. В. Ф. Орлова")</f>
        <v>Школа Марьина Роща им. В. Ф. Орлова</v>
      </c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114" t="s">
        <v>33</v>
      </c>
      <c r="B912" s="149">
        <v>102.0</v>
      </c>
      <c r="C912" s="143" t="s">
        <v>3735</v>
      </c>
      <c r="D912" s="83" t="s">
        <v>3616</v>
      </c>
      <c r="E912" s="33" t="str">
        <f>IFERROR(__xludf.DUMMYFUNCTION("""COMPUTED_VALUE"""),"Школа на проспекте Вернадского")</f>
        <v>Школа на проспекте Вернадского</v>
      </c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</sheetData>
  <conditionalFormatting sqref="A1:A912">
    <cfRule type="containsText" dxfId="0" priority="1" operator="containsText" text="Инженерный">
      <formula>NOT(ISERROR(SEARCH(("Инженерный"),(A1))))</formula>
    </cfRule>
  </conditionalFormatting>
  <conditionalFormatting sqref="A1:A912">
    <cfRule type="containsText" dxfId="1" priority="2" operator="containsText" text="Медицинский">
      <formula>NOT(ISERROR(SEARCH(("Медицинский"),(A1))))</formula>
    </cfRule>
  </conditionalFormatting>
  <conditionalFormatting sqref="A1:A912">
    <cfRule type="containsText" dxfId="2" priority="3" operator="containsText" text="ИТ">
      <formula>NOT(ISERROR(SEARCH(("ИТ"),(A1))))</formula>
    </cfRule>
  </conditionalFormatting>
  <conditionalFormatting sqref="A1:A912">
    <cfRule type="containsText" dxfId="3" priority="4" operator="containsText" text="Медиа">
      <formula>NOT(ISERROR(SEARCH(("Медиа"),(A1))))</formula>
    </cfRule>
  </conditionalFormatting>
  <conditionalFormatting sqref="A1:A912">
    <cfRule type="containsText" dxfId="4" priority="5" operator="containsText" text="Предпринимательский">
      <formula>NOT(ISERROR(SEARCH(("Предпринимательский"),(A1))))</formula>
    </cfRule>
  </conditionalFormatting>
  <conditionalFormatting sqref="A1:A912">
    <cfRule type="containsText" dxfId="5" priority="6" operator="containsText" text="Педагогический">
      <formula>NOT(ISERROR(SEARCH(("Педагогический"),(A1))))</formula>
    </cfRule>
  </conditionalFormatting>
  <conditionalFormatting sqref="E1:E912">
    <cfRule type="notContainsBlanks" dxfId="4" priority="7">
      <formula>LEN(TRIM(E1))&gt;0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9.13"/>
    <col customWidth="1" min="3" max="3" width="172.75"/>
    <col customWidth="1" min="4" max="4" width="22.25"/>
    <col customWidth="1" min="5" max="5" width="22.88"/>
    <col customWidth="1" min="6" max="6" width="44.38"/>
    <col customWidth="1" min="8" max="8" width="11.88"/>
    <col customWidth="1" min="9" max="9" width="40.13"/>
    <col customWidth="1" min="11" max="11" width="10.5"/>
    <col customWidth="1" min="12" max="12" width="27.75"/>
    <col customWidth="1" min="13" max="13" width="39.38"/>
    <col customWidth="1" min="14" max="14" width="10.5"/>
    <col customWidth="1" min="16" max="16" width="43.63"/>
    <col customWidth="1" min="17" max="17" width="40.75"/>
    <col customWidth="1" min="20" max="20" width="43.38"/>
  </cols>
  <sheetData>
    <row r="1">
      <c r="A1" s="32" t="s">
        <v>27</v>
      </c>
      <c r="B1" s="19" t="s">
        <v>3796</v>
      </c>
      <c r="C1" s="19" t="s">
        <v>56</v>
      </c>
      <c r="D1" s="19" t="s">
        <v>3797</v>
      </c>
      <c r="E1" s="19" t="s">
        <v>59</v>
      </c>
      <c r="G1" s="33"/>
      <c r="J1" s="159"/>
      <c r="N1" s="160"/>
      <c r="R1" s="33"/>
      <c r="U1" s="33"/>
      <c r="V1" s="33"/>
      <c r="W1" s="33"/>
      <c r="X1" s="33"/>
      <c r="Y1" s="33"/>
      <c r="Z1" s="33"/>
      <c r="AA1" s="33"/>
    </row>
    <row r="2">
      <c r="A2" s="7" t="s">
        <v>29</v>
      </c>
      <c r="B2" s="26">
        <v>1.0</v>
      </c>
      <c r="C2" s="83" t="s">
        <v>3430</v>
      </c>
      <c r="D2" s="161"/>
      <c r="E2" s="33" t="str">
        <f>IFERROR(__xludf.DUMMYFUNCTION("ARRAYFORMULA(IF(C2:C635="""",,MAP(C2:C635,LAMBDA(текст,LET(
  ш1, REGEXREPLACE(текст, ""\n"", "" ""),
  ш2, REGEXREPLACE(ш1, ""(?i)(государственное|бюджетное|автономное|общеобразовательное|учреждение|города\s+москвы|г\.\s*москвы|гбоу|гаоу|сош|ноу|чоу)"", "&amp;"""""),
  ш3, REGEXREPLACE(ш2, ""(?i)(имени|им\.)"", ""им.""),
  ш4, REGEXREPLACE(ш3, ""[«»""""]"", """"),
  ш5, REGEXREPLACE(ш4, ""\([^)]*\)"", """"),
  ш6, REGEXREPLACE(ш5, ""(?i)^школа\s+школа\s+"", ""Школа ""),
  ш7, REGEXREPLACE(ш6, ""\s*\.\s*"", "". "&amp;"""),
  ш8, REGEXREPLACE(ш7, ""\s*,\s*"", "" ""),
  ш9, REGEXREPLACE(ш8, ""\s+"", "" ""),
  ш10, TRIM(SUBSTITUTE(SUBSTITUTE(ш9, ""ё"", ""е""), ""Ё"", ""Е"")),
  номер, IFERROR(REGEXEXTRACT(ш10, ""(?i)(?:^|[^0-9])(?:школа\s*)?(?:№|N|N°)?\s*(\d{1,4})(?:[^0-9"&amp;"]|$)""), """"),
  итог, IF(номер&lt;&gt;"""", ""Школа "" &amp; номер, ш10),
  REGEXREPLACE(итог, ""[\.,\- ]+$"", """")
)))))"),"Школа 7")</f>
        <v>Школа 7</v>
      </c>
      <c r="G2" s="33"/>
      <c r="J2" s="159"/>
      <c r="N2" s="160"/>
      <c r="R2" s="33"/>
      <c r="U2" s="33"/>
      <c r="V2" s="33"/>
      <c r="W2" s="33"/>
      <c r="X2" s="33"/>
      <c r="Y2" s="33"/>
      <c r="Z2" s="33"/>
      <c r="AA2" s="33"/>
    </row>
    <row r="3">
      <c r="A3" s="7" t="s">
        <v>29</v>
      </c>
      <c r="B3" s="26">
        <v>2.0</v>
      </c>
      <c r="C3" s="83" t="s">
        <v>3341</v>
      </c>
      <c r="D3" s="161"/>
      <c r="E3" s="162" t="str">
        <f>IFERROR(__xludf.DUMMYFUNCTION("""COMPUTED_VALUE"""),"Школа 67")</f>
        <v>Школа 67</v>
      </c>
      <c r="G3" s="33"/>
      <c r="J3" s="159"/>
      <c r="N3" s="160"/>
      <c r="R3" s="33"/>
      <c r="U3" s="33"/>
      <c r="V3" s="33"/>
      <c r="W3" s="33"/>
      <c r="X3" s="33"/>
      <c r="Y3" s="33"/>
      <c r="Z3" s="33"/>
      <c r="AA3" s="33"/>
    </row>
    <row r="4">
      <c r="A4" s="7" t="s">
        <v>29</v>
      </c>
      <c r="B4" s="26">
        <v>3.0</v>
      </c>
      <c r="C4" s="83" t="s">
        <v>3459</v>
      </c>
      <c r="D4" s="161"/>
      <c r="E4" s="162" t="str">
        <f>IFERROR(__xludf.DUMMYFUNCTION("""COMPUTED_VALUE"""),"Школа 138")</f>
        <v>Школа 138</v>
      </c>
      <c r="G4" s="33"/>
      <c r="J4" s="159"/>
      <c r="N4" s="160"/>
      <c r="R4" s="33"/>
      <c r="U4" s="33"/>
      <c r="V4" s="33"/>
      <c r="W4" s="33"/>
      <c r="X4" s="33"/>
      <c r="Y4" s="33"/>
      <c r="Z4" s="33"/>
      <c r="AA4" s="33"/>
    </row>
    <row r="5">
      <c r="A5" s="7" t="s">
        <v>29</v>
      </c>
      <c r="B5" s="26">
        <v>4.0</v>
      </c>
      <c r="C5" s="83" t="s">
        <v>3550</v>
      </c>
      <c r="D5" s="161"/>
      <c r="E5" s="162" t="str">
        <f>IFERROR(__xludf.DUMMYFUNCTION("""COMPUTED_VALUE"""),"Школа 167")</f>
        <v>Школа 167</v>
      </c>
      <c r="G5" s="33"/>
      <c r="J5" s="159"/>
      <c r="N5" s="160"/>
      <c r="R5" s="33"/>
      <c r="U5" s="33"/>
      <c r="V5" s="33"/>
      <c r="W5" s="33"/>
      <c r="X5" s="33"/>
      <c r="Y5" s="33"/>
      <c r="Z5" s="33"/>
      <c r="AA5" s="33"/>
    </row>
    <row r="6">
      <c r="A6" s="7" t="s">
        <v>29</v>
      </c>
      <c r="B6" s="26">
        <v>5.0</v>
      </c>
      <c r="C6" s="83" t="s">
        <v>3615</v>
      </c>
      <c r="D6" s="161"/>
      <c r="E6" s="162" t="str">
        <f>IFERROR(__xludf.DUMMYFUNCTION("""COMPUTED_VALUE"""),"Школа 171")</f>
        <v>Школа 171</v>
      </c>
      <c r="G6" s="33"/>
      <c r="J6" s="159"/>
      <c r="N6" s="160"/>
      <c r="R6" s="33"/>
      <c r="U6" s="33"/>
      <c r="V6" s="33"/>
      <c r="W6" s="33"/>
      <c r="X6" s="33"/>
      <c r="Y6" s="33"/>
      <c r="Z6" s="33"/>
      <c r="AA6" s="33"/>
    </row>
    <row r="7">
      <c r="A7" s="7" t="s">
        <v>29</v>
      </c>
      <c r="B7" s="26">
        <v>6.0</v>
      </c>
      <c r="C7" s="83" t="s">
        <v>3371</v>
      </c>
      <c r="D7" s="161"/>
      <c r="E7" s="162" t="str">
        <f>IFERROR(__xludf.DUMMYFUNCTION("""COMPUTED_VALUE"""),"Школа 185")</f>
        <v>Школа 185</v>
      </c>
      <c r="G7" s="33"/>
      <c r="J7" s="159"/>
      <c r="N7" s="160"/>
      <c r="R7" s="33"/>
      <c r="U7" s="33"/>
      <c r="V7" s="33"/>
      <c r="W7" s="33"/>
      <c r="X7" s="33"/>
      <c r="Y7" s="33"/>
      <c r="Z7" s="33"/>
      <c r="AA7" s="33"/>
    </row>
    <row r="8">
      <c r="A8" s="7" t="s">
        <v>29</v>
      </c>
      <c r="B8" s="26">
        <v>7.0</v>
      </c>
      <c r="C8" s="83" t="s">
        <v>3798</v>
      </c>
      <c r="D8" s="161"/>
      <c r="E8" s="162" t="str">
        <f>IFERROR(__xludf.DUMMYFUNCTION("""COMPUTED_VALUE"""),"Школа 201")</f>
        <v>Школа 201</v>
      </c>
      <c r="G8" s="33"/>
      <c r="J8" s="159"/>
      <c r="N8" s="160"/>
      <c r="R8" s="33"/>
      <c r="U8" s="33"/>
      <c r="V8" s="33"/>
      <c r="W8" s="33"/>
      <c r="X8" s="33"/>
      <c r="Y8" s="33"/>
      <c r="Z8" s="33"/>
      <c r="AA8" s="33"/>
    </row>
    <row r="9">
      <c r="A9" s="7" t="s">
        <v>29</v>
      </c>
      <c r="B9" s="26">
        <v>8.0</v>
      </c>
      <c r="C9" s="83" t="s">
        <v>3551</v>
      </c>
      <c r="D9" s="161"/>
      <c r="E9" s="162" t="str">
        <f>IFERROR(__xludf.DUMMYFUNCTION("""COMPUTED_VALUE"""),"Школа 224")</f>
        <v>Школа 224</v>
      </c>
      <c r="G9" s="33"/>
      <c r="J9" s="159"/>
      <c r="N9" s="160"/>
      <c r="R9" s="33"/>
      <c r="U9" s="33"/>
      <c r="V9" s="33"/>
      <c r="W9" s="33"/>
      <c r="X9" s="33"/>
      <c r="Y9" s="33"/>
      <c r="Z9" s="33"/>
      <c r="AA9" s="33"/>
    </row>
    <row r="10">
      <c r="A10" s="7" t="s">
        <v>29</v>
      </c>
      <c r="B10" s="26">
        <v>9.0</v>
      </c>
      <c r="C10" s="83" t="s">
        <v>3435</v>
      </c>
      <c r="D10" s="161"/>
      <c r="E10" s="162" t="str">
        <f>IFERROR(__xludf.DUMMYFUNCTION("""COMPUTED_VALUE"""),"Школа 283")</f>
        <v>Школа 283</v>
      </c>
      <c r="G10" s="33"/>
      <c r="J10" s="159"/>
      <c r="N10" s="160"/>
      <c r="R10" s="33"/>
      <c r="U10" s="33"/>
      <c r="V10" s="33"/>
      <c r="W10" s="33"/>
      <c r="X10" s="33"/>
      <c r="Y10" s="33"/>
      <c r="Z10" s="33"/>
      <c r="AA10" s="33"/>
    </row>
    <row r="11">
      <c r="A11" s="7" t="s">
        <v>29</v>
      </c>
      <c r="B11" s="26">
        <v>10.0</v>
      </c>
      <c r="C11" s="83" t="s">
        <v>3677</v>
      </c>
      <c r="D11" s="161"/>
      <c r="E11" s="162" t="str">
        <f>IFERROR(__xludf.DUMMYFUNCTION("""COMPUTED_VALUE"""),"Школа 354")</f>
        <v>Школа 354</v>
      </c>
      <c r="G11" s="33"/>
      <c r="J11" s="159"/>
      <c r="N11" s="160"/>
      <c r="R11" s="33"/>
      <c r="U11" s="33"/>
      <c r="V11" s="33"/>
      <c r="W11" s="33"/>
      <c r="X11" s="33"/>
      <c r="Y11" s="33"/>
      <c r="Z11" s="33"/>
      <c r="AA11" s="33"/>
    </row>
    <row r="12">
      <c r="A12" s="7" t="s">
        <v>29</v>
      </c>
      <c r="B12" s="26">
        <v>11.0</v>
      </c>
      <c r="C12" s="83" t="s">
        <v>3532</v>
      </c>
      <c r="D12" s="161"/>
      <c r="E12" s="162" t="str">
        <f>IFERROR(__xludf.DUMMYFUNCTION("""COMPUTED_VALUE"""),"Школа 429")</f>
        <v>Школа 429</v>
      </c>
      <c r="G12" s="33"/>
      <c r="J12" s="159"/>
      <c r="N12" s="160"/>
      <c r="R12" s="33"/>
      <c r="U12" s="33"/>
      <c r="V12" s="33"/>
      <c r="W12" s="33"/>
      <c r="X12" s="33"/>
      <c r="Y12" s="33"/>
      <c r="Z12" s="33"/>
      <c r="AA12" s="33"/>
    </row>
    <row r="13">
      <c r="A13" s="7" t="s">
        <v>29</v>
      </c>
      <c r="B13" s="26">
        <v>12.0</v>
      </c>
      <c r="C13" s="83" t="s">
        <v>3619</v>
      </c>
      <c r="D13" s="161"/>
      <c r="E13" s="162" t="str">
        <f>IFERROR(__xludf.DUMMYFUNCTION("""COMPUTED_VALUE"""),"Школа 444")</f>
        <v>Школа 444</v>
      </c>
      <c r="G13" s="33"/>
      <c r="J13" s="160"/>
      <c r="N13" s="160"/>
      <c r="R13" s="33"/>
      <c r="U13" s="33"/>
      <c r="V13" s="33"/>
      <c r="W13" s="33"/>
      <c r="X13" s="33"/>
      <c r="Y13" s="33"/>
      <c r="Z13" s="33"/>
      <c r="AA13" s="33"/>
    </row>
    <row r="14">
      <c r="A14" s="7" t="s">
        <v>29</v>
      </c>
      <c r="B14" s="26">
        <v>13.0</v>
      </c>
      <c r="C14" s="83" t="s">
        <v>3620</v>
      </c>
      <c r="D14" s="161"/>
      <c r="E14" s="162" t="str">
        <f>IFERROR(__xludf.DUMMYFUNCTION("""COMPUTED_VALUE"""),"Школа 548")</f>
        <v>Школа 548</v>
      </c>
      <c r="G14" s="33"/>
      <c r="J14" s="160"/>
      <c r="N14" s="160"/>
      <c r="R14" s="33"/>
      <c r="U14" s="33"/>
      <c r="V14" s="33"/>
      <c r="W14" s="33"/>
      <c r="X14" s="33"/>
      <c r="Y14" s="33"/>
      <c r="Z14" s="33"/>
      <c r="AA14" s="33"/>
    </row>
    <row r="15">
      <c r="A15" s="7" t="s">
        <v>29</v>
      </c>
      <c r="B15" s="26">
        <v>14.0</v>
      </c>
      <c r="C15" s="83" t="s">
        <v>3678</v>
      </c>
      <c r="D15" s="161"/>
      <c r="E15" s="162" t="str">
        <f>IFERROR(__xludf.DUMMYFUNCTION("""COMPUTED_VALUE"""),"Школа 597")</f>
        <v>Школа 597</v>
      </c>
      <c r="G15" s="33"/>
      <c r="J15" s="160"/>
      <c r="N15" s="160"/>
      <c r="R15" s="33"/>
      <c r="U15" s="33"/>
      <c r="V15" s="33"/>
      <c r="W15" s="33"/>
      <c r="X15" s="33"/>
      <c r="Y15" s="33"/>
      <c r="Z15" s="33"/>
      <c r="AA15" s="33"/>
    </row>
    <row r="16">
      <c r="A16" s="7" t="s">
        <v>29</v>
      </c>
      <c r="B16" s="26">
        <v>15.0</v>
      </c>
      <c r="C16" s="83" t="s">
        <v>3679</v>
      </c>
      <c r="D16" s="161"/>
      <c r="E16" s="162" t="str">
        <f>IFERROR(__xludf.DUMMYFUNCTION("""COMPUTED_VALUE"""),"Школа 618")</f>
        <v>Школа 618</v>
      </c>
      <c r="G16" s="33"/>
      <c r="J16" s="160"/>
      <c r="N16" s="160"/>
      <c r="R16" s="33"/>
      <c r="U16" s="33"/>
      <c r="V16" s="33"/>
      <c r="W16" s="33"/>
      <c r="X16" s="33"/>
      <c r="Y16" s="33"/>
      <c r="Z16" s="33"/>
      <c r="AA16" s="33"/>
    </row>
    <row r="17">
      <c r="A17" s="7" t="s">
        <v>29</v>
      </c>
      <c r="B17" s="26">
        <v>16.0</v>
      </c>
      <c r="C17" s="83" t="s">
        <v>3535</v>
      </c>
      <c r="D17" s="161"/>
      <c r="E17" s="162" t="str">
        <f>IFERROR(__xludf.DUMMYFUNCTION("""COMPUTED_VALUE"""),"Школа 641")</f>
        <v>Школа 641</v>
      </c>
      <c r="G17" s="33"/>
      <c r="J17" s="160"/>
      <c r="N17" s="160"/>
      <c r="R17" s="33"/>
      <c r="U17" s="33"/>
      <c r="V17" s="33"/>
      <c r="W17" s="33"/>
      <c r="X17" s="33"/>
      <c r="Y17" s="33"/>
      <c r="Z17" s="33"/>
      <c r="AA17" s="33"/>
    </row>
    <row r="18">
      <c r="A18" s="7" t="s">
        <v>29</v>
      </c>
      <c r="B18" s="26">
        <v>17.0</v>
      </c>
      <c r="C18" s="83" t="s">
        <v>3374</v>
      </c>
      <c r="D18" s="161"/>
      <c r="E18" s="162" t="str">
        <f>IFERROR(__xludf.DUMMYFUNCTION("""COMPUTED_VALUE"""),"Школа 648")</f>
        <v>Школа 648</v>
      </c>
      <c r="G18" s="33"/>
      <c r="J18" s="160"/>
      <c r="N18" s="160"/>
      <c r="R18" s="33"/>
      <c r="U18" s="33"/>
      <c r="V18" s="33"/>
      <c r="W18" s="33"/>
      <c r="X18" s="33"/>
      <c r="Y18" s="33"/>
      <c r="Z18" s="33"/>
      <c r="AA18" s="33"/>
    </row>
    <row r="19">
      <c r="A19" s="7" t="s">
        <v>29</v>
      </c>
      <c r="B19" s="26">
        <v>18.0</v>
      </c>
      <c r="C19" s="83" t="s">
        <v>3375</v>
      </c>
      <c r="D19" s="161"/>
      <c r="E19" s="162" t="str">
        <f>IFERROR(__xludf.DUMMYFUNCTION("""COMPUTED_VALUE"""),"Школа 654")</f>
        <v>Школа 654</v>
      </c>
      <c r="G19" s="33"/>
      <c r="J19" s="160"/>
      <c r="N19" s="160"/>
      <c r="R19" s="33"/>
      <c r="U19" s="33"/>
      <c r="V19" s="33"/>
      <c r="W19" s="33"/>
      <c r="X19" s="33"/>
      <c r="Y19" s="33"/>
      <c r="Z19" s="33"/>
      <c r="AA19" s="33"/>
    </row>
    <row r="20">
      <c r="A20" s="7" t="s">
        <v>29</v>
      </c>
      <c r="B20" s="26">
        <v>19.0</v>
      </c>
      <c r="C20" s="83" t="s">
        <v>3681</v>
      </c>
      <c r="D20" s="161"/>
      <c r="E20" s="162" t="str">
        <f>IFERROR(__xludf.DUMMYFUNCTION("""COMPUTED_VALUE"""),"Школа 667")</f>
        <v>Школа 667</v>
      </c>
      <c r="G20" s="33"/>
      <c r="J20" s="160"/>
      <c r="N20" s="160"/>
      <c r="R20" s="33"/>
      <c r="U20" s="33"/>
      <c r="V20" s="33"/>
      <c r="W20" s="33"/>
      <c r="X20" s="33"/>
      <c r="Y20" s="33"/>
      <c r="Z20" s="33"/>
      <c r="AA20" s="33"/>
    </row>
    <row r="21">
      <c r="A21" s="7" t="s">
        <v>29</v>
      </c>
      <c r="B21" s="26">
        <v>20.0</v>
      </c>
      <c r="C21" s="83" t="s">
        <v>3799</v>
      </c>
      <c r="D21" s="161"/>
      <c r="E21" s="162" t="str">
        <f>IFERROR(__xludf.DUMMYFUNCTION("""COMPUTED_VALUE"""),"Школа 709")</f>
        <v>Школа 709</v>
      </c>
      <c r="G21" s="33"/>
      <c r="J21" s="160"/>
      <c r="N21" s="160"/>
      <c r="R21" s="33"/>
      <c r="U21" s="33"/>
      <c r="V21" s="33"/>
      <c r="W21" s="33"/>
      <c r="X21" s="33"/>
      <c r="Y21" s="33"/>
      <c r="Z21" s="33"/>
      <c r="AA21" s="33"/>
    </row>
    <row r="22">
      <c r="A22" s="7" t="s">
        <v>29</v>
      </c>
      <c r="B22" s="26">
        <v>21.0</v>
      </c>
      <c r="C22" s="83" t="s">
        <v>3800</v>
      </c>
      <c r="D22" s="161"/>
      <c r="E22" s="162" t="str">
        <f>IFERROR(__xludf.DUMMYFUNCTION("""COMPUTED_VALUE"""),"Школа 806")</f>
        <v>Школа 806</v>
      </c>
      <c r="G22" s="33"/>
      <c r="J22" s="160"/>
      <c r="N22" s="160"/>
      <c r="R22" s="33"/>
      <c r="U22" s="33"/>
      <c r="V22" s="33"/>
      <c r="W22" s="33"/>
      <c r="X22" s="33"/>
      <c r="Y22" s="33"/>
      <c r="Z22" s="33"/>
      <c r="AA22" s="33"/>
    </row>
    <row r="23">
      <c r="A23" s="7" t="s">
        <v>29</v>
      </c>
      <c r="B23" s="26">
        <v>22.0</v>
      </c>
      <c r="C23" s="83" t="s">
        <v>3466</v>
      </c>
      <c r="D23" s="161"/>
      <c r="E23" s="162" t="str">
        <f>IFERROR(__xludf.DUMMYFUNCTION("""COMPUTED_VALUE"""),"Школа 853")</f>
        <v>Школа 853</v>
      </c>
      <c r="G23" s="33"/>
      <c r="J23" s="160"/>
      <c r="N23" s="160"/>
      <c r="R23" s="33"/>
      <c r="U23" s="33"/>
      <c r="V23" s="33"/>
      <c r="W23" s="33"/>
      <c r="X23" s="33"/>
      <c r="Y23" s="33"/>
      <c r="Z23" s="33"/>
      <c r="AA23" s="33"/>
    </row>
    <row r="24">
      <c r="A24" s="7" t="s">
        <v>29</v>
      </c>
      <c r="B24" s="26">
        <v>23.0</v>
      </c>
      <c r="C24" s="83" t="s">
        <v>3683</v>
      </c>
      <c r="D24" s="161"/>
      <c r="E24" s="162" t="str">
        <f>IFERROR(__xludf.DUMMYFUNCTION("""COMPUTED_VALUE"""),"Школа 878")</f>
        <v>Школа 878</v>
      </c>
      <c r="G24" s="33"/>
      <c r="J24" s="160"/>
      <c r="N24" s="160"/>
      <c r="R24" s="33"/>
      <c r="U24" s="33"/>
      <c r="V24" s="33"/>
      <c r="W24" s="33"/>
      <c r="X24" s="33"/>
      <c r="Y24" s="33"/>
      <c r="Z24" s="33"/>
      <c r="AA24" s="33"/>
    </row>
    <row r="25">
      <c r="A25" s="7" t="s">
        <v>29</v>
      </c>
      <c r="B25" s="26">
        <v>24.0</v>
      </c>
      <c r="C25" s="83" t="s">
        <v>3501</v>
      </c>
      <c r="D25" s="161"/>
      <c r="E25" s="162" t="str">
        <f>IFERROR(__xludf.DUMMYFUNCTION("""COMPUTED_VALUE"""),"Школа 904")</f>
        <v>Школа 904</v>
      </c>
      <c r="G25" s="33"/>
      <c r="J25" s="160"/>
      <c r="N25" s="160"/>
      <c r="R25" s="33"/>
      <c r="U25" s="33"/>
      <c r="V25" s="33"/>
      <c r="W25" s="33"/>
      <c r="X25" s="33"/>
      <c r="Y25" s="33"/>
      <c r="Z25" s="33"/>
      <c r="AA25" s="33"/>
    </row>
    <row r="26">
      <c r="A26" s="7" t="s">
        <v>29</v>
      </c>
      <c r="B26" s="26">
        <v>25.0</v>
      </c>
      <c r="C26" s="83" t="s">
        <v>3380</v>
      </c>
      <c r="D26" s="161"/>
      <c r="E26" s="162" t="str">
        <f>IFERROR(__xludf.DUMMYFUNCTION("""COMPUTED_VALUE"""),"Школа 924")</f>
        <v>Школа 924</v>
      </c>
      <c r="G26" s="33"/>
      <c r="J26" s="160"/>
      <c r="N26" s="160"/>
      <c r="R26" s="33"/>
      <c r="U26" s="33"/>
      <c r="V26" s="33"/>
      <c r="W26" s="33"/>
      <c r="X26" s="33"/>
      <c r="Y26" s="33"/>
      <c r="Z26" s="33"/>
      <c r="AA26" s="33"/>
    </row>
    <row r="27">
      <c r="A27" s="7" t="s">
        <v>29</v>
      </c>
      <c r="B27" s="26">
        <v>26.0</v>
      </c>
      <c r="C27" s="83" t="s">
        <v>3684</v>
      </c>
      <c r="D27" s="161"/>
      <c r="E27" s="162" t="str">
        <f>IFERROR(__xludf.DUMMYFUNCTION("""COMPUTED_VALUE"""),"Школа 953")</f>
        <v>Школа 953</v>
      </c>
      <c r="G27" s="33"/>
      <c r="J27" s="160"/>
      <c r="N27" s="160"/>
      <c r="R27" s="33"/>
      <c r="U27" s="33"/>
      <c r="V27" s="33"/>
      <c r="W27" s="33"/>
      <c r="X27" s="33"/>
      <c r="Y27" s="33"/>
      <c r="Z27" s="33"/>
      <c r="AA27" s="33"/>
    </row>
    <row r="28">
      <c r="A28" s="7" t="s">
        <v>29</v>
      </c>
      <c r="B28" s="26">
        <v>27.0</v>
      </c>
      <c r="C28" s="83" t="s">
        <v>3622</v>
      </c>
      <c r="D28" s="161"/>
      <c r="E28" s="162" t="str">
        <f>IFERROR(__xludf.DUMMYFUNCTION("""COMPUTED_VALUE"""),"Школа 1002")</f>
        <v>Школа 1002</v>
      </c>
      <c r="G28" s="33"/>
      <c r="J28" s="160"/>
      <c r="N28" s="160"/>
      <c r="R28" s="33"/>
      <c r="U28" s="33"/>
      <c r="V28" s="33"/>
      <c r="W28" s="33"/>
      <c r="X28" s="33"/>
      <c r="Y28" s="33"/>
      <c r="Z28" s="33"/>
      <c r="AA28" s="33"/>
    </row>
    <row r="29">
      <c r="A29" s="7" t="s">
        <v>29</v>
      </c>
      <c r="B29" s="26">
        <v>28.0</v>
      </c>
      <c r="C29" s="83" t="s">
        <v>3321</v>
      </c>
      <c r="D29" s="161"/>
      <c r="E29" s="162" t="str">
        <f>IFERROR(__xludf.DUMMYFUNCTION("""COMPUTED_VALUE"""),"Школа 1034")</f>
        <v>Школа 1034</v>
      </c>
      <c r="G29" s="33"/>
      <c r="J29" s="160"/>
      <c r="N29" s="160"/>
      <c r="R29" s="33"/>
      <c r="U29" s="33"/>
      <c r="V29" s="33"/>
      <c r="W29" s="33"/>
      <c r="X29" s="33"/>
      <c r="Y29" s="33"/>
      <c r="Z29" s="33"/>
      <c r="AA29" s="33"/>
    </row>
    <row r="30">
      <c r="A30" s="7" t="s">
        <v>29</v>
      </c>
      <c r="B30" s="26">
        <v>29.0</v>
      </c>
      <c r="C30" s="83" t="s">
        <v>3686</v>
      </c>
      <c r="D30" s="161"/>
      <c r="E30" s="162" t="str">
        <f>IFERROR(__xludf.DUMMYFUNCTION("""COMPUTED_VALUE"""),"Школа 1150")</f>
        <v>Школа 1150</v>
      </c>
      <c r="G30" s="33"/>
      <c r="J30" s="160"/>
      <c r="N30" s="160"/>
      <c r="R30" s="33"/>
      <c r="U30" s="33"/>
      <c r="V30" s="33"/>
      <c r="W30" s="33"/>
      <c r="X30" s="33"/>
      <c r="Y30" s="33"/>
      <c r="Z30" s="33"/>
      <c r="AA30" s="33"/>
    </row>
    <row r="31">
      <c r="A31" s="7" t="s">
        <v>29</v>
      </c>
      <c r="B31" s="26">
        <v>30.0</v>
      </c>
      <c r="C31" s="83" t="s">
        <v>3623</v>
      </c>
      <c r="D31" s="161"/>
      <c r="E31" s="162" t="str">
        <f>IFERROR(__xludf.DUMMYFUNCTION("""COMPUTED_VALUE"""),"Школа 1158")</f>
        <v>Школа 1158</v>
      </c>
      <c r="G31" s="33"/>
      <c r="J31" s="160"/>
      <c r="N31" s="160"/>
      <c r="R31" s="33"/>
      <c r="U31" s="33"/>
      <c r="V31" s="33"/>
      <c r="W31" s="33"/>
      <c r="X31" s="33"/>
      <c r="Y31" s="33"/>
      <c r="Z31" s="33"/>
      <c r="AA31" s="33"/>
    </row>
    <row r="32">
      <c r="A32" s="7" t="s">
        <v>29</v>
      </c>
      <c r="B32" s="26">
        <v>31.0</v>
      </c>
      <c r="C32" s="83" t="s">
        <v>3688</v>
      </c>
      <c r="D32" s="161"/>
      <c r="E32" s="162" t="str">
        <f>IFERROR(__xludf.DUMMYFUNCTION("""COMPUTED_VALUE"""),"Школа 1191")</f>
        <v>Школа 1191</v>
      </c>
      <c r="G32" s="33"/>
      <c r="J32" s="160"/>
      <c r="N32" s="160"/>
      <c r="R32" s="33"/>
      <c r="U32" s="33"/>
      <c r="V32" s="33"/>
      <c r="W32" s="33"/>
      <c r="X32" s="33"/>
      <c r="Y32" s="33"/>
      <c r="Z32" s="33"/>
      <c r="AA32" s="33"/>
    </row>
    <row r="33">
      <c r="A33" s="7" t="s">
        <v>29</v>
      </c>
      <c r="B33" s="26">
        <v>32.0</v>
      </c>
      <c r="C33" s="83" t="s">
        <v>3624</v>
      </c>
      <c r="D33" s="161"/>
      <c r="E33" s="162" t="str">
        <f>IFERROR(__xludf.DUMMYFUNCTION("""COMPUTED_VALUE"""),"Школа 1194")</f>
        <v>Школа 1194</v>
      </c>
      <c r="G33" s="33"/>
      <c r="J33" s="160"/>
      <c r="N33" s="160"/>
      <c r="R33" s="33"/>
      <c r="U33" s="33"/>
      <c r="V33" s="33"/>
      <c r="W33" s="33"/>
      <c r="X33" s="33"/>
      <c r="Y33" s="33"/>
      <c r="Z33" s="33"/>
      <c r="AA33" s="33"/>
    </row>
    <row r="34">
      <c r="A34" s="7" t="s">
        <v>29</v>
      </c>
      <c r="B34" s="26">
        <v>33.0</v>
      </c>
      <c r="C34" s="83" t="s">
        <v>3345</v>
      </c>
      <c r="D34" s="161"/>
      <c r="E34" s="162" t="str">
        <f>IFERROR(__xludf.DUMMYFUNCTION("""COMPUTED_VALUE"""),"Школа 1195")</f>
        <v>Школа 1195</v>
      </c>
      <c r="G34" s="33"/>
      <c r="J34" s="160"/>
      <c r="N34" s="160"/>
      <c r="R34" s="33"/>
      <c r="U34" s="33"/>
      <c r="V34" s="33"/>
      <c r="W34" s="33"/>
      <c r="X34" s="33"/>
      <c r="Y34" s="33"/>
      <c r="Z34" s="33"/>
      <c r="AA34" s="33"/>
    </row>
    <row r="35">
      <c r="A35" s="7" t="s">
        <v>29</v>
      </c>
      <c r="B35" s="26">
        <v>34.0</v>
      </c>
      <c r="C35" s="83" t="s">
        <v>3689</v>
      </c>
      <c r="D35" s="161"/>
      <c r="E35" s="162" t="str">
        <f>IFERROR(__xludf.DUMMYFUNCTION("""COMPUTED_VALUE"""),"Школа 1205")</f>
        <v>Школа 1205</v>
      </c>
      <c r="G35" s="33"/>
      <c r="J35" s="160"/>
      <c r="N35" s="160"/>
      <c r="R35" s="33"/>
      <c r="U35" s="33"/>
      <c r="V35" s="33"/>
      <c r="W35" s="33"/>
      <c r="X35" s="33"/>
      <c r="Y35" s="33"/>
      <c r="Z35" s="33"/>
      <c r="AA35" s="33"/>
    </row>
    <row r="36">
      <c r="A36" s="7" t="s">
        <v>29</v>
      </c>
      <c r="B36" s="26">
        <v>35.0</v>
      </c>
      <c r="C36" s="83" t="s">
        <v>3328</v>
      </c>
      <c r="D36" s="161"/>
      <c r="E36" s="162" t="str">
        <f>IFERROR(__xludf.DUMMYFUNCTION("""COMPUTED_VALUE"""),"Школа 1207")</f>
        <v>Школа 1207</v>
      </c>
      <c r="G36" s="33"/>
      <c r="J36" s="160"/>
      <c r="N36" s="160"/>
      <c r="R36" s="33"/>
      <c r="U36" s="33"/>
      <c r="V36" s="33"/>
      <c r="W36" s="33"/>
      <c r="X36" s="33"/>
      <c r="Y36" s="33"/>
      <c r="Z36" s="33"/>
      <c r="AA36" s="33"/>
    </row>
    <row r="37">
      <c r="A37" s="7" t="s">
        <v>29</v>
      </c>
      <c r="B37" s="26">
        <v>36.0</v>
      </c>
      <c r="C37" s="83" t="s">
        <v>3469</v>
      </c>
      <c r="D37" s="161"/>
      <c r="E37" s="162" t="str">
        <f>IFERROR(__xludf.DUMMYFUNCTION("""COMPUTED_VALUE"""),"Школа 1210")</f>
        <v>Школа 1210</v>
      </c>
      <c r="G37" s="33"/>
      <c r="J37" s="160"/>
      <c r="N37" s="160"/>
      <c r="R37" s="33"/>
      <c r="U37" s="33"/>
      <c r="V37" s="33"/>
      <c r="W37" s="33"/>
      <c r="X37" s="33"/>
      <c r="Y37" s="33"/>
      <c r="Z37" s="33"/>
      <c r="AA37" s="33"/>
    </row>
    <row r="38">
      <c r="A38" s="7" t="s">
        <v>29</v>
      </c>
      <c r="B38" s="26">
        <v>37.0</v>
      </c>
      <c r="C38" s="83" t="s">
        <v>3505</v>
      </c>
      <c r="D38" s="161"/>
      <c r="E38" s="162" t="str">
        <f>IFERROR(__xludf.DUMMYFUNCTION("""COMPUTED_VALUE"""),"Школа 1228")</f>
        <v>Школа 1228</v>
      </c>
      <c r="G38" s="33"/>
      <c r="J38" s="160"/>
      <c r="N38" s="160"/>
      <c r="R38" s="33"/>
      <c r="U38" s="33"/>
      <c r="V38" s="33"/>
      <c r="W38" s="33"/>
      <c r="X38" s="33"/>
      <c r="Y38" s="33"/>
      <c r="Z38" s="33"/>
      <c r="AA38" s="33"/>
    </row>
    <row r="39">
      <c r="A39" s="7" t="s">
        <v>29</v>
      </c>
      <c r="B39" s="26">
        <v>38.0</v>
      </c>
      <c r="C39" s="83" t="s">
        <v>3596</v>
      </c>
      <c r="D39" s="161"/>
      <c r="E39" s="162" t="str">
        <f>IFERROR(__xludf.DUMMYFUNCTION("""COMPUTED_VALUE"""),"Школа 1245")</f>
        <v>Школа 1245</v>
      </c>
      <c r="G39" s="33"/>
      <c r="J39" s="160"/>
      <c r="N39" s="160"/>
      <c r="R39" s="33"/>
      <c r="U39" s="33"/>
      <c r="V39" s="33"/>
      <c r="W39" s="33"/>
      <c r="X39" s="33"/>
      <c r="Y39" s="33"/>
      <c r="Z39" s="33"/>
      <c r="AA39" s="33"/>
    </row>
    <row r="40">
      <c r="A40" s="7" t="s">
        <v>29</v>
      </c>
      <c r="B40" s="26">
        <v>39.0</v>
      </c>
      <c r="C40" s="83" t="s">
        <v>3391</v>
      </c>
      <c r="D40" s="161"/>
      <c r="E40" s="162" t="str">
        <f>IFERROR(__xludf.DUMMYFUNCTION("""COMPUTED_VALUE"""),"Школа 1286")</f>
        <v>Школа 1286</v>
      </c>
      <c r="G40" s="33"/>
      <c r="J40" s="160"/>
      <c r="N40" s="160"/>
      <c r="R40" s="33"/>
      <c r="U40" s="33"/>
      <c r="V40" s="33"/>
      <c r="W40" s="33"/>
      <c r="X40" s="33"/>
      <c r="Y40" s="33"/>
      <c r="Z40" s="33"/>
      <c r="AA40" s="33"/>
    </row>
    <row r="41">
      <c r="A41" s="7" t="s">
        <v>29</v>
      </c>
      <c r="B41" s="26">
        <v>40.0</v>
      </c>
      <c r="C41" s="83" t="s">
        <v>3392</v>
      </c>
      <c r="D41" s="161"/>
      <c r="E41" s="162" t="str">
        <f>IFERROR(__xludf.DUMMYFUNCTION("""COMPUTED_VALUE"""),"Школа 1288")</f>
        <v>Школа 1288</v>
      </c>
      <c r="G41" s="33"/>
      <c r="J41" s="160"/>
      <c r="N41" s="160"/>
      <c r="R41" s="33"/>
      <c r="U41" s="33"/>
      <c r="V41" s="33"/>
      <c r="W41" s="33"/>
      <c r="X41" s="33"/>
      <c r="Y41" s="33"/>
      <c r="Z41" s="33"/>
      <c r="AA41" s="33"/>
    </row>
    <row r="42">
      <c r="A42" s="7" t="s">
        <v>29</v>
      </c>
      <c r="B42" s="26">
        <v>41.0</v>
      </c>
      <c r="C42" s="83" t="s">
        <v>3472</v>
      </c>
      <c r="D42" s="161"/>
      <c r="E42" s="162" t="str">
        <f>IFERROR(__xludf.DUMMYFUNCTION("""COMPUTED_VALUE"""),"Школа 1293")</f>
        <v>Школа 1293</v>
      </c>
      <c r="G42" s="33"/>
      <c r="J42" s="160"/>
      <c r="N42" s="160"/>
      <c r="R42" s="33"/>
      <c r="U42" s="33"/>
      <c r="V42" s="33"/>
      <c r="W42" s="33"/>
      <c r="X42" s="33"/>
      <c r="Y42" s="33"/>
      <c r="Z42" s="33"/>
      <c r="AA42" s="33"/>
    </row>
    <row r="43">
      <c r="A43" s="7" t="s">
        <v>29</v>
      </c>
      <c r="B43" s="26">
        <v>42.0</v>
      </c>
      <c r="C43" s="83" t="s">
        <v>3394</v>
      </c>
      <c r="D43" s="161"/>
      <c r="E43" s="162" t="str">
        <f>IFERROR(__xludf.DUMMYFUNCTION("""COMPUTED_VALUE"""),"Школа 1298")</f>
        <v>Школа 1298</v>
      </c>
      <c r="G43" s="33"/>
      <c r="J43" s="160"/>
      <c r="N43" s="160"/>
      <c r="R43" s="33"/>
      <c r="U43" s="33"/>
      <c r="V43" s="33"/>
      <c r="W43" s="33"/>
      <c r="X43" s="33"/>
      <c r="Y43" s="33"/>
      <c r="Z43" s="33"/>
      <c r="AA43" s="33"/>
    </row>
    <row r="44">
      <c r="A44" s="7" t="s">
        <v>29</v>
      </c>
      <c r="B44" s="26">
        <v>43.0</v>
      </c>
      <c r="C44" s="83" t="s">
        <v>3396</v>
      </c>
      <c r="D44" s="161"/>
      <c r="E44" s="162" t="str">
        <f>IFERROR(__xludf.DUMMYFUNCTION("""COMPUTED_VALUE"""),"Школа 1315")</f>
        <v>Школа 1315</v>
      </c>
      <c r="G44" s="33"/>
      <c r="J44" s="160"/>
      <c r="N44" s="160"/>
      <c r="R44" s="33"/>
      <c r="U44" s="33"/>
      <c r="V44" s="33"/>
      <c r="W44" s="33"/>
      <c r="X44" s="33"/>
      <c r="Y44" s="33"/>
      <c r="Z44" s="33"/>
      <c r="AA44" s="33"/>
    </row>
    <row r="45">
      <c r="A45" s="7" t="s">
        <v>29</v>
      </c>
      <c r="B45" s="26">
        <v>44.0</v>
      </c>
      <c r="C45" s="83" t="s">
        <v>3542</v>
      </c>
      <c r="D45" s="161"/>
      <c r="E45" s="162" t="str">
        <f>IFERROR(__xludf.DUMMYFUNCTION("""COMPUTED_VALUE"""),"Школа 1324")</f>
        <v>Школа 1324</v>
      </c>
      <c r="G45" s="33"/>
      <c r="J45" s="160"/>
      <c r="N45" s="160"/>
      <c r="R45" s="33"/>
      <c r="U45" s="33"/>
      <c r="V45" s="33"/>
      <c r="W45" s="33"/>
      <c r="X45" s="33"/>
      <c r="Y45" s="33"/>
      <c r="Z45" s="33"/>
      <c r="AA45" s="33"/>
    </row>
    <row r="46">
      <c r="A46" s="7" t="s">
        <v>29</v>
      </c>
      <c r="B46" s="26">
        <v>45.0</v>
      </c>
      <c r="C46" s="83" t="s">
        <v>3626</v>
      </c>
      <c r="D46" s="161"/>
      <c r="E46" s="162" t="str">
        <f>IFERROR(__xludf.DUMMYFUNCTION("""COMPUTED_VALUE"""),"Школа 1329")</f>
        <v>Школа 1329</v>
      </c>
      <c r="G46" s="33"/>
      <c r="J46" s="160"/>
      <c r="N46" s="160"/>
      <c r="R46" s="33"/>
      <c r="U46" s="33"/>
      <c r="V46" s="33"/>
      <c r="W46" s="33"/>
      <c r="X46" s="33"/>
      <c r="Y46" s="33"/>
      <c r="Z46" s="33"/>
      <c r="AA46" s="33"/>
    </row>
    <row r="47">
      <c r="A47" s="7" t="s">
        <v>29</v>
      </c>
      <c r="B47" s="26">
        <v>46.0</v>
      </c>
      <c r="C47" s="83" t="s">
        <v>3398</v>
      </c>
      <c r="D47" s="161"/>
      <c r="E47" s="162" t="str">
        <f>IFERROR(__xludf.DUMMYFUNCTION("""COMPUTED_VALUE"""),"Школа 1353")</f>
        <v>Школа 1353</v>
      </c>
      <c r="G47" s="33"/>
      <c r="J47" s="160"/>
      <c r="N47" s="160"/>
      <c r="R47" s="33"/>
      <c r="U47" s="33"/>
      <c r="V47" s="33"/>
      <c r="W47" s="33"/>
      <c r="X47" s="33"/>
      <c r="Y47" s="33"/>
      <c r="Z47" s="33"/>
      <c r="AA47" s="33"/>
    </row>
    <row r="48">
      <c r="A48" s="7" t="s">
        <v>29</v>
      </c>
      <c r="B48" s="26">
        <v>47.0</v>
      </c>
      <c r="C48" s="83" t="s">
        <v>3627</v>
      </c>
      <c r="D48" s="161"/>
      <c r="E48" s="162" t="str">
        <f>IFERROR(__xludf.DUMMYFUNCTION("""COMPUTED_VALUE"""),"Школа 1354")</f>
        <v>Школа 1354</v>
      </c>
      <c r="G48" s="33"/>
      <c r="J48" s="160"/>
      <c r="N48" s="160"/>
      <c r="R48" s="33"/>
      <c r="U48" s="33"/>
      <c r="V48" s="33"/>
      <c r="W48" s="33"/>
      <c r="X48" s="33"/>
      <c r="Y48" s="33"/>
      <c r="Z48" s="33"/>
      <c r="AA48" s="33"/>
    </row>
    <row r="49">
      <c r="A49" s="7" t="s">
        <v>29</v>
      </c>
      <c r="B49" s="26">
        <v>48.0</v>
      </c>
      <c r="C49" s="83" t="s">
        <v>3603</v>
      </c>
      <c r="D49" s="161"/>
      <c r="E49" s="162" t="str">
        <f>IFERROR(__xludf.DUMMYFUNCTION("""COMPUTED_VALUE"""),"Школа 1357")</f>
        <v>Школа 1357</v>
      </c>
      <c r="G49" s="33"/>
      <c r="J49" s="160"/>
      <c r="N49" s="160"/>
      <c r="R49" s="33"/>
      <c r="U49" s="33"/>
      <c r="V49" s="33"/>
      <c r="W49" s="33"/>
      <c r="X49" s="33"/>
      <c r="Y49" s="33"/>
      <c r="Z49" s="33"/>
      <c r="AA49" s="33"/>
    </row>
    <row r="50">
      <c r="A50" s="7" t="s">
        <v>29</v>
      </c>
      <c r="B50" s="26">
        <v>49.0</v>
      </c>
      <c r="C50" s="83" t="s">
        <v>3399</v>
      </c>
      <c r="D50" s="161"/>
      <c r="E50" s="162" t="str">
        <f>IFERROR(__xludf.DUMMYFUNCTION("""COMPUTED_VALUE"""),"Школа 1359")</f>
        <v>Школа 1359</v>
      </c>
      <c r="G50" s="33"/>
      <c r="J50" s="160"/>
      <c r="N50" s="160"/>
      <c r="R50" s="33"/>
      <c r="U50" s="33"/>
      <c r="V50" s="33"/>
      <c r="W50" s="33"/>
      <c r="X50" s="33"/>
      <c r="Y50" s="33"/>
      <c r="Z50" s="33"/>
      <c r="AA50" s="33"/>
    </row>
    <row r="51">
      <c r="A51" s="7" t="s">
        <v>29</v>
      </c>
      <c r="B51" s="26">
        <v>50.0</v>
      </c>
      <c r="C51" s="83" t="s">
        <v>3691</v>
      </c>
      <c r="D51" s="161"/>
      <c r="E51" s="162" t="str">
        <f>IFERROR(__xludf.DUMMYFUNCTION("""COMPUTED_VALUE"""),"Школа 1360")</f>
        <v>Школа 1360</v>
      </c>
      <c r="G51" s="33"/>
      <c r="J51" s="160"/>
      <c r="N51" s="160"/>
      <c r="R51" s="33"/>
      <c r="U51" s="33"/>
      <c r="V51" s="33"/>
      <c r="W51" s="33"/>
      <c r="X51" s="33"/>
      <c r="Y51" s="33"/>
      <c r="Z51" s="33"/>
      <c r="AA51" s="33"/>
    </row>
    <row r="52">
      <c r="A52" s="7" t="s">
        <v>29</v>
      </c>
      <c r="B52" s="26">
        <v>51.0</v>
      </c>
      <c r="C52" s="83" t="s">
        <v>3628</v>
      </c>
      <c r="D52" s="161"/>
      <c r="E52" s="162" t="str">
        <f>IFERROR(__xludf.DUMMYFUNCTION("""COMPUTED_VALUE"""),"Школа 1363")</f>
        <v>Школа 1363</v>
      </c>
      <c r="G52" s="33"/>
      <c r="J52" s="160"/>
      <c r="N52" s="160"/>
      <c r="R52" s="33"/>
      <c r="U52" s="33"/>
      <c r="V52" s="33"/>
      <c r="W52" s="33"/>
      <c r="X52" s="33"/>
      <c r="Y52" s="33"/>
      <c r="Z52" s="33"/>
      <c r="AA52" s="33"/>
    </row>
    <row r="53">
      <c r="A53" s="7" t="s">
        <v>29</v>
      </c>
      <c r="B53" s="26">
        <v>52.0</v>
      </c>
      <c r="C53" s="83" t="s">
        <v>3629</v>
      </c>
      <c r="D53" s="161"/>
      <c r="E53" s="162" t="str">
        <f>IFERROR(__xludf.DUMMYFUNCTION("""COMPUTED_VALUE"""),"Школа 1367")</f>
        <v>Школа 1367</v>
      </c>
      <c r="G53" s="33"/>
      <c r="J53" s="160"/>
      <c r="N53" s="160"/>
      <c r="R53" s="33"/>
      <c r="U53" s="33"/>
      <c r="V53" s="33"/>
      <c r="W53" s="33"/>
      <c r="X53" s="33"/>
      <c r="Y53" s="33"/>
      <c r="Z53" s="33"/>
      <c r="AA53" s="33"/>
    </row>
    <row r="54">
      <c r="A54" s="7" t="s">
        <v>29</v>
      </c>
      <c r="B54" s="26">
        <v>53.0</v>
      </c>
      <c r="C54" s="83" t="s">
        <v>3692</v>
      </c>
      <c r="D54" s="161"/>
      <c r="E54" s="162" t="str">
        <f>IFERROR(__xludf.DUMMYFUNCTION("""COMPUTED_VALUE"""),"Школа 1368")</f>
        <v>Школа 1368</v>
      </c>
      <c r="G54" s="33"/>
      <c r="J54" s="160"/>
      <c r="N54" s="160"/>
      <c r="R54" s="33"/>
      <c r="U54" s="33"/>
      <c r="V54" s="33"/>
      <c r="W54" s="33"/>
      <c r="X54" s="33"/>
      <c r="Y54" s="33"/>
      <c r="Z54" s="33"/>
      <c r="AA54" s="33"/>
    </row>
    <row r="55">
      <c r="A55" s="7" t="s">
        <v>29</v>
      </c>
      <c r="B55" s="26">
        <v>54.0</v>
      </c>
      <c r="C55" s="83" t="s">
        <v>3630</v>
      </c>
      <c r="D55" s="161"/>
      <c r="E55" s="162" t="str">
        <f>IFERROR(__xludf.DUMMYFUNCTION("""COMPUTED_VALUE"""),"Школа 1375")</f>
        <v>Школа 1375</v>
      </c>
      <c r="G55" s="33"/>
      <c r="J55" s="160"/>
      <c r="N55" s="160"/>
      <c r="R55" s="33"/>
      <c r="U55" s="33"/>
      <c r="V55" s="33"/>
      <c r="W55" s="33"/>
      <c r="X55" s="33"/>
      <c r="Y55" s="33"/>
      <c r="Z55" s="33"/>
      <c r="AA55" s="33"/>
    </row>
    <row r="56">
      <c r="A56" s="7" t="s">
        <v>29</v>
      </c>
      <c r="B56" s="26">
        <v>55.0</v>
      </c>
      <c r="C56" s="83" t="s">
        <v>3401</v>
      </c>
      <c r="D56" s="161"/>
      <c r="E56" s="162" t="str">
        <f>IFERROR(__xludf.DUMMYFUNCTION("""COMPUTED_VALUE"""),"Школа 1391")</f>
        <v>Школа 1391</v>
      </c>
      <c r="G56" s="33"/>
      <c r="J56" s="160"/>
      <c r="N56" s="160"/>
      <c r="R56" s="33"/>
      <c r="U56" s="33"/>
      <c r="V56" s="33"/>
      <c r="W56" s="33"/>
      <c r="X56" s="33"/>
      <c r="Y56" s="33"/>
      <c r="Z56" s="33"/>
      <c r="AA56" s="33"/>
    </row>
    <row r="57">
      <c r="A57" s="7" t="s">
        <v>29</v>
      </c>
      <c r="B57" s="26">
        <v>56.0</v>
      </c>
      <c r="C57" s="83" t="s">
        <v>3329</v>
      </c>
      <c r="D57" s="161"/>
      <c r="E57" s="162" t="str">
        <f>IFERROR(__xludf.DUMMYFUNCTION("""COMPUTED_VALUE"""),"Школа 1392")</f>
        <v>Школа 1392</v>
      </c>
      <c r="G57" s="33"/>
      <c r="J57" s="160"/>
      <c r="N57" s="160"/>
      <c r="R57" s="33"/>
      <c r="U57" s="33"/>
      <c r="V57" s="33"/>
      <c r="W57" s="33"/>
      <c r="X57" s="33"/>
      <c r="Y57" s="33"/>
      <c r="Z57" s="33"/>
      <c r="AA57" s="33"/>
    </row>
    <row r="58">
      <c r="A58" s="7" t="s">
        <v>29</v>
      </c>
      <c r="B58" s="26">
        <v>57.0</v>
      </c>
      <c r="C58" s="83" t="s">
        <v>3474</v>
      </c>
      <c r="D58" s="161"/>
      <c r="E58" s="162" t="str">
        <f>IFERROR(__xludf.DUMMYFUNCTION("""COMPUTED_VALUE"""),"Школа 1400")</f>
        <v>Школа 1400</v>
      </c>
      <c r="G58" s="33"/>
      <c r="J58" s="160"/>
      <c r="N58" s="160"/>
      <c r="R58" s="33"/>
      <c r="U58" s="33"/>
      <c r="V58" s="33"/>
      <c r="W58" s="33"/>
      <c r="X58" s="33"/>
      <c r="Y58" s="33"/>
      <c r="Z58" s="33"/>
      <c r="AA58" s="33"/>
    </row>
    <row r="59">
      <c r="A59" s="7" t="s">
        <v>29</v>
      </c>
      <c r="B59" s="26">
        <v>58.0</v>
      </c>
      <c r="C59" s="83" t="s">
        <v>3694</v>
      </c>
      <c r="D59" s="161"/>
      <c r="E59" s="162" t="str">
        <f>IFERROR(__xludf.DUMMYFUNCTION("""COMPUTED_VALUE"""),"Школа 1411")</f>
        <v>Школа 1411</v>
      </c>
      <c r="G59" s="33"/>
      <c r="J59" s="160"/>
      <c r="N59" s="160"/>
      <c r="R59" s="33"/>
      <c r="U59" s="33"/>
      <c r="V59" s="33"/>
      <c r="W59" s="33"/>
      <c r="X59" s="33"/>
      <c r="Y59" s="33"/>
      <c r="Z59" s="33"/>
      <c r="AA59" s="33"/>
    </row>
    <row r="60">
      <c r="A60" s="7" t="s">
        <v>29</v>
      </c>
      <c r="B60" s="26">
        <v>59.0</v>
      </c>
      <c r="C60" s="83" t="s">
        <v>3509</v>
      </c>
      <c r="D60" s="161"/>
      <c r="E60" s="162" t="str">
        <f>IFERROR(__xludf.DUMMYFUNCTION("""COMPUTED_VALUE"""),"Школа 1412")</f>
        <v>Школа 1412</v>
      </c>
      <c r="G60" s="33"/>
      <c r="J60" s="160"/>
      <c r="N60" s="160"/>
      <c r="R60" s="33"/>
      <c r="U60" s="33"/>
      <c r="V60" s="33"/>
      <c r="W60" s="33"/>
      <c r="X60" s="33"/>
      <c r="Y60" s="33"/>
      <c r="Z60" s="33"/>
      <c r="AA60" s="33"/>
    </row>
    <row r="61">
      <c r="A61" s="7" t="s">
        <v>29</v>
      </c>
      <c r="B61" s="26">
        <v>60.0</v>
      </c>
      <c r="C61" s="83" t="s">
        <v>3330</v>
      </c>
      <c r="D61" s="161"/>
      <c r="E61" s="162" t="str">
        <f>IFERROR(__xludf.DUMMYFUNCTION("""COMPUTED_VALUE"""),"Школа 1430")</f>
        <v>Школа 1430</v>
      </c>
      <c r="G61" s="33"/>
      <c r="J61" s="160"/>
      <c r="N61" s="160"/>
      <c r="R61" s="33"/>
      <c r="U61" s="33"/>
      <c r="V61" s="33"/>
      <c r="W61" s="33"/>
      <c r="X61" s="33"/>
      <c r="Y61" s="33"/>
      <c r="Z61" s="33"/>
      <c r="AA61" s="33"/>
    </row>
    <row r="62">
      <c r="A62" s="7" t="s">
        <v>29</v>
      </c>
      <c r="B62" s="26">
        <v>61.0</v>
      </c>
      <c r="C62" s="83" t="s">
        <v>3633</v>
      </c>
      <c r="D62" s="161"/>
      <c r="E62" s="162" t="str">
        <f>IFERROR(__xludf.DUMMYFUNCTION("""COMPUTED_VALUE"""),"Школа 1434")</f>
        <v>Школа 1434</v>
      </c>
      <c r="G62" s="33"/>
      <c r="J62" s="160"/>
      <c r="N62" s="160"/>
      <c r="R62" s="33"/>
      <c r="U62" s="33"/>
      <c r="V62" s="33"/>
      <c r="W62" s="33"/>
      <c r="X62" s="33"/>
      <c r="Y62" s="33"/>
      <c r="Z62" s="33"/>
      <c r="AA62" s="33"/>
    </row>
    <row r="63">
      <c r="A63" s="7" t="s">
        <v>29</v>
      </c>
      <c r="B63" s="26">
        <v>62.0</v>
      </c>
      <c r="C63" s="83" t="s">
        <v>3695</v>
      </c>
      <c r="D63" s="161"/>
      <c r="E63" s="162" t="str">
        <f>IFERROR(__xludf.DUMMYFUNCTION("""COMPUTED_VALUE"""),"Школа 1440")</f>
        <v>Школа 1440</v>
      </c>
      <c r="G63" s="33"/>
      <c r="J63" s="160"/>
      <c r="N63" s="160"/>
      <c r="R63" s="33"/>
      <c r="U63" s="33"/>
      <c r="V63" s="33"/>
      <c r="W63" s="33"/>
      <c r="X63" s="33"/>
      <c r="Y63" s="33"/>
      <c r="Z63" s="33"/>
      <c r="AA63" s="33"/>
    </row>
    <row r="64">
      <c r="A64" s="7" t="s">
        <v>29</v>
      </c>
      <c r="B64" s="26">
        <v>63.0</v>
      </c>
      <c r="C64" s="83" t="s">
        <v>3476</v>
      </c>
      <c r="D64" s="161"/>
      <c r="E64" s="162" t="str">
        <f>IFERROR(__xludf.DUMMYFUNCTION("""COMPUTED_VALUE"""),"Школа 1454")</f>
        <v>Школа 1454</v>
      </c>
      <c r="G64" s="33"/>
      <c r="J64" s="160"/>
      <c r="N64" s="160"/>
      <c r="R64" s="33"/>
      <c r="U64" s="33"/>
      <c r="V64" s="33"/>
      <c r="W64" s="33"/>
      <c r="X64" s="33"/>
      <c r="Y64" s="33"/>
      <c r="Z64" s="33"/>
      <c r="AA64" s="33"/>
    </row>
    <row r="65">
      <c r="A65" s="7" t="s">
        <v>29</v>
      </c>
      <c r="B65" s="26">
        <v>64.0</v>
      </c>
      <c r="C65" s="83" t="s">
        <v>3696</v>
      </c>
      <c r="D65" s="161"/>
      <c r="E65" s="162" t="str">
        <f>IFERROR(__xludf.DUMMYFUNCTION("""COMPUTED_VALUE"""),"Школа 1467")</f>
        <v>Школа 1467</v>
      </c>
      <c r="G65" s="33"/>
      <c r="J65" s="160"/>
      <c r="N65" s="160"/>
      <c r="R65" s="33"/>
      <c r="U65" s="33"/>
      <c r="V65" s="33"/>
      <c r="W65" s="33"/>
      <c r="X65" s="33"/>
      <c r="Y65" s="33"/>
      <c r="Z65" s="33"/>
      <c r="AA65" s="33"/>
    </row>
    <row r="66">
      <c r="A66" s="7" t="s">
        <v>29</v>
      </c>
      <c r="B66" s="26">
        <v>65.0</v>
      </c>
      <c r="C66" s="83" t="s">
        <v>3403</v>
      </c>
      <c r="D66" s="161"/>
      <c r="E66" s="162" t="str">
        <f>IFERROR(__xludf.DUMMYFUNCTION("""COMPUTED_VALUE"""),"Школа 1468")</f>
        <v>Школа 1468</v>
      </c>
      <c r="G66" s="33"/>
      <c r="J66" s="160"/>
      <c r="N66" s="160"/>
      <c r="R66" s="33"/>
      <c r="U66" s="33"/>
      <c r="V66" s="33"/>
      <c r="W66" s="33"/>
      <c r="X66" s="33"/>
      <c r="Y66" s="33"/>
      <c r="Z66" s="33"/>
      <c r="AA66" s="33"/>
    </row>
    <row r="67">
      <c r="A67" s="7" t="s">
        <v>29</v>
      </c>
      <c r="B67" s="26">
        <v>66.0</v>
      </c>
      <c r="C67" s="83" t="s">
        <v>3635</v>
      </c>
      <c r="D67" s="161"/>
      <c r="E67" s="162" t="str">
        <f>IFERROR(__xludf.DUMMYFUNCTION("""COMPUTED_VALUE"""),"Школа 1474")</f>
        <v>Школа 1474</v>
      </c>
      <c r="G67" s="33"/>
      <c r="J67" s="160"/>
      <c r="N67" s="160"/>
      <c r="R67" s="33"/>
      <c r="U67" s="33"/>
      <c r="V67" s="33"/>
      <c r="W67" s="33"/>
      <c r="X67" s="33"/>
      <c r="Y67" s="33"/>
      <c r="Z67" s="33"/>
      <c r="AA67" s="33"/>
    </row>
    <row r="68">
      <c r="A68" s="7" t="s">
        <v>29</v>
      </c>
      <c r="B68" s="26">
        <v>67.0</v>
      </c>
      <c r="C68" s="83" t="s">
        <v>3697</v>
      </c>
      <c r="D68" s="161"/>
      <c r="E68" s="162" t="str">
        <f>IFERROR(__xludf.DUMMYFUNCTION("""COMPUTED_VALUE"""),"Школа 1492")</f>
        <v>Школа 1492</v>
      </c>
      <c r="G68" s="33"/>
      <c r="J68" s="160"/>
      <c r="N68" s="160"/>
      <c r="R68" s="33"/>
      <c r="U68" s="33"/>
      <c r="V68" s="33"/>
      <c r="W68" s="33"/>
      <c r="X68" s="33"/>
      <c r="Y68" s="33"/>
      <c r="Z68" s="33"/>
      <c r="AA68" s="33"/>
    </row>
    <row r="69">
      <c r="A69" s="7" t="s">
        <v>29</v>
      </c>
      <c r="B69" s="26">
        <v>68.0</v>
      </c>
      <c r="C69" s="83" t="s">
        <v>3331</v>
      </c>
      <c r="D69" s="161"/>
      <c r="E69" s="162" t="str">
        <f>IFERROR(__xludf.DUMMYFUNCTION("""COMPUTED_VALUE"""),"Школа 1500")</f>
        <v>Школа 1500</v>
      </c>
      <c r="G69" s="33"/>
      <c r="J69" s="160"/>
      <c r="N69" s="160"/>
      <c r="R69" s="33"/>
      <c r="U69" s="33"/>
      <c r="V69" s="33"/>
      <c r="W69" s="33"/>
      <c r="X69" s="33"/>
      <c r="Y69" s="33"/>
      <c r="Z69" s="33"/>
      <c r="AA69" s="33"/>
    </row>
    <row r="70">
      <c r="A70" s="7" t="s">
        <v>29</v>
      </c>
      <c r="B70" s="26">
        <v>69.0</v>
      </c>
      <c r="C70" s="83" t="s">
        <v>3636</v>
      </c>
      <c r="D70" s="161"/>
      <c r="E70" s="159" t="str">
        <f>IFERROR(__xludf.DUMMYFUNCTION("""COMPUTED_VALUE"""),"Школа 1501")</f>
        <v>Школа 1501</v>
      </c>
      <c r="F70" s="160"/>
      <c r="G70" s="33"/>
      <c r="J70" s="160"/>
      <c r="N70" s="160"/>
      <c r="R70" s="33"/>
      <c r="U70" s="33"/>
      <c r="V70" s="33"/>
      <c r="W70" s="33"/>
      <c r="X70" s="33"/>
      <c r="Y70" s="33"/>
      <c r="Z70" s="33"/>
      <c r="AA70" s="33"/>
    </row>
    <row r="71">
      <c r="A71" s="7" t="s">
        <v>29</v>
      </c>
      <c r="B71" s="26">
        <v>70.0</v>
      </c>
      <c r="C71" s="83" t="s">
        <v>3637</v>
      </c>
      <c r="D71" s="161"/>
      <c r="E71" s="159" t="str">
        <f>IFERROR(__xludf.DUMMYFUNCTION("""COMPUTED_VALUE"""),"Школа 1502")</f>
        <v>Школа 1502</v>
      </c>
      <c r="F71" s="160"/>
      <c r="G71" s="33"/>
      <c r="J71" s="160"/>
      <c r="N71" s="160"/>
      <c r="R71" s="33"/>
      <c r="U71" s="33"/>
      <c r="V71" s="33"/>
      <c r="W71" s="33"/>
      <c r="X71" s="33"/>
      <c r="Y71" s="33"/>
      <c r="Z71" s="33"/>
      <c r="AA71" s="33"/>
    </row>
    <row r="72">
      <c r="A72" s="7" t="s">
        <v>29</v>
      </c>
      <c r="B72" s="26">
        <v>71.0</v>
      </c>
      <c r="C72" s="83" t="s">
        <v>3323</v>
      </c>
      <c r="D72" s="161"/>
      <c r="E72" s="159" t="str">
        <f>IFERROR(__xludf.DUMMYFUNCTION("""COMPUTED_VALUE"""),"Школа 1505")</f>
        <v>Школа 1505</v>
      </c>
      <c r="F72" s="160"/>
      <c r="G72" s="33"/>
      <c r="J72" s="160"/>
      <c r="N72" s="160"/>
      <c r="R72" s="33"/>
      <c r="U72" s="33"/>
      <c r="V72" s="33"/>
      <c r="W72" s="33"/>
      <c r="X72" s="33"/>
      <c r="Y72" s="33"/>
      <c r="Z72" s="33"/>
      <c r="AA72" s="33"/>
    </row>
    <row r="73">
      <c r="A73" s="7" t="s">
        <v>29</v>
      </c>
      <c r="B73" s="26">
        <v>72.0</v>
      </c>
      <c r="C73" s="83" t="s">
        <v>3638</v>
      </c>
      <c r="D73" s="161"/>
      <c r="E73" s="159" t="str">
        <f>IFERROR(__xludf.DUMMYFUNCTION("""COMPUTED_VALUE"""),"Школа 1506")</f>
        <v>Школа 1506</v>
      </c>
      <c r="F73" s="160"/>
      <c r="G73" s="33"/>
      <c r="J73" s="160"/>
      <c r="N73" s="160"/>
      <c r="R73" s="33"/>
      <c r="U73" s="33"/>
      <c r="V73" s="33"/>
      <c r="W73" s="33"/>
      <c r="X73" s="33"/>
      <c r="Y73" s="33"/>
      <c r="Z73" s="33"/>
      <c r="AA73" s="33"/>
    </row>
    <row r="74">
      <c r="A74" s="7" t="s">
        <v>29</v>
      </c>
      <c r="B74" s="26">
        <v>73.0</v>
      </c>
      <c r="C74" s="83" t="s">
        <v>3699</v>
      </c>
      <c r="D74" s="161"/>
      <c r="E74" s="159" t="str">
        <f>IFERROR(__xludf.DUMMYFUNCTION("""COMPUTED_VALUE"""),"Школа 1512")</f>
        <v>Школа 1512</v>
      </c>
      <c r="F74" s="160"/>
      <c r="G74" s="33"/>
      <c r="J74" s="160"/>
      <c r="N74" s="160"/>
      <c r="R74" s="33"/>
      <c r="U74" s="33"/>
      <c r="V74" s="33"/>
      <c r="W74" s="33"/>
      <c r="X74" s="33"/>
      <c r="Y74" s="33"/>
      <c r="Z74" s="33"/>
      <c r="AA74" s="33"/>
    </row>
    <row r="75">
      <c r="A75" s="7" t="s">
        <v>29</v>
      </c>
      <c r="B75" s="26">
        <v>74.0</v>
      </c>
      <c r="C75" s="83" t="s">
        <v>3701</v>
      </c>
      <c r="D75" s="161"/>
      <c r="E75" s="159" t="str">
        <f>IFERROR(__xludf.DUMMYFUNCTION("""COMPUTED_VALUE"""),"Школа 1516")</f>
        <v>Школа 1516</v>
      </c>
      <c r="F75" s="160"/>
      <c r="G75" s="33"/>
      <c r="J75" s="160"/>
      <c r="N75" s="160"/>
      <c r="R75" s="33"/>
      <c r="U75" s="33"/>
      <c r="V75" s="33"/>
      <c r="W75" s="33"/>
      <c r="X75" s="33"/>
      <c r="Y75" s="33"/>
      <c r="Z75" s="33"/>
      <c r="AA75" s="33"/>
    </row>
    <row r="76">
      <c r="A76" s="7" t="s">
        <v>29</v>
      </c>
      <c r="B76" s="26">
        <v>75.0</v>
      </c>
      <c r="C76" s="83" t="s">
        <v>3640</v>
      </c>
      <c r="D76" s="161"/>
      <c r="E76" s="159" t="str">
        <f>IFERROR(__xludf.DUMMYFUNCTION("""COMPUTED_VALUE"""),"Школа 1517")</f>
        <v>Школа 1517</v>
      </c>
      <c r="F76" s="160"/>
      <c r="G76" s="33"/>
      <c r="J76" s="160"/>
      <c r="N76" s="160"/>
      <c r="R76" s="33"/>
      <c r="U76" s="33"/>
      <c r="V76" s="33"/>
      <c r="W76" s="33"/>
      <c r="X76" s="33"/>
      <c r="Y76" s="33"/>
      <c r="Z76" s="33"/>
      <c r="AA76" s="33"/>
    </row>
    <row r="77">
      <c r="A77" s="7" t="s">
        <v>29</v>
      </c>
      <c r="B77" s="26">
        <v>76.0</v>
      </c>
      <c r="C77" s="83" t="s">
        <v>3702</v>
      </c>
      <c r="D77" s="161"/>
      <c r="E77" s="159" t="str">
        <f>IFERROR(__xludf.DUMMYFUNCTION("""COMPUTED_VALUE"""),"Школа 1519")</f>
        <v>Школа 1519</v>
      </c>
      <c r="F77" s="160"/>
      <c r="G77" s="33"/>
      <c r="J77" s="160"/>
      <c r="N77" s="160"/>
      <c r="R77" s="33"/>
      <c r="U77" s="33"/>
      <c r="V77" s="33"/>
      <c r="W77" s="33"/>
      <c r="X77" s="33"/>
      <c r="Y77" s="33"/>
      <c r="Z77" s="33"/>
      <c r="AA77" s="33"/>
    </row>
    <row r="78">
      <c r="A78" s="7" t="s">
        <v>29</v>
      </c>
      <c r="B78" s="26">
        <v>77.0</v>
      </c>
      <c r="C78" s="83" t="s">
        <v>3703</v>
      </c>
      <c r="D78" s="161"/>
      <c r="E78" s="159" t="str">
        <f>IFERROR(__xludf.DUMMYFUNCTION("""COMPUTED_VALUE"""),"Школа 1524")</f>
        <v>Школа 1524</v>
      </c>
      <c r="F78" s="160"/>
      <c r="G78" s="33"/>
      <c r="J78" s="160"/>
      <c r="N78" s="160"/>
      <c r="R78" s="33"/>
      <c r="U78" s="33"/>
      <c r="V78" s="33"/>
      <c r="W78" s="33"/>
      <c r="X78" s="33"/>
      <c r="Y78" s="33"/>
      <c r="Z78" s="33"/>
      <c r="AA78" s="33"/>
    </row>
    <row r="79">
      <c r="A79" s="7" t="s">
        <v>29</v>
      </c>
      <c r="B79" s="26">
        <v>78.0</v>
      </c>
      <c r="C79" s="83" t="s">
        <v>3607</v>
      </c>
      <c r="D79" s="161"/>
      <c r="E79" s="159" t="str">
        <f>IFERROR(__xludf.DUMMYFUNCTION("""COMPUTED_VALUE"""),"Школа 1528")</f>
        <v>Школа 1528</v>
      </c>
      <c r="F79" s="160"/>
      <c r="G79" s="33"/>
      <c r="J79" s="160"/>
      <c r="N79" s="160"/>
      <c r="R79" s="33"/>
      <c r="U79" s="33"/>
      <c r="V79" s="33"/>
      <c r="W79" s="33"/>
      <c r="X79" s="33"/>
      <c r="Y79" s="33"/>
      <c r="Z79" s="33"/>
      <c r="AA79" s="33"/>
    </row>
    <row r="80">
      <c r="A80" s="7" t="s">
        <v>29</v>
      </c>
      <c r="B80" s="26">
        <v>79.0</v>
      </c>
      <c r="C80" s="83" t="s">
        <v>3643</v>
      </c>
      <c r="D80" s="161"/>
      <c r="E80" s="159" t="str">
        <f>IFERROR(__xludf.DUMMYFUNCTION("""COMPUTED_VALUE"""),"Школа 1534")</f>
        <v>Школа 1534</v>
      </c>
      <c r="F80" s="160"/>
      <c r="G80" s="33"/>
      <c r="J80" s="160"/>
      <c r="N80" s="160"/>
      <c r="R80" s="33"/>
      <c r="U80" s="33"/>
      <c r="V80" s="33"/>
      <c r="W80" s="33"/>
      <c r="X80" s="33"/>
      <c r="Y80" s="33"/>
      <c r="Z80" s="33"/>
      <c r="AA80" s="33"/>
    </row>
    <row r="81">
      <c r="A81" s="7" t="s">
        <v>29</v>
      </c>
      <c r="B81" s="26">
        <v>80.0</v>
      </c>
      <c r="C81" s="83" t="s">
        <v>3645</v>
      </c>
      <c r="D81" s="161"/>
      <c r="E81" s="159" t="str">
        <f>IFERROR(__xludf.DUMMYFUNCTION("""COMPUTED_VALUE"""),"Школа 1538")</f>
        <v>Школа 1538</v>
      </c>
      <c r="F81" s="160"/>
      <c r="G81" s="33"/>
      <c r="J81" s="160"/>
      <c r="N81" s="160"/>
      <c r="R81" s="33"/>
      <c r="U81" s="33"/>
      <c r="V81" s="33"/>
      <c r="W81" s="33"/>
      <c r="X81" s="33"/>
      <c r="Y81" s="33"/>
      <c r="Z81" s="33"/>
      <c r="AA81" s="33"/>
    </row>
    <row r="82">
      <c r="A82" s="7" t="s">
        <v>29</v>
      </c>
      <c r="B82" s="26">
        <v>81.0</v>
      </c>
      <c r="C82" s="83" t="s">
        <v>3447</v>
      </c>
      <c r="D82" s="161"/>
      <c r="E82" s="159" t="str">
        <f>IFERROR(__xludf.DUMMYFUNCTION("""COMPUTED_VALUE"""),"Школа 1542")</f>
        <v>Школа 1542</v>
      </c>
      <c r="F82" s="160"/>
      <c r="G82" s="33"/>
      <c r="J82" s="160"/>
      <c r="N82" s="160"/>
      <c r="R82" s="33"/>
      <c r="U82" s="33"/>
      <c r="V82" s="33"/>
      <c r="W82" s="33"/>
      <c r="X82" s="33"/>
      <c r="Y82" s="33"/>
      <c r="Z82" s="33"/>
      <c r="AA82" s="33"/>
    </row>
    <row r="83">
      <c r="A83" s="7" t="s">
        <v>29</v>
      </c>
      <c r="B83" s="26">
        <v>82.0</v>
      </c>
      <c r="C83" s="83" t="s">
        <v>3707</v>
      </c>
      <c r="D83" s="161"/>
      <c r="E83" s="159" t="str">
        <f>IFERROR(__xludf.DUMMYFUNCTION("""COMPUTED_VALUE"""),"Школа 1547")</f>
        <v>Школа 1547</v>
      </c>
      <c r="F83" s="160"/>
      <c r="G83" s="33"/>
      <c r="J83" s="160"/>
      <c r="N83" s="160"/>
      <c r="R83" s="33"/>
      <c r="U83" s="33"/>
      <c r="V83" s="33"/>
      <c r="W83" s="33"/>
      <c r="X83" s="33"/>
      <c r="Y83" s="33"/>
      <c r="Z83" s="33"/>
      <c r="AA83" s="33"/>
    </row>
    <row r="84">
      <c r="A84" s="7" t="s">
        <v>29</v>
      </c>
      <c r="B84" s="26">
        <v>83.0</v>
      </c>
      <c r="C84" s="83" t="s">
        <v>3333</v>
      </c>
      <c r="D84" s="161"/>
      <c r="E84" s="159" t="str">
        <f>IFERROR(__xludf.DUMMYFUNCTION("""COMPUTED_VALUE"""),"Школа 1550")</f>
        <v>Школа 1550</v>
      </c>
      <c r="F84" s="160"/>
      <c r="G84" s="33"/>
      <c r="J84" s="160"/>
      <c r="N84" s="160"/>
      <c r="R84" s="33"/>
      <c r="U84" s="33"/>
      <c r="V84" s="33"/>
      <c r="W84" s="33"/>
      <c r="X84" s="33"/>
      <c r="Y84" s="33"/>
      <c r="Z84" s="33"/>
      <c r="AA84" s="33"/>
    </row>
    <row r="85">
      <c r="A85" s="7" t="s">
        <v>29</v>
      </c>
      <c r="B85" s="26">
        <v>84.0</v>
      </c>
      <c r="C85" s="83" t="s">
        <v>3448</v>
      </c>
      <c r="D85" s="161"/>
      <c r="E85" s="159" t="str">
        <f>IFERROR(__xludf.DUMMYFUNCTION("""COMPUTED_VALUE"""),"Школа 1552")</f>
        <v>Школа 1552</v>
      </c>
      <c r="F85" s="160"/>
      <c r="G85" s="33"/>
      <c r="J85" s="160"/>
      <c r="N85" s="160"/>
      <c r="R85" s="33"/>
      <c r="U85" s="33"/>
      <c r="V85" s="33"/>
      <c r="W85" s="33"/>
      <c r="X85" s="33"/>
      <c r="Y85" s="33"/>
      <c r="Z85" s="33"/>
      <c r="AA85" s="33"/>
    </row>
    <row r="86">
      <c r="A86" s="7" t="s">
        <v>29</v>
      </c>
      <c r="B86" s="26">
        <v>85.0</v>
      </c>
      <c r="C86" s="83" t="s">
        <v>3647</v>
      </c>
      <c r="D86" s="161"/>
      <c r="E86" s="159" t="str">
        <f>IFERROR(__xludf.DUMMYFUNCTION("""COMPUTED_VALUE"""),"Школа 1557")</f>
        <v>Школа 1557</v>
      </c>
      <c r="F86" s="160"/>
      <c r="G86" s="33"/>
      <c r="J86" s="160"/>
      <c r="N86" s="160"/>
      <c r="R86" s="33"/>
      <c r="U86" s="33"/>
      <c r="V86" s="33"/>
      <c r="W86" s="33"/>
      <c r="X86" s="33"/>
      <c r="Y86" s="33"/>
      <c r="Z86" s="33"/>
      <c r="AA86" s="33"/>
    </row>
    <row r="87">
      <c r="A87" s="7" t="s">
        <v>29</v>
      </c>
      <c r="B87" s="26">
        <v>86.0</v>
      </c>
      <c r="C87" s="83" t="s">
        <v>3648</v>
      </c>
      <c r="D87" s="161"/>
      <c r="E87" s="159" t="str">
        <f>IFERROR(__xludf.DUMMYFUNCTION("""COMPUTED_VALUE"""),"Школа 1560")</f>
        <v>Школа 1560</v>
      </c>
      <c r="F87" s="160"/>
      <c r="G87" s="33"/>
      <c r="J87" s="160"/>
      <c r="N87" s="160"/>
      <c r="R87" s="33"/>
      <c r="U87" s="33"/>
      <c r="V87" s="33"/>
      <c r="W87" s="33"/>
      <c r="X87" s="33"/>
      <c r="Y87" s="33"/>
      <c r="Z87" s="33"/>
      <c r="AA87" s="33"/>
    </row>
    <row r="88">
      <c r="A88" s="7" t="s">
        <v>29</v>
      </c>
      <c r="B88" s="26">
        <v>87.0</v>
      </c>
      <c r="C88" s="83" t="s">
        <v>3649</v>
      </c>
      <c r="D88" s="161"/>
      <c r="E88" s="159" t="str">
        <f>IFERROR(__xludf.DUMMYFUNCTION("""COMPUTED_VALUE"""),"Школа 1561")</f>
        <v>Школа 1561</v>
      </c>
      <c r="F88" s="160"/>
      <c r="G88" s="33"/>
      <c r="J88" s="160"/>
      <c r="N88" s="160"/>
      <c r="R88" s="33"/>
      <c r="U88" s="33"/>
      <c r="V88" s="33"/>
      <c r="W88" s="33"/>
      <c r="X88" s="33"/>
      <c r="Y88" s="33"/>
      <c r="Z88" s="33"/>
      <c r="AA88" s="33"/>
    </row>
    <row r="89">
      <c r="A89" s="7" t="s">
        <v>29</v>
      </c>
      <c r="B89" s="26">
        <v>88.0</v>
      </c>
      <c r="C89" s="83" t="s">
        <v>3514</v>
      </c>
      <c r="D89" s="161"/>
      <c r="E89" s="159" t="str">
        <f>IFERROR(__xludf.DUMMYFUNCTION("""COMPUTED_VALUE"""),"Школа 1564")</f>
        <v>Школа 1564</v>
      </c>
      <c r="F89" s="160"/>
      <c r="G89" s="33"/>
      <c r="J89" s="160"/>
      <c r="N89" s="160"/>
      <c r="R89" s="33"/>
      <c r="U89" s="33"/>
      <c r="V89" s="33"/>
      <c r="W89" s="33"/>
      <c r="X89" s="33"/>
      <c r="Y89" s="33"/>
      <c r="Z89" s="33"/>
      <c r="AA89" s="33"/>
    </row>
    <row r="90">
      <c r="A90" s="7" t="s">
        <v>29</v>
      </c>
      <c r="B90" s="26">
        <v>89.0</v>
      </c>
      <c r="C90" s="83" t="s">
        <v>3409</v>
      </c>
      <c r="D90" s="161"/>
      <c r="E90" s="159" t="str">
        <f>IFERROR(__xludf.DUMMYFUNCTION("""COMPUTED_VALUE"""),"Школа 1569")</f>
        <v>Школа 1569</v>
      </c>
      <c r="F90" s="160"/>
      <c r="G90" s="33"/>
      <c r="J90" s="160"/>
      <c r="N90" s="160"/>
      <c r="R90" s="33"/>
      <c r="U90" s="33"/>
      <c r="V90" s="33"/>
      <c r="W90" s="33"/>
      <c r="X90" s="33"/>
      <c r="Y90" s="33"/>
      <c r="Z90" s="33"/>
      <c r="AA90" s="33"/>
    </row>
    <row r="91">
      <c r="A91" s="7" t="s">
        <v>29</v>
      </c>
      <c r="B91" s="26">
        <v>90.0</v>
      </c>
      <c r="C91" s="83" t="s">
        <v>3650</v>
      </c>
      <c r="D91" s="161"/>
      <c r="E91" s="159" t="str">
        <f>IFERROR(__xludf.DUMMYFUNCTION("""COMPUTED_VALUE"""),"Школа 1571")</f>
        <v>Школа 1571</v>
      </c>
      <c r="F91" s="160"/>
      <c r="G91" s="33"/>
      <c r="J91" s="160"/>
      <c r="N91" s="160"/>
      <c r="R91" s="33"/>
      <c r="U91" s="33"/>
      <c r="V91" s="33"/>
      <c r="W91" s="33"/>
      <c r="X91" s="33"/>
      <c r="Y91" s="33"/>
      <c r="Z91" s="33"/>
      <c r="AA91" s="33"/>
    </row>
    <row r="92">
      <c r="A92" s="7" t="s">
        <v>29</v>
      </c>
      <c r="B92" s="26">
        <v>91.0</v>
      </c>
      <c r="C92" s="83" t="s">
        <v>3711</v>
      </c>
      <c r="D92" s="161"/>
      <c r="E92" s="159" t="str">
        <f>IFERROR(__xludf.DUMMYFUNCTION("""COMPUTED_VALUE"""),"Школа 1575")</f>
        <v>Школа 1575</v>
      </c>
      <c r="F92" s="160"/>
      <c r="G92" s="33"/>
      <c r="J92" s="160"/>
      <c r="N92" s="160"/>
      <c r="R92" s="33"/>
      <c r="U92" s="33"/>
      <c r="V92" s="33"/>
      <c r="W92" s="33"/>
      <c r="X92" s="33"/>
      <c r="Y92" s="33"/>
      <c r="Z92" s="33"/>
      <c r="AA92" s="33"/>
    </row>
    <row r="93">
      <c r="A93" s="7" t="s">
        <v>29</v>
      </c>
      <c r="B93" s="26">
        <v>92.0</v>
      </c>
      <c r="C93" s="83" t="s">
        <v>3712</v>
      </c>
      <c r="D93" s="161"/>
      <c r="E93" s="159" t="str">
        <f>IFERROR(__xludf.DUMMYFUNCTION("""COMPUTED_VALUE"""),"Школа 1576")</f>
        <v>Школа 1576</v>
      </c>
      <c r="F93" s="160"/>
      <c r="G93" s="33"/>
      <c r="J93" s="160"/>
      <c r="N93" s="160"/>
      <c r="R93" s="33"/>
      <c r="U93" s="33"/>
      <c r="V93" s="33"/>
      <c r="W93" s="33"/>
      <c r="X93" s="33"/>
      <c r="Y93" s="33"/>
      <c r="Z93" s="33"/>
      <c r="AA93" s="33"/>
    </row>
    <row r="94">
      <c r="A94" s="7" t="s">
        <v>29</v>
      </c>
      <c r="B94" s="26">
        <v>93.0</v>
      </c>
      <c r="C94" s="83" t="s">
        <v>3713</v>
      </c>
      <c r="D94" s="161"/>
      <c r="E94" s="159" t="str">
        <f>IFERROR(__xludf.DUMMYFUNCTION("""COMPUTED_VALUE"""),"Школа 1580")</f>
        <v>Школа 1580</v>
      </c>
      <c r="F94" s="160"/>
      <c r="G94" s="33"/>
      <c r="J94" s="160"/>
      <c r="N94" s="160"/>
      <c r="R94" s="33"/>
      <c r="U94" s="33"/>
      <c r="V94" s="33"/>
      <c r="W94" s="33"/>
      <c r="X94" s="33"/>
      <c r="Y94" s="33"/>
      <c r="Z94" s="33"/>
      <c r="AA94" s="33"/>
    </row>
    <row r="95">
      <c r="A95" s="7" t="s">
        <v>29</v>
      </c>
      <c r="B95" s="26">
        <v>94.0</v>
      </c>
      <c r="C95" s="83" t="s">
        <v>3714</v>
      </c>
      <c r="D95" s="161"/>
      <c r="E95" s="159" t="str">
        <f>IFERROR(__xludf.DUMMYFUNCTION("""COMPUTED_VALUE"""),"Школа 1581")</f>
        <v>Школа 1581</v>
      </c>
      <c r="F95" s="160"/>
      <c r="G95" s="33"/>
      <c r="J95" s="160"/>
      <c r="N95" s="160"/>
      <c r="R95" s="33"/>
      <c r="U95" s="33"/>
      <c r="V95" s="33"/>
      <c r="W95" s="33"/>
      <c r="X95" s="33"/>
      <c r="Y95" s="33"/>
      <c r="Z95" s="33"/>
      <c r="AA95" s="33"/>
    </row>
    <row r="96">
      <c r="A96" s="7" t="s">
        <v>29</v>
      </c>
      <c r="B96" s="26">
        <v>95.0</v>
      </c>
      <c r="C96" s="83" t="s">
        <v>3651</v>
      </c>
      <c r="D96" s="161"/>
      <c r="E96" s="159" t="str">
        <f>IFERROR(__xludf.DUMMYFUNCTION("""COMPUTED_VALUE"""),"Школа 1583")</f>
        <v>Школа 1583</v>
      </c>
      <c r="F96" s="160"/>
      <c r="G96" s="33"/>
      <c r="J96" s="160"/>
      <c r="N96" s="160"/>
      <c r="R96" s="33"/>
      <c r="U96" s="33"/>
      <c r="V96" s="33"/>
      <c r="W96" s="33"/>
      <c r="X96" s="33"/>
      <c r="Y96" s="33"/>
      <c r="Z96" s="33"/>
      <c r="AA96" s="33"/>
    </row>
    <row r="97">
      <c r="A97" s="7" t="s">
        <v>29</v>
      </c>
      <c r="B97" s="26">
        <v>96.0</v>
      </c>
      <c r="C97" s="83" t="s">
        <v>3652</v>
      </c>
      <c r="D97" s="161"/>
      <c r="E97" s="159" t="str">
        <f>IFERROR(__xludf.DUMMYFUNCTION("""COMPUTED_VALUE"""),"Школа 1584")</f>
        <v>Школа 1584</v>
      </c>
      <c r="F97" s="160"/>
      <c r="G97" s="33"/>
      <c r="J97" s="160"/>
      <c r="N97" s="160"/>
      <c r="R97" s="33"/>
      <c r="U97" s="33"/>
      <c r="V97" s="33"/>
      <c r="W97" s="33"/>
      <c r="X97" s="33"/>
      <c r="Y97" s="33"/>
      <c r="Z97" s="33"/>
      <c r="AA97" s="33"/>
    </row>
    <row r="98">
      <c r="A98" s="7" t="s">
        <v>29</v>
      </c>
      <c r="B98" s="26">
        <v>97.0</v>
      </c>
      <c r="C98" s="83" t="s">
        <v>3715</v>
      </c>
      <c r="D98" s="161"/>
      <c r="E98" s="159" t="str">
        <f>IFERROR(__xludf.DUMMYFUNCTION("""COMPUTED_VALUE"""),"Школа 1591")</f>
        <v>Школа 1591</v>
      </c>
      <c r="F98" s="160"/>
      <c r="G98" s="33"/>
      <c r="J98" s="160"/>
      <c r="N98" s="160"/>
      <c r="R98" s="33"/>
      <c r="U98" s="33"/>
      <c r="V98" s="33"/>
      <c r="W98" s="33"/>
      <c r="X98" s="33"/>
      <c r="Y98" s="33"/>
      <c r="Z98" s="33"/>
      <c r="AA98" s="33"/>
    </row>
    <row r="99">
      <c r="A99" s="7" t="s">
        <v>29</v>
      </c>
      <c r="B99" s="26">
        <v>98.0</v>
      </c>
      <c r="C99" s="83" t="s">
        <v>3480</v>
      </c>
      <c r="D99" s="161"/>
      <c r="E99" s="159" t="str">
        <f>IFERROR(__xludf.DUMMYFUNCTION("""COMPUTED_VALUE"""),"Школа 1601")</f>
        <v>Школа 1601</v>
      </c>
      <c r="F99" s="160"/>
      <c r="G99" s="33"/>
      <c r="J99" s="160"/>
      <c r="N99" s="160"/>
      <c r="R99" s="33"/>
      <c r="U99" s="33"/>
      <c r="V99" s="33"/>
      <c r="W99" s="33"/>
      <c r="X99" s="33"/>
      <c r="Y99" s="33"/>
      <c r="Z99" s="33"/>
      <c r="AA99" s="33"/>
    </row>
    <row r="100">
      <c r="A100" s="7" t="s">
        <v>29</v>
      </c>
      <c r="B100" s="26">
        <v>99.0</v>
      </c>
      <c r="C100" s="83" t="s">
        <v>3801</v>
      </c>
      <c r="D100" s="161"/>
      <c r="E100" s="159" t="str">
        <f>IFERROR(__xludf.DUMMYFUNCTION("""COMPUTED_VALUE"""),"Школа 1741")</f>
        <v>Школа 1741</v>
      </c>
      <c r="F100" s="160"/>
      <c r="G100" s="33"/>
      <c r="J100" s="160"/>
      <c r="N100" s="160"/>
      <c r="R100" s="33"/>
      <c r="U100" s="33"/>
      <c r="V100" s="33"/>
      <c r="W100" s="33"/>
      <c r="X100" s="33"/>
      <c r="Y100" s="33"/>
      <c r="Z100" s="33"/>
      <c r="AA100" s="33"/>
    </row>
    <row r="101">
      <c r="A101" s="7" t="s">
        <v>29</v>
      </c>
      <c r="B101" s="26">
        <v>100.0</v>
      </c>
      <c r="C101" s="83" t="s">
        <v>3654</v>
      </c>
      <c r="D101" s="161"/>
      <c r="E101" s="159" t="str">
        <f>IFERROR(__xludf.DUMMYFUNCTION("""COMPUTED_VALUE"""),"Школа 1747")</f>
        <v>Школа 1747</v>
      </c>
      <c r="F101" s="160"/>
      <c r="G101" s="33"/>
      <c r="J101" s="160"/>
      <c r="N101" s="160"/>
      <c r="R101" s="33"/>
      <c r="U101" s="33"/>
      <c r="V101" s="33"/>
      <c r="W101" s="33"/>
      <c r="X101" s="33"/>
      <c r="Y101" s="33"/>
      <c r="Z101" s="33"/>
      <c r="AA101" s="33"/>
    </row>
    <row r="102">
      <c r="A102" s="7" t="s">
        <v>29</v>
      </c>
      <c r="B102" s="26">
        <v>101.0</v>
      </c>
      <c r="C102" s="83" t="s">
        <v>3718</v>
      </c>
      <c r="D102" s="161"/>
      <c r="E102" s="159" t="str">
        <f>IFERROR(__xludf.DUMMYFUNCTION("""COMPUTED_VALUE"""),"Школа 1748")</f>
        <v>Школа 1748</v>
      </c>
      <c r="F102" s="160"/>
      <c r="G102" s="33"/>
      <c r="J102" s="160"/>
      <c r="N102" s="160"/>
      <c r="R102" s="33"/>
      <c r="U102" s="33"/>
      <c r="V102" s="33"/>
      <c r="W102" s="33"/>
      <c r="X102" s="33"/>
      <c r="Y102" s="33"/>
      <c r="Z102" s="33"/>
      <c r="AA102" s="33"/>
    </row>
    <row r="103">
      <c r="A103" s="7" t="s">
        <v>29</v>
      </c>
      <c r="B103" s="26">
        <v>102.0</v>
      </c>
      <c r="C103" s="83" t="s">
        <v>3719</v>
      </c>
      <c r="D103" s="161"/>
      <c r="E103" s="159" t="str">
        <f>IFERROR(__xludf.DUMMYFUNCTION("""COMPUTED_VALUE"""),"Школа 1770")</f>
        <v>Школа 1770</v>
      </c>
      <c r="F103" s="160"/>
      <c r="G103" s="33"/>
      <c r="J103" s="160"/>
      <c r="N103" s="160"/>
      <c r="R103" s="33"/>
      <c r="U103" s="33"/>
      <c r="V103" s="33"/>
      <c r="W103" s="33"/>
      <c r="X103" s="33"/>
      <c r="Y103" s="33"/>
      <c r="Z103" s="33"/>
      <c r="AA103" s="33"/>
    </row>
    <row r="104">
      <c r="A104" s="7" t="s">
        <v>29</v>
      </c>
      <c r="B104" s="26">
        <v>103.0</v>
      </c>
      <c r="C104" s="83" t="s">
        <v>3334</v>
      </c>
      <c r="D104" s="161"/>
      <c r="E104" s="159" t="str">
        <f>IFERROR(__xludf.DUMMYFUNCTION("""COMPUTED_VALUE"""),"Школа 1788")</f>
        <v>Школа 1788</v>
      </c>
      <c r="F104" s="160"/>
      <c r="G104" s="33"/>
      <c r="J104" s="160"/>
      <c r="N104" s="160"/>
      <c r="R104" s="33"/>
      <c r="U104" s="33"/>
      <c r="V104" s="33"/>
      <c r="W104" s="33"/>
      <c r="X104" s="33"/>
      <c r="Y104" s="33"/>
      <c r="Z104" s="33"/>
      <c r="AA104" s="33"/>
    </row>
    <row r="105">
      <c r="A105" s="7" t="s">
        <v>29</v>
      </c>
      <c r="B105" s="26">
        <v>104.0</v>
      </c>
      <c r="C105" s="83" t="s">
        <v>3458</v>
      </c>
      <c r="D105" s="161"/>
      <c r="E105" s="159" t="str">
        <f>IFERROR(__xludf.DUMMYFUNCTION("""COMPUTED_VALUE"""),"Школа 1793")</f>
        <v>Школа 1793</v>
      </c>
      <c r="F105" s="160"/>
      <c r="G105" s="33"/>
      <c r="J105" s="160"/>
      <c r="N105" s="160"/>
      <c r="R105" s="33"/>
      <c r="U105" s="33"/>
      <c r="V105" s="33"/>
      <c r="W105" s="33"/>
      <c r="X105" s="33"/>
      <c r="Y105" s="33"/>
      <c r="Z105" s="33"/>
      <c r="AA105" s="33"/>
    </row>
    <row r="106">
      <c r="A106" s="7" t="s">
        <v>29</v>
      </c>
      <c r="B106" s="26">
        <v>105.0</v>
      </c>
      <c r="C106" s="83" t="s">
        <v>3721</v>
      </c>
      <c r="D106" s="161"/>
      <c r="E106" s="159" t="str">
        <f>IFERROR(__xludf.DUMMYFUNCTION("""COMPUTED_VALUE"""),"Школа 1797")</f>
        <v>Школа 1797</v>
      </c>
      <c r="F106" s="160"/>
      <c r="G106" s="33"/>
      <c r="J106" s="160"/>
      <c r="N106" s="160"/>
      <c r="R106" s="33"/>
      <c r="U106" s="33"/>
      <c r="V106" s="33"/>
      <c r="W106" s="33"/>
      <c r="X106" s="33"/>
      <c r="Y106" s="33"/>
      <c r="Z106" s="33"/>
      <c r="AA106" s="33"/>
    </row>
    <row r="107">
      <c r="A107" s="7" t="s">
        <v>29</v>
      </c>
      <c r="B107" s="26">
        <v>106.0</v>
      </c>
      <c r="C107" s="83" t="s">
        <v>3573</v>
      </c>
      <c r="D107" s="161"/>
      <c r="E107" s="159" t="str">
        <f>IFERROR(__xludf.DUMMYFUNCTION("""COMPUTED_VALUE"""),"Школа 1798")</f>
        <v>Школа 1798</v>
      </c>
      <c r="F107" s="160"/>
      <c r="G107" s="33"/>
      <c r="J107" s="160"/>
      <c r="N107" s="160"/>
      <c r="R107" s="33"/>
      <c r="U107" s="33"/>
      <c r="V107" s="33"/>
      <c r="W107" s="33"/>
      <c r="X107" s="33"/>
      <c r="Y107" s="33"/>
      <c r="Z107" s="33"/>
      <c r="AA107" s="33"/>
    </row>
    <row r="108">
      <c r="A108" s="7" t="s">
        <v>29</v>
      </c>
      <c r="B108" s="26">
        <v>107.0</v>
      </c>
      <c r="C108" s="83" t="s">
        <v>3657</v>
      </c>
      <c r="D108" s="161"/>
      <c r="E108" s="159" t="str">
        <f>IFERROR(__xludf.DUMMYFUNCTION("""COMPUTED_VALUE"""),"Школа 1811")</f>
        <v>Школа 1811</v>
      </c>
      <c r="F108" s="160"/>
      <c r="G108" s="33"/>
      <c r="J108" s="160"/>
      <c r="N108" s="160"/>
      <c r="R108" s="33"/>
      <c r="U108" s="33"/>
      <c r="V108" s="33"/>
      <c r="W108" s="33"/>
      <c r="X108" s="33"/>
      <c r="Y108" s="33"/>
      <c r="Z108" s="33"/>
      <c r="AA108" s="33"/>
    </row>
    <row r="109">
      <c r="A109" s="7" t="s">
        <v>29</v>
      </c>
      <c r="B109" s="26">
        <v>108.0</v>
      </c>
      <c r="C109" s="83" t="s">
        <v>3335</v>
      </c>
      <c r="D109" s="161"/>
      <c r="E109" s="159" t="str">
        <f>IFERROR(__xludf.DUMMYFUNCTION("""COMPUTED_VALUE"""),"Школа 1852")</f>
        <v>Школа 1852</v>
      </c>
      <c r="F109" s="160"/>
      <c r="G109" s="33"/>
      <c r="J109" s="160"/>
      <c r="N109" s="160"/>
      <c r="R109" s="33"/>
      <c r="U109" s="33"/>
      <c r="V109" s="33"/>
      <c r="W109" s="33"/>
      <c r="X109" s="33"/>
      <c r="Y109" s="33"/>
      <c r="Z109" s="33"/>
      <c r="AA109" s="33"/>
    </row>
    <row r="110">
      <c r="A110" s="7" t="s">
        <v>29</v>
      </c>
      <c r="B110" s="26">
        <v>109.0</v>
      </c>
      <c r="C110" s="83" t="s">
        <v>3416</v>
      </c>
      <c r="D110" s="161"/>
      <c r="E110" s="159" t="str">
        <f>IFERROR(__xludf.DUMMYFUNCTION("""COMPUTED_VALUE"""),"Школа 1883")</f>
        <v>Школа 1883</v>
      </c>
      <c r="F110" s="160"/>
      <c r="G110" s="33"/>
      <c r="J110" s="160"/>
      <c r="N110" s="160"/>
      <c r="R110" s="33"/>
      <c r="U110" s="33"/>
      <c r="V110" s="33"/>
      <c r="W110" s="33"/>
      <c r="X110" s="33"/>
      <c r="Y110" s="33"/>
      <c r="Z110" s="33"/>
      <c r="AA110" s="33"/>
    </row>
    <row r="111">
      <c r="A111" s="7" t="s">
        <v>29</v>
      </c>
      <c r="B111" s="26">
        <v>110.0</v>
      </c>
      <c r="C111" s="83" t="s">
        <v>3802</v>
      </c>
      <c r="D111" s="161"/>
      <c r="E111" s="159" t="str">
        <f>IFERROR(__xludf.DUMMYFUNCTION("""COMPUTED_VALUE"""),"Школа 1900")</f>
        <v>Школа 1900</v>
      </c>
      <c r="F111" s="160"/>
      <c r="G111" s="33"/>
      <c r="J111" s="160"/>
      <c r="N111" s="160"/>
      <c r="R111" s="33"/>
      <c r="U111" s="33"/>
      <c r="V111" s="33"/>
      <c r="W111" s="33"/>
      <c r="X111" s="33"/>
      <c r="Y111" s="33"/>
      <c r="Z111" s="33"/>
      <c r="AA111" s="33"/>
    </row>
    <row r="112">
      <c r="A112" s="7" t="s">
        <v>29</v>
      </c>
      <c r="B112" s="26">
        <v>111.0</v>
      </c>
      <c r="C112" s="83" t="s">
        <v>3521</v>
      </c>
      <c r="D112" s="161"/>
      <c r="E112" s="159" t="str">
        <f>IFERROR(__xludf.DUMMYFUNCTION("""COMPUTED_VALUE"""),"Школа 1905")</f>
        <v>Школа 1905</v>
      </c>
      <c r="F112" s="160"/>
      <c r="G112" s="33"/>
      <c r="J112" s="160"/>
      <c r="N112" s="160"/>
      <c r="R112" s="33"/>
      <c r="U112" s="33"/>
      <c r="V112" s="33"/>
      <c r="W112" s="33"/>
      <c r="X112" s="33"/>
      <c r="Y112" s="33"/>
      <c r="Z112" s="33"/>
      <c r="AA112" s="33"/>
    </row>
    <row r="113">
      <c r="A113" s="7" t="s">
        <v>29</v>
      </c>
      <c r="B113" s="26">
        <v>112.0</v>
      </c>
      <c r="C113" s="83" t="s">
        <v>3803</v>
      </c>
      <c r="D113" s="161"/>
      <c r="E113" s="159" t="str">
        <f>IFERROR(__xludf.DUMMYFUNCTION("""COMPUTED_VALUE"""),"Школа 1935")</f>
        <v>Школа 1935</v>
      </c>
      <c r="F113" s="160"/>
      <c r="G113" s="33"/>
      <c r="J113" s="160"/>
      <c r="N113" s="160"/>
      <c r="R113" s="33"/>
      <c r="U113" s="33"/>
      <c r="V113" s="33"/>
      <c r="W113" s="33"/>
      <c r="X113" s="33"/>
      <c r="Y113" s="33"/>
      <c r="Z113" s="33"/>
      <c r="AA113" s="33"/>
    </row>
    <row r="114">
      <c r="A114" s="7" t="s">
        <v>29</v>
      </c>
      <c r="B114" s="26">
        <v>113.0</v>
      </c>
      <c r="C114" s="83" t="s">
        <v>3723</v>
      </c>
      <c r="D114" s="161"/>
      <c r="E114" s="159" t="str">
        <f>IFERROR(__xludf.DUMMYFUNCTION("""COMPUTED_VALUE"""),"Школа 1980")</f>
        <v>Школа 1980</v>
      </c>
      <c r="F114" s="160"/>
      <c r="G114" s="33"/>
      <c r="J114" s="160"/>
      <c r="N114" s="160"/>
      <c r="R114" s="33"/>
      <c r="U114" s="33"/>
      <c r="V114" s="33"/>
      <c r="W114" s="33"/>
      <c r="X114" s="33"/>
      <c r="Y114" s="33"/>
      <c r="Z114" s="33"/>
      <c r="AA114" s="33"/>
    </row>
    <row r="115">
      <c r="A115" s="7" t="s">
        <v>29</v>
      </c>
      <c r="B115" s="26">
        <v>114.0</v>
      </c>
      <c r="C115" s="83" t="s">
        <v>3724</v>
      </c>
      <c r="D115" s="161"/>
      <c r="E115" s="159" t="str">
        <f>IFERROR(__xludf.DUMMYFUNCTION("""COMPUTED_VALUE"""),"Школа 1981")</f>
        <v>Школа 1981</v>
      </c>
      <c r="F115" s="160"/>
      <c r="G115" s="33"/>
      <c r="J115" s="160"/>
      <c r="N115" s="160"/>
      <c r="R115" s="33"/>
      <c r="U115" s="33"/>
      <c r="V115" s="33"/>
      <c r="W115" s="33"/>
      <c r="X115" s="33"/>
      <c r="Y115" s="33"/>
      <c r="Z115" s="33"/>
      <c r="AA115" s="33"/>
    </row>
    <row r="116">
      <c r="A116" s="7" t="s">
        <v>29</v>
      </c>
      <c r="B116" s="26">
        <v>115.0</v>
      </c>
      <c r="C116" s="83" t="s">
        <v>3659</v>
      </c>
      <c r="D116" s="161"/>
      <c r="E116" s="159" t="str">
        <f>IFERROR(__xludf.DUMMYFUNCTION("""COMPUTED_VALUE"""),"Школа 2005")</f>
        <v>Школа 2005</v>
      </c>
      <c r="F116" s="160"/>
      <c r="G116" s="33"/>
      <c r="J116" s="160"/>
      <c r="N116" s="160"/>
      <c r="R116" s="33"/>
      <c r="U116" s="33"/>
      <c r="V116" s="33"/>
      <c r="W116" s="33"/>
      <c r="X116" s="33"/>
      <c r="Y116" s="33"/>
      <c r="Z116" s="33"/>
      <c r="AA116" s="33"/>
    </row>
    <row r="117">
      <c r="A117" s="7" t="s">
        <v>29</v>
      </c>
      <c r="B117" s="26">
        <v>116.0</v>
      </c>
      <c r="C117" s="83" t="s">
        <v>3421</v>
      </c>
      <c r="D117" s="161"/>
      <c r="E117" s="159" t="str">
        <f>IFERROR(__xludf.DUMMYFUNCTION("""COMPUTED_VALUE"""),"Школа 2006")</f>
        <v>Школа 2006</v>
      </c>
      <c r="F117" s="160"/>
      <c r="G117" s="33"/>
      <c r="J117" s="160"/>
      <c r="N117" s="160"/>
      <c r="R117" s="33"/>
      <c r="U117" s="33"/>
      <c r="V117" s="33"/>
      <c r="W117" s="33"/>
      <c r="X117" s="33"/>
      <c r="Y117" s="33"/>
      <c r="Z117" s="33"/>
      <c r="AA117" s="33"/>
    </row>
    <row r="118">
      <c r="A118" s="7" t="s">
        <v>29</v>
      </c>
      <c r="B118" s="26">
        <v>117.0</v>
      </c>
      <c r="C118" s="83" t="s">
        <v>3610</v>
      </c>
      <c r="D118" s="161"/>
      <c r="E118" s="159" t="str">
        <f>IFERROR(__xludf.DUMMYFUNCTION("""COMPUTED_VALUE"""),"Школа 2009")</f>
        <v>Школа 2009</v>
      </c>
      <c r="F118" s="160"/>
      <c r="G118" s="33"/>
      <c r="J118" s="160"/>
      <c r="N118" s="160"/>
      <c r="R118" s="33"/>
      <c r="U118" s="33"/>
      <c r="V118" s="33"/>
      <c r="W118" s="33"/>
      <c r="X118" s="33"/>
      <c r="Y118" s="33"/>
      <c r="Z118" s="33"/>
      <c r="AA118" s="33"/>
    </row>
    <row r="119">
      <c r="A119" s="7" t="s">
        <v>29</v>
      </c>
      <c r="B119" s="26">
        <v>118.0</v>
      </c>
      <c r="C119" s="83" t="s">
        <v>3357</v>
      </c>
      <c r="D119" s="161"/>
      <c r="E119" s="159" t="str">
        <f>IFERROR(__xludf.DUMMYFUNCTION("""COMPUTED_VALUE"""),"Школа 2010")</f>
        <v>Школа 2010</v>
      </c>
      <c r="F119" s="160"/>
      <c r="G119" s="33"/>
      <c r="J119" s="160"/>
      <c r="N119" s="160"/>
      <c r="R119" s="33"/>
      <c r="U119" s="33"/>
      <c r="V119" s="33"/>
      <c r="W119" s="33"/>
      <c r="X119" s="33"/>
      <c r="Y119" s="33"/>
      <c r="Z119" s="33"/>
      <c r="AA119" s="33"/>
    </row>
    <row r="120">
      <c r="A120" s="7" t="s">
        <v>29</v>
      </c>
      <c r="B120" s="26">
        <v>119.0</v>
      </c>
      <c r="C120" s="83" t="s">
        <v>3725</v>
      </c>
      <c r="D120" s="161"/>
      <c r="E120" s="159" t="str">
        <f>IFERROR(__xludf.DUMMYFUNCTION("""COMPUTED_VALUE"""),"Школа 2025")</f>
        <v>Школа 2025</v>
      </c>
      <c r="F120" s="160"/>
      <c r="G120" s="33"/>
      <c r="J120" s="160"/>
      <c r="N120" s="160"/>
      <c r="R120" s="33"/>
      <c r="U120" s="33"/>
      <c r="V120" s="33"/>
      <c r="W120" s="33"/>
      <c r="X120" s="33"/>
      <c r="Y120" s="33"/>
      <c r="Z120" s="33"/>
      <c r="AA120" s="33"/>
    </row>
    <row r="121">
      <c r="A121" s="7" t="s">
        <v>29</v>
      </c>
      <c r="B121" s="26">
        <v>120.0</v>
      </c>
      <c r="C121" s="83" t="s">
        <v>3726</v>
      </c>
      <c r="D121" s="161"/>
      <c r="E121" s="159" t="str">
        <f>IFERROR(__xludf.DUMMYFUNCTION("""COMPUTED_VALUE"""),"Школа 2044")</f>
        <v>Школа 2044</v>
      </c>
      <c r="F121" s="160"/>
      <c r="G121" s="33"/>
      <c r="J121" s="33"/>
      <c r="N121" s="33"/>
      <c r="R121" s="33"/>
      <c r="U121" s="33"/>
      <c r="V121" s="33"/>
      <c r="W121" s="33"/>
      <c r="X121" s="33"/>
      <c r="Y121" s="33"/>
      <c r="Z121" s="33"/>
      <c r="AA121" s="33"/>
    </row>
    <row r="122">
      <c r="A122" s="7" t="s">
        <v>29</v>
      </c>
      <c r="B122" s="26">
        <v>121.0</v>
      </c>
      <c r="C122" s="83" t="s">
        <v>3358</v>
      </c>
      <c r="D122" s="161"/>
      <c r="E122" s="159" t="str">
        <f>IFERROR(__xludf.DUMMYFUNCTION("""COMPUTED_VALUE"""),"Школа 2045")</f>
        <v>Школа 2045</v>
      </c>
      <c r="F122" s="160"/>
      <c r="G122" s="33"/>
      <c r="J122" s="33"/>
      <c r="N122" s="33"/>
      <c r="R122" s="33"/>
      <c r="U122" s="33"/>
      <c r="V122" s="33"/>
      <c r="W122" s="33"/>
      <c r="X122" s="33"/>
      <c r="Y122" s="33"/>
      <c r="Z122" s="33"/>
      <c r="AA122" s="33"/>
    </row>
    <row r="123">
      <c r="A123" s="7" t="s">
        <v>29</v>
      </c>
      <c r="B123" s="26">
        <v>122.0</v>
      </c>
      <c r="C123" s="83" t="s">
        <v>3451</v>
      </c>
      <c r="D123" s="161"/>
      <c r="E123" s="159" t="str">
        <f>IFERROR(__xludf.DUMMYFUNCTION("""COMPUTED_VALUE"""),"Школа 2048")</f>
        <v>Школа 2048</v>
      </c>
      <c r="F123" s="160"/>
      <c r="G123" s="33"/>
      <c r="J123" s="33"/>
      <c r="N123" s="33"/>
      <c r="R123" s="33"/>
      <c r="U123" s="33"/>
      <c r="V123" s="33"/>
      <c r="W123" s="33"/>
      <c r="X123" s="33"/>
      <c r="Y123" s="33"/>
      <c r="Z123" s="33"/>
      <c r="AA123" s="33"/>
    </row>
    <row r="124">
      <c r="A124" s="7" t="s">
        <v>29</v>
      </c>
      <c r="B124" s="26">
        <v>123.0</v>
      </c>
      <c r="C124" s="83" t="s">
        <v>3727</v>
      </c>
      <c r="D124" s="161"/>
      <c r="E124" s="159" t="str">
        <f>IFERROR(__xludf.DUMMYFUNCTION("""COMPUTED_VALUE"""),"Школа 2065")</f>
        <v>Школа 2065</v>
      </c>
      <c r="F124" s="160"/>
      <c r="G124" s="33"/>
      <c r="J124" s="33"/>
      <c r="N124" s="33"/>
      <c r="R124" s="33"/>
      <c r="U124" s="33"/>
      <c r="V124" s="33"/>
      <c r="W124" s="33"/>
      <c r="X124" s="33"/>
      <c r="Y124" s="33"/>
      <c r="Z124" s="33"/>
      <c r="AA124" s="33"/>
    </row>
    <row r="125">
      <c r="A125" s="7" t="s">
        <v>29</v>
      </c>
      <c r="B125" s="26">
        <v>124.0</v>
      </c>
      <c r="C125" s="83" t="s">
        <v>3663</v>
      </c>
      <c r="D125" s="161"/>
      <c r="E125" s="159" t="str">
        <f>IFERROR(__xludf.DUMMYFUNCTION("""COMPUTED_VALUE"""),"Школа 2070")</f>
        <v>Школа 2070</v>
      </c>
      <c r="F125" s="160"/>
      <c r="G125" s="33"/>
      <c r="J125" s="33"/>
      <c r="N125" s="33"/>
      <c r="R125" s="33"/>
      <c r="U125" s="33"/>
      <c r="V125" s="33"/>
      <c r="W125" s="33"/>
      <c r="X125" s="33"/>
      <c r="Y125" s="33"/>
      <c r="Z125" s="33"/>
      <c r="AA125" s="33"/>
    </row>
    <row r="126">
      <c r="A126" s="7" t="s">
        <v>29</v>
      </c>
      <c r="B126" s="26">
        <v>125.0</v>
      </c>
      <c r="C126" s="83" t="s">
        <v>3575</v>
      </c>
      <c r="D126" s="161"/>
      <c r="E126" s="159" t="str">
        <f>IFERROR(__xludf.DUMMYFUNCTION("""COMPUTED_VALUE"""),"Школа 2072")</f>
        <v>Школа 2072</v>
      </c>
      <c r="F126" s="160"/>
      <c r="G126" s="33"/>
      <c r="J126" s="33"/>
      <c r="N126" s="33"/>
      <c r="R126" s="33"/>
      <c r="U126" s="33"/>
      <c r="V126" s="33"/>
      <c r="W126" s="33"/>
      <c r="X126" s="33"/>
      <c r="Y126" s="33"/>
      <c r="Z126" s="33"/>
      <c r="AA126" s="33"/>
    </row>
    <row r="127">
      <c r="A127" s="7" t="s">
        <v>29</v>
      </c>
      <c r="B127" s="26">
        <v>126.0</v>
      </c>
      <c r="C127" s="83" t="s">
        <v>3728</v>
      </c>
      <c r="D127" s="161"/>
      <c r="E127" s="159" t="str">
        <f>IFERROR(__xludf.DUMMYFUNCTION("""COMPUTED_VALUE"""),"Школа 2083")</f>
        <v>Школа 2083</v>
      </c>
      <c r="F127" s="160"/>
      <c r="G127" s="33"/>
      <c r="J127" s="33"/>
      <c r="N127" s="33"/>
      <c r="R127" s="33"/>
      <c r="U127" s="33"/>
      <c r="V127" s="33"/>
      <c r="W127" s="33"/>
      <c r="X127" s="33"/>
      <c r="Y127" s="33"/>
      <c r="Z127" s="33"/>
      <c r="AA127" s="33"/>
    </row>
    <row r="128">
      <c r="A128" s="7" t="s">
        <v>29</v>
      </c>
      <c r="B128" s="26">
        <v>127.0</v>
      </c>
      <c r="C128" s="83" t="s">
        <v>3612</v>
      </c>
      <c r="D128" s="161"/>
      <c r="E128" s="159" t="str">
        <f>IFERROR(__xludf.DUMMYFUNCTION("""COMPUTED_VALUE"""),"Школа 2086")</f>
        <v>Школа 2086</v>
      </c>
      <c r="F128" s="160"/>
      <c r="G128" s="33"/>
      <c r="J128" s="33"/>
      <c r="N128" s="33"/>
      <c r="R128" s="33"/>
      <c r="U128" s="33"/>
      <c r="V128" s="33"/>
      <c r="W128" s="33"/>
      <c r="X128" s="33"/>
      <c r="Y128" s="33"/>
      <c r="Z128" s="33"/>
      <c r="AA128" s="33"/>
    </row>
    <row r="129">
      <c r="A129" s="7" t="s">
        <v>29</v>
      </c>
      <c r="B129" s="26">
        <v>128.0</v>
      </c>
      <c r="C129" s="83" t="s">
        <v>3729</v>
      </c>
      <c r="D129" s="161"/>
      <c r="E129" s="159" t="str">
        <f>IFERROR(__xludf.DUMMYFUNCTION("""COMPUTED_VALUE"""),"Школа 2089")</f>
        <v>Школа 2089</v>
      </c>
      <c r="F129" s="160"/>
      <c r="G129" s="33"/>
      <c r="J129" s="33"/>
      <c r="N129" s="33"/>
      <c r="R129" s="33"/>
      <c r="U129" s="33"/>
      <c r="V129" s="33"/>
      <c r="W129" s="33"/>
      <c r="X129" s="33"/>
      <c r="Y129" s="33"/>
      <c r="Z129" s="33"/>
      <c r="AA129" s="33"/>
    </row>
    <row r="130">
      <c r="A130" s="7" t="s">
        <v>29</v>
      </c>
      <c r="B130" s="26">
        <v>129.0</v>
      </c>
      <c r="C130" s="83" t="s">
        <v>3804</v>
      </c>
      <c r="D130" s="161"/>
      <c r="E130" s="159" t="str">
        <f>IFERROR(__xludf.DUMMYFUNCTION("""COMPUTED_VALUE"""),"Школа 2090")</f>
        <v>Школа 2090</v>
      </c>
      <c r="F130" s="160"/>
      <c r="G130" s="33"/>
      <c r="J130" s="33"/>
      <c r="N130" s="33"/>
      <c r="R130" s="33"/>
      <c r="U130" s="33"/>
      <c r="V130" s="33"/>
      <c r="W130" s="33"/>
      <c r="X130" s="33"/>
      <c r="Y130" s="33"/>
      <c r="Z130" s="33"/>
      <c r="AA130" s="33"/>
    </row>
    <row r="131">
      <c r="A131" s="7" t="s">
        <v>29</v>
      </c>
      <c r="B131" s="26">
        <v>130.0</v>
      </c>
      <c r="C131" s="83" t="s">
        <v>3614</v>
      </c>
      <c r="D131" s="161"/>
      <c r="E131" s="159" t="str">
        <f>IFERROR(__xludf.DUMMYFUNCTION("""COMPUTED_VALUE"""),"Школа 2107")</f>
        <v>Школа 2107</v>
      </c>
      <c r="F131" s="160"/>
      <c r="G131" s="33"/>
      <c r="J131" s="33"/>
      <c r="N131" s="33"/>
      <c r="R131" s="33"/>
      <c r="U131" s="33"/>
      <c r="V131" s="33"/>
      <c r="W131" s="33"/>
      <c r="X131" s="33"/>
      <c r="Y131" s="33"/>
      <c r="Z131" s="33"/>
      <c r="AA131" s="33"/>
    </row>
    <row r="132">
      <c r="A132" s="7" t="s">
        <v>29</v>
      </c>
      <c r="B132" s="26">
        <v>131.0</v>
      </c>
      <c r="C132" s="83" t="s">
        <v>3730</v>
      </c>
      <c r="D132" s="161"/>
      <c r="E132" s="159" t="str">
        <f>IFERROR(__xludf.DUMMYFUNCTION("""COMPUTED_VALUE"""),"Школа 2109")</f>
        <v>Школа 2109</v>
      </c>
      <c r="F132" s="160"/>
      <c r="G132" s="33"/>
      <c r="J132" s="33"/>
      <c r="N132" s="33"/>
      <c r="R132" s="33"/>
      <c r="U132" s="33"/>
      <c r="V132" s="33"/>
      <c r="W132" s="33"/>
      <c r="X132" s="33"/>
      <c r="Y132" s="33"/>
      <c r="Z132" s="33"/>
      <c r="AA132" s="33"/>
    </row>
    <row r="133">
      <c r="A133" s="7" t="s">
        <v>29</v>
      </c>
      <c r="B133" s="26">
        <v>132.0</v>
      </c>
      <c r="C133" s="83" t="s">
        <v>3731</v>
      </c>
      <c r="D133" s="161"/>
      <c r="E133" s="159" t="str">
        <f>IFERROR(__xludf.DUMMYFUNCTION("""COMPUTED_VALUE"""),"Школа 2114")</f>
        <v>Школа 2114</v>
      </c>
      <c r="F133" s="160"/>
      <c r="G133" s="33"/>
      <c r="J133" s="33"/>
      <c r="N133" s="33"/>
      <c r="R133" s="33"/>
      <c r="U133" s="33"/>
      <c r="V133" s="33"/>
      <c r="W133" s="33"/>
      <c r="X133" s="33"/>
      <c r="Y133" s="33"/>
      <c r="Z133" s="33"/>
      <c r="AA133" s="33"/>
    </row>
    <row r="134">
      <c r="A134" s="7" t="s">
        <v>29</v>
      </c>
      <c r="B134" s="26">
        <v>133.0</v>
      </c>
      <c r="C134" s="83" t="s">
        <v>3338</v>
      </c>
      <c r="D134" s="161"/>
      <c r="E134" s="159" t="str">
        <f>IFERROR(__xludf.DUMMYFUNCTION("""COMPUTED_VALUE"""),"Школа 2115")</f>
        <v>Школа 2115</v>
      </c>
      <c r="F134" s="160"/>
      <c r="G134" s="33"/>
      <c r="J134" s="33"/>
      <c r="N134" s="33"/>
      <c r="R134" s="33"/>
      <c r="U134" s="33"/>
      <c r="V134" s="33"/>
      <c r="W134" s="33"/>
      <c r="X134" s="33"/>
      <c r="Y134" s="33"/>
      <c r="Z134" s="33"/>
      <c r="AA134" s="33"/>
    </row>
    <row r="135">
      <c r="A135" s="7" t="s">
        <v>29</v>
      </c>
      <c r="B135" s="26">
        <v>134.0</v>
      </c>
      <c r="C135" s="83" t="s">
        <v>3732</v>
      </c>
      <c r="D135" s="161"/>
      <c r="E135" s="159" t="str">
        <f>IFERROR(__xludf.DUMMYFUNCTION("""COMPUTED_VALUE"""),"Школа 2116")</f>
        <v>Школа 2116</v>
      </c>
      <c r="F135" s="160"/>
      <c r="G135" s="33"/>
      <c r="J135" s="33"/>
      <c r="N135" s="33"/>
      <c r="R135" s="33"/>
      <c r="U135" s="33"/>
      <c r="V135" s="33"/>
      <c r="W135" s="33"/>
      <c r="X135" s="33"/>
      <c r="Y135" s="33"/>
      <c r="Z135" s="33"/>
      <c r="AA135" s="33"/>
    </row>
    <row r="136">
      <c r="A136" s="7" t="s">
        <v>29</v>
      </c>
      <c r="B136" s="26">
        <v>135.0</v>
      </c>
      <c r="C136" s="83" t="s">
        <v>3805</v>
      </c>
      <c r="D136" s="161"/>
      <c r="E136" s="159" t="str">
        <f>IFERROR(__xludf.DUMMYFUNCTION("""COMPUTED_VALUE"""),"Школа 2117")</f>
        <v>Школа 2117</v>
      </c>
      <c r="F136" s="160"/>
      <c r="G136" s="33"/>
      <c r="J136" s="33"/>
      <c r="N136" s="33"/>
      <c r="R136" s="33"/>
      <c r="U136" s="33"/>
      <c r="V136" s="33"/>
      <c r="W136" s="33"/>
      <c r="X136" s="33"/>
      <c r="Y136" s="33"/>
      <c r="Z136" s="33"/>
      <c r="AA136" s="33"/>
    </row>
    <row r="137">
      <c r="A137" s="7" t="s">
        <v>29</v>
      </c>
      <c r="B137" s="26">
        <v>136.0</v>
      </c>
      <c r="C137" s="83" t="s">
        <v>3426</v>
      </c>
      <c r="D137" s="161"/>
      <c r="E137" s="159" t="str">
        <f>IFERROR(__xludf.DUMMYFUNCTION("""COMPUTED_VALUE"""),"Школа 2120")</f>
        <v>Школа 2120</v>
      </c>
      <c r="F137" s="160"/>
      <c r="G137" s="33"/>
      <c r="J137" s="33"/>
      <c r="N137" s="33"/>
      <c r="R137" s="33"/>
      <c r="U137" s="33"/>
      <c r="V137" s="33"/>
      <c r="W137" s="33"/>
      <c r="X137" s="33"/>
      <c r="Y137" s="33"/>
      <c r="Z137" s="33"/>
      <c r="AA137" s="33"/>
    </row>
    <row r="138">
      <c r="A138" s="7" t="s">
        <v>29</v>
      </c>
      <c r="B138" s="26">
        <v>137.0</v>
      </c>
      <c r="C138" s="83" t="s">
        <v>3733</v>
      </c>
      <c r="D138" s="161"/>
      <c r="E138" s="159" t="str">
        <f>IFERROR(__xludf.DUMMYFUNCTION("""COMPUTED_VALUE"""),"Школа 2121")</f>
        <v>Школа 2121</v>
      </c>
      <c r="F138" s="160"/>
      <c r="G138" s="33"/>
      <c r="J138" s="33"/>
      <c r="N138" s="33"/>
      <c r="R138" s="33"/>
      <c r="U138" s="33"/>
      <c r="V138" s="33"/>
      <c r="W138" s="33"/>
      <c r="X138" s="33"/>
      <c r="Y138" s="33"/>
      <c r="Z138" s="33"/>
      <c r="AA138" s="33"/>
    </row>
    <row r="139">
      <c r="A139" s="7" t="s">
        <v>29</v>
      </c>
      <c r="B139" s="26">
        <v>138.0</v>
      </c>
      <c r="C139" s="83" t="s">
        <v>3453</v>
      </c>
      <c r="D139" s="161"/>
      <c r="E139" s="159" t="str">
        <f>IFERROR(__xludf.DUMMYFUNCTION("""COMPUTED_VALUE"""),"Школа 2127")</f>
        <v>Школа 2127</v>
      </c>
      <c r="F139" s="160"/>
      <c r="G139" s="33"/>
      <c r="J139" s="33"/>
      <c r="N139" s="33"/>
      <c r="R139" s="33"/>
      <c r="U139" s="33"/>
      <c r="V139" s="33"/>
      <c r="W139" s="33"/>
      <c r="X139" s="33"/>
      <c r="Y139" s="33"/>
      <c r="Z139" s="33"/>
      <c r="AA139" s="33"/>
    </row>
    <row r="140">
      <c r="A140" s="7" t="s">
        <v>29</v>
      </c>
      <c r="B140" s="26">
        <v>139.0</v>
      </c>
      <c r="C140" s="83" t="s">
        <v>3667</v>
      </c>
      <c r="D140" s="161"/>
      <c r="E140" s="159" t="str">
        <f>IFERROR(__xludf.DUMMYFUNCTION("""COMPUTED_VALUE"""),"Курчатовская школа")</f>
        <v>Курчатовская школа</v>
      </c>
      <c r="F140" s="160"/>
      <c r="G140" s="33"/>
      <c r="J140" s="33"/>
      <c r="N140" s="33"/>
      <c r="R140" s="33"/>
      <c r="U140" s="33"/>
      <c r="V140" s="33"/>
      <c r="W140" s="33"/>
      <c r="X140" s="33"/>
      <c r="Y140" s="33"/>
      <c r="Z140" s="33"/>
      <c r="AA140" s="33"/>
    </row>
    <row r="141">
      <c r="A141" s="7" t="s">
        <v>29</v>
      </c>
      <c r="B141" s="26">
        <v>140.0</v>
      </c>
      <c r="C141" s="83" t="s">
        <v>3576</v>
      </c>
      <c r="D141" s="161"/>
      <c r="E141" s="159" t="str">
        <f>IFERROR(__xludf.DUMMYFUNCTION("""COMPUTED_VALUE"""),"Школа Свиблово")</f>
        <v>Школа Свиблово</v>
      </c>
      <c r="F141" s="160"/>
      <c r="G141" s="33"/>
      <c r="J141" s="33"/>
      <c r="N141" s="33"/>
      <c r="R141" s="33"/>
      <c r="U141" s="33"/>
      <c r="V141" s="33"/>
      <c r="W141" s="33"/>
      <c r="X141" s="33"/>
      <c r="Y141" s="33"/>
      <c r="Z141" s="33"/>
      <c r="AA141" s="33"/>
    </row>
    <row r="142">
      <c r="A142" s="7" t="s">
        <v>29</v>
      </c>
      <c r="B142" s="26">
        <v>141.0</v>
      </c>
      <c r="C142" s="83" t="s">
        <v>3668</v>
      </c>
      <c r="D142" s="161"/>
      <c r="E142" s="159" t="str">
        <f>IFERROR(__xludf.DUMMYFUNCTION("""COMPUTED_VALUE"""),"Школа в Некрасовке")</f>
        <v>Школа в Некрасовке</v>
      </c>
      <c r="F142" s="160"/>
      <c r="G142" s="33"/>
      <c r="J142" s="33"/>
      <c r="N142" s="33"/>
      <c r="R142" s="33"/>
      <c r="U142" s="33"/>
      <c r="V142" s="33"/>
      <c r="W142" s="33"/>
      <c r="X142" s="33"/>
      <c r="Y142" s="33"/>
      <c r="Z142" s="33"/>
      <c r="AA142" s="33"/>
    </row>
    <row r="143">
      <c r="A143" s="7" t="s">
        <v>29</v>
      </c>
      <c r="B143" s="26">
        <v>142.0</v>
      </c>
      <c r="C143" s="83" t="s">
        <v>3734</v>
      </c>
      <c r="D143" s="161"/>
      <c r="E143" s="159" t="str">
        <f>IFERROR(__xludf.DUMMYFUNCTION("""COMPUTED_VALUE"""),"Школа Глория")</f>
        <v>Школа Глория</v>
      </c>
      <c r="F143" s="160"/>
      <c r="G143" s="33"/>
      <c r="J143" s="33"/>
      <c r="N143" s="33"/>
      <c r="R143" s="33"/>
      <c r="U143" s="33"/>
      <c r="V143" s="33"/>
      <c r="W143" s="33"/>
      <c r="X143" s="33"/>
      <c r="Y143" s="33"/>
      <c r="Z143" s="33"/>
      <c r="AA143" s="33"/>
    </row>
    <row r="144">
      <c r="A144" s="7" t="s">
        <v>29</v>
      </c>
      <c r="B144" s="26">
        <v>143.0</v>
      </c>
      <c r="C144" s="83" t="s">
        <v>3578</v>
      </c>
      <c r="D144" s="161"/>
      <c r="E144" s="159" t="str">
        <f>IFERROR(__xludf.DUMMYFUNCTION("""COMPUTED_VALUE"""),"Школа им. Артема Боровика")</f>
        <v>Школа им. Артема Боровика</v>
      </c>
      <c r="F144" s="160"/>
      <c r="G144" s="33"/>
      <c r="J144" s="33"/>
      <c r="N144" s="33"/>
      <c r="R144" s="33"/>
      <c r="U144" s="33"/>
      <c r="V144" s="33"/>
      <c r="W144" s="33"/>
      <c r="X144" s="33"/>
      <c r="Y144" s="33"/>
      <c r="Z144" s="33"/>
      <c r="AA144" s="33"/>
    </row>
    <row r="145">
      <c r="A145" s="7" t="s">
        <v>29</v>
      </c>
      <c r="B145" s="26">
        <v>144.0</v>
      </c>
      <c r="C145" s="83" t="s">
        <v>3367</v>
      </c>
      <c r="D145" s="161"/>
      <c r="E145" s="159" t="str">
        <f>IFERROR(__xludf.DUMMYFUNCTION("""COMPUTED_VALUE"""),"Школа им. В. В. Маяковского")</f>
        <v>Школа им. В. В. Маяковского</v>
      </c>
      <c r="F145" s="160"/>
      <c r="G145" s="33"/>
      <c r="H145" s="33"/>
      <c r="I145" s="33"/>
      <c r="J145" s="33"/>
      <c r="N145" s="33"/>
      <c r="R145" s="33"/>
      <c r="U145" s="33"/>
      <c r="V145" s="33"/>
      <c r="W145" s="33"/>
      <c r="X145" s="33"/>
      <c r="Y145" s="33"/>
      <c r="Z145" s="33"/>
      <c r="AA145" s="33"/>
    </row>
    <row r="146">
      <c r="A146" s="7" t="s">
        <v>29</v>
      </c>
      <c r="B146" s="26">
        <v>145.0</v>
      </c>
      <c r="C146" s="83" t="s">
        <v>3672</v>
      </c>
      <c r="D146" s="161"/>
      <c r="E146" s="159" t="str">
        <f>IFERROR(__xludf.DUMMYFUNCTION("""COMPUTED_VALUE"""),"Школа Марьина Роща им. В. Ф. Орлова")</f>
        <v>Школа Марьина Роща им. В. Ф. Орлова</v>
      </c>
      <c r="F146" s="160"/>
      <c r="G146" s="33"/>
      <c r="H146" s="33"/>
      <c r="I146" s="33"/>
      <c r="J146" s="33"/>
      <c r="N146" s="33"/>
      <c r="R146" s="33"/>
      <c r="U146" s="33"/>
      <c r="V146" s="33"/>
      <c r="W146" s="33"/>
      <c r="X146" s="33"/>
      <c r="Y146" s="33"/>
      <c r="Z146" s="33"/>
      <c r="AA146" s="33"/>
    </row>
    <row r="147">
      <c r="A147" s="7" t="s">
        <v>29</v>
      </c>
      <c r="B147" s="26">
        <v>146.0</v>
      </c>
      <c r="C147" s="83" t="s">
        <v>3735</v>
      </c>
      <c r="D147" s="161"/>
      <c r="E147" s="159" t="str">
        <f>IFERROR(__xludf.DUMMYFUNCTION("""COMPUTED_VALUE"""),"Школа на проспекте Вернадского")</f>
        <v>Школа на проспекте Вернадского</v>
      </c>
      <c r="F147" s="160"/>
      <c r="G147" s="33"/>
      <c r="H147" s="33"/>
      <c r="I147" s="33"/>
      <c r="J147" s="33"/>
      <c r="N147" s="33"/>
      <c r="R147" s="33"/>
      <c r="U147" s="33"/>
      <c r="V147" s="33"/>
      <c r="W147" s="33"/>
      <c r="X147" s="33"/>
      <c r="Y147" s="33"/>
      <c r="Z147" s="33"/>
      <c r="AA147" s="33"/>
    </row>
    <row r="148">
      <c r="A148" s="7" t="s">
        <v>29</v>
      </c>
      <c r="B148" s="26">
        <v>147.0</v>
      </c>
      <c r="C148" s="83" t="s">
        <v>3736</v>
      </c>
      <c r="D148" s="161"/>
      <c r="E148" s="159" t="str">
        <f>IFERROR(__xludf.DUMMYFUNCTION("""COMPUTED_VALUE"""),"профессиональное образовательное Первый Московский Образовательный Комплекс")</f>
        <v>профессиональное образовательное Первый Московский Образовательный Комплекс</v>
      </c>
      <c r="F148" s="160"/>
      <c r="G148" s="33"/>
      <c r="H148" s="33"/>
      <c r="I148" s="33"/>
      <c r="J148" s="33"/>
      <c r="N148" s="33"/>
      <c r="R148" s="33"/>
      <c r="U148" s="33"/>
      <c r="V148" s="33"/>
      <c r="W148" s="33"/>
      <c r="X148" s="33"/>
      <c r="Y148" s="33"/>
      <c r="Z148" s="33"/>
      <c r="AA148" s="33"/>
    </row>
    <row r="149">
      <c r="A149" s="163" t="s">
        <v>30</v>
      </c>
      <c r="B149" s="26">
        <v>1.0</v>
      </c>
      <c r="C149" s="83" t="s">
        <v>3459</v>
      </c>
      <c r="D149" s="33"/>
      <c r="E149" s="33" t="str">
        <f>IFERROR(__xludf.DUMMYFUNCTION("""COMPUTED_VALUE"""),"Школа 138")</f>
        <v>Школа 138</v>
      </c>
      <c r="F149" s="33"/>
      <c r="G149" s="33"/>
      <c r="H149" s="33"/>
      <c r="I149" s="33"/>
      <c r="J149" s="33"/>
      <c r="N149" s="33"/>
      <c r="R149" s="33"/>
      <c r="U149" s="33"/>
      <c r="V149" s="33"/>
      <c r="W149" s="33"/>
      <c r="X149" s="33"/>
      <c r="Y149" s="33"/>
      <c r="Z149" s="33"/>
      <c r="AA149" s="33"/>
    </row>
    <row r="150">
      <c r="A150" s="163" t="s">
        <v>30</v>
      </c>
      <c r="B150" s="26">
        <v>2.0</v>
      </c>
      <c r="C150" s="83" t="s">
        <v>3371</v>
      </c>
      <c r="D150" s="33"/>
      <c r="E150" s="33" t="str">
        <f>IFERROR(__xludf.DUMMYFUNCTION("""COMPUTED_VALUE"""),"Школа 185")</f>
        <v>Школа 185</v>
      </c>
      <c r="F150" s="33"/>
      <c r="G150" s="33"/>
      <c r="H150" s="33"/>
      <c r="I150" s="33"/>
      <c r="J150" s="33"/>
      <c r="N150" s="33"/>
      <c r="R150" s="33"/>
      <c r="U150" s="33"/>
      <c r="V150" s="33"/>
      <c r="W150" s="33"/>
      <c r="X150" s="33"/>
      <c r="Y150" s="33"/>
      <c r="Z150" s="33"/>
      <c r="AA150" s="33"/>
    </row>
    <row r="151">
      <c r="A151" s="163" t="s">
        <v>30</v>
      </c>
      <c r="B151" s="26">
        <v>3.0</v>
      </c>
      <c r="C151" s="83" t="s">
        <v>3617</v>
      </c>
      <c r="D151" s="33"/>
      <c r="E151" s="33" t="str">
        <f>IFERROR(__xludf.DUMMYFUNCTION("""COMPUTED_VALUE"""),"Школа 192")</f>
        <v>Школа 192</v>
      </c>
      <c r="F151" s="33"/>
      <c r="G151" s="33"/>
      <c r="H151" s="33"/>
      <c r="I151" s="33"/>
      <c r="J151" s="33"/>
      <c r="N151" s="33"/>
      <c r="R151" s="33"/>
      <c r="U151" s="33"/>
      <c r="V151" s="33"/>
      <c r="W151" s="33"/>
      <c r="X151" s="33"/>
      <c r="Y151" s="33"/>
      <c r="Z151" s="33"/>
      <c r="AA151" s="33"/>
    </row>
    <row r="152">
      <c r="A152" s="163" t="s">
        <v>30</v>
      </c>
      <c r="B152" s="26">
        <v>4.0</v>
      </c>
      <c r="C152" s="83" t="s">
        <v>3798</v>
      </c>
      <c r="D152" s="33"/>
      <c r="E152" s="33" t="str">
        <f>IFERROR(__xludf.DUMMYFUNCTION("""COMPUTED_VALUE"""),"Школа 201")</f>
        <v>Школа 201</v>
      </c>
      <c r="F152" s="33"/>
      <c r="G152" s="33"/>
      <c r="H152" s="33"/>
      <c r="I152" s="33"/>
      <c r="J152" s="33"/>
      <c r="N152" s="33"/>
      <c r="R152" s="33"/>
      <c r="U152" s="33"/>
      <c r="V152" s="33"/>
      <c r="W152" s="33"/>
      <c r="X152" s="33"/>
      <c r="Y152" s="33"/>
      <c r="Z152" s="33"/>
      <c r="AA152" s="33"/>
    </row>
    <row r="153">
      <c r="A153" s="163" t="s">
        <v>30</v>
      </c>
      <c r="B153" s="26">
        <v>5.0</v>
      </c>
      <c r="C153" s="83" t="s">
        <v>3677</v>
      </c>
      <c r="D153" s="33"/>
      <c r="E153" s="33" t="str">
        <f>IFERROR(__xludf.DUMMYFUNCTION("""COMPUTED_VALUE"""),"Школа 354")</f>
        <v>Школа 354</v>
      </c>
      <c r="F153" s="33"/>
      <c r="G153" s="33"/>
      <c r="H153" s="33"/>
      <c r="I153" s="33"/>
      <c r="J153" s="33"/>
      <c r="N153" s="33"/>
      <c r="R153" s="33"/>
      <c r="U153" s="33"/>
      <c r="V153" s="33"/>
      <c r="W153" s="33"/>
      <c r="X153" s="33"/>
      <c r="Y153" s="33"/>
      <c r="Z153" s="33"/>
      <c r="AA153" s="33"/>
    </row>
    <row r="154">
      <c r="A154" s="163" t="s">
        <v>30</v>
      </c>
      <c r="B154" s="26">
        <v>6.0</v>
      </c>
      <c r="C154" s="83" t="s">
        <v>3619</v>
      </c>
      <c r="D154" s="33"/>
      <c r="E154" s="33" t="str">
        <f>IFERROR(__xludf.DUMMYFUNCTION("""COMPUTED_VALUE"""),"Школа 444")</f>
        <v>Школа 444</v>
      </c>
      <c r="F154" s="33"/>
      <c r="G154" s="33"/>
      <c r="H154" s="33"/>
      <c r="I154" s="33"/>
      <c r="J154" s="33"/>
      <c r="N154" s="33"/>
      <c r="R154" s="33"/>
      <c r="U154" s="33"/>
      <c r="V154" s="33"/>
      <c r="W154" s="33"/>
      <c r="X154" s="33"/>
      <c r="Y154" s="33"/>
      <c r="Z154" s="33"/>
      <c r="AA154" s="33"/>
    </row>
    <row r="155">
      <c r="A155" s="163" t="s">
        <v>30</v>
      </c>
      <c r="B155" s="26">
        <v>7.0</v>
      </c>
      <c r="C155" s="83" t="s">
        <v>3343</v>
      </c>
      <c r="D155" s="33"/>
      <c r="E155" s="33" t="str">
        <f>IFERROR(__xludf.DUMMYFUNCTION("""COMPUTED_VALUE"""),"Школа 544")</f>
        <v>Школа 544</v>
      </c>
      <c r="F155" s="33"/>
      <c r="G155" s="33"/>
      <c r="H155" s="33"/>
      <c r="I155" s="33"/>
      <c r="J155" s="33"/>
      <c r="N155" s="33"/>
      <c r="R155" s="33"/>
      <c r="U155" s="33"/>
      <c r="V155" s="33"/>
      <c r="W155" s="33"/>
      <c r="X155" s="33"/>
      <c r="Y155" s="33"/>
      <c r="Z155" s="33"/>
      <c r="AA155" s="33"/>
    </row>
    <row r="156">
      <c r="A156" s="163" t="s">
        <v>30</v>
      </c>
      <c r="B156" s="26">
        <v>8.0</v>
      </c>
      <c r="C156" s="83" t="s">
        <v>3620</v>
      </c>
      <c r="D156" s="33"/>
      <c r="E156" s="33" t="str">
        <f>IFERROR(__xludf.DUMMYFUNCTION("""COMPUTED_VALUE"""),"Школа 548")</f>
        <v>Школа 548</v>
      </c>
      <c r="F156" s="33"/>
      <c r="G156" s="33"/>
      <c r="H156" s="33"/>
      <c r="I156" s="33"/>
      <c r="J156" s="33"/>
      <c r="N156" s="33"/>
      <c r="R156" s="33"/>
      <c r="U156" s="33"/>
      <c r="V156" s="33"/>
      <c r="W156" s="33"/>
      <c r="X156" s="33"/>
      <c r="Y156" s="33"/>
      <c r="Z156" s="33"/>
      <c r="AA156" s="33"/>
    </row>
    <row r="157">
      <c r="A157" s="163" t="s">
        <v>30</v>
      </c>
      <c r="B157" s="26">
        <v>9.0</v>
      </c>
      <c r="C157" s="83" t="s">
        <v>3679</v>
      </c>
      <c r="D157" s="33"/>
      <c r="E157" s="33" t="str">
        <f>IFERROR(__xludf.DUMMYFUNCTION("""COMPUTED_VALUE"""),"Школа 618")</f>
        <v>Школа 618</v>
      </c>
      <c r="F157" s="33"/>
      <c r="G157" s="33"/>
      <c r="H157" s="33"/>
      <c r="I157" s="33"/>
      <c r="J157" s="33"/>
      <c r="N157" s="33"/>
      <c r="R157" s="33"/>
      <c r="U157" s="33"/>
      <c r="V157" s="33"/>
      <c r="W157" s="33"/>
      <c r="X157" s="33"/>
      <c r="Y157" s="33"/>
      <c r="Z157" s="33"/>
      <c r="AA157" s="33"/>
    </row>
    <row r="158">
      <c r="A158" s="163" t="s">
        <v>30</v>
      </c>
      <c r="B158" s="26">
        <v>10.0</v>
      </c>
      <c r="C158" s="83" t="s">
        <v>3535</v>
      </c>
      <c r="D158" s="33"/>
      <c r="E158" s="33" t="str">
        <f>IFERROR(__xludf.DUMMYFUNCTION("""COMPUTED_VALUE"""),"Школа 641")</f>
        <v>Школа 641</v>
      </c>
      <c r="F158" s="33"/>
      <c r="G158" s="33"/>
      <c r="H158" s="33"/>
      <c r="I158" s="33"/>
      <c r="J158" s="33"/>
      <c r="N158" s="33"/>
      <c r="R158" s="33"/>
      <c r="U158" s="33"/>
      <c r="V158" s="33"/>
      <c r="W158" s="33"/>
      <c r="X158" s="33"/>
      <c r="Y158" s="33"/>
      <c r="Z158" s="33"/>
      <c r="AA158" s="33"/>
    </row>
    <row r="159">
      <c r="A159" s="163" t="s">
        <v>30</v>
      </c>
      <c r="B159" s="26">
        <v>11.0</v>
      </c>
      <c r="C159" s="83" t="s">
        <v>3681</v>
      </c>
      <c r="D159" s="33"/>
      <c r="E159" s="33" t="str">
        <f>IFERROR(__xludf.DUMMYFUNCTION("""COMPUTED_VALUE"""),"Школа 667")</f>
        <v>Школа 667</v>
      </c>
      <c r="F159" s="33"/>
      <c r="G159" s="33"/>
      <c r="H159" s="33"/>
      <c r="I159" s="33"/>
      <c r="J159" s="33"/>
      <c r="N159" s="33"/>
      <c r="R159" s="33"/>
      <c r="U159" s="33"/>
      <c r="V159" s="33"/>
      <c r="W159" s="33"/>
      <c r="X159" s="33"/>
      <c r="Y159" s="33"/>
      <c r="Z159" s="33"/>
      <c r="AA159" s="33"/>
    </row>
    <row r="160">
      <c r="A160" s="163" t="s">
        <v>30</v>
      </c>
      <c r="B160" s="26">
        <v>12.0</v>
      </c>
      <c r="C160" s="83" t="s">
        <v>3500</v>
      </c>
      <c r="D160" s="33"/>
      <c r="E160" s="33" t="str">
        <f>IFERROR(__xludf.DUMMYFUNCTION("""COMPUTED_VALUE"""),"Школа 827")</f>
        <v>Школа 827</v>
      </c>
      <c r="F160" s="33"/>
      <c r="G160" s="33"/>
      <c r="H160" s="33"/>
      <c r="I160" s="33"/>
      <c r="J160" s="33"/>
      <c r="N160" s="33"/>
      <c r="R160" s="33"/>
      <c r="U160" s="33"/>
      <c r="V160" s="33"/>
      <c r="W160" s="33"/>
      <c r="X160" s="33"/>
      <c r="Y160" s="33"/>
      <c r="Z160" s="33"/>
      <c r="AA160" s="33"/>
    </row>
    <row r="161">
      <c r="A161" s="163" t="s">
        <v>30</v>
      </c>
      <c r="B161" s="26">
        <v>13.0</v>
      </c>
      <c r="C161" s="83" t="s">
        <v>3438</v>
      </c>
      <c r="D161" s="33"/>
      <c r="E161" s="33" t="str">
        <f>IFERROR(__xludf.DUMMYFUNCTION("""COMPUTED_VALUE"""),"Школа 956")</f>
        <v>Школа 956</v>
      </c>
      <c r="F161" s="33"/>
      <c r="G161" s="33"/>
      <c r="H161" s="33"/>
      <c r="I161" s="33"/>
      <c r="J161" s="33"/>
      <c r="N161" s="33"/>
      <c r="R161" s="33"/>
      <c r="U161" s="33"/>
      <c r="V161" s="33"/>
      <c r="W161" s="33"/>
      <c r="X161" s="33"/>
      <c r="Y161" s="33"/>
      <c r="Z161" s="33"/>
      <c r="AA161" s="33"/>
    </row>
    <row r="162">
      <c r="A162" s="163" t="s">
        <v>30</v>
      </c>
      <c r="B162" s="26">
        <v>14.0</v>
      </c>
      <c r="C162" s="83" t="s">
        <v>3502</v>
      </c>
      <c r="D162" s="33"/>
      <c r="E162" s="33" t="str">
        <f>IFERROR(__xludf.DUMMYFUNCTION("""COMPUTED_VALUE"""),"Школа 962")</f>
        <v>Школа 962</v>
      </c>
      <c r="F162" s="33"/>
      <c r="G162" s="33"/>
      <c r="H162" s="33"/>
      <c r="I162" s="33"/>
      <c r="J162" s="33"/>
      <c r="N162" s="33"/>
      <c r="R162" s="33"/>
      <c r="U162" s="33"/>
      <c r="V162" s="33"/>
      <c r="W162" s="33"/>
      <c r="X162" s="33"/>
      <c r="Y162" s="33"/>
      <c r="Z162" s="33"/>
      <c r="AA162" s="33"/>
    </row>
    <row r="163">
      <c r="A163" s="163" t="s">
        <v>30</v>
      </c>
      <c r="B163" s="26">
        <v>15.0</v>
      </c>
      <c r="C163" s="83" t="s">
        <v>3622</v>
      </c>
      <c r="D163" s="33"/>
      <c r="E163" s="33" t="str">
        <f>IFERROR(__xludf.DUMMYFUNCTION("""COMPUTED_VALUE"""),"Школа 1002")</f>
        <v>Школа 1002</v>
      </c>
      <c r="F163" s="33"/>
      <c r="G163" s="33"/>
      <c r="H163" s="33"/>
      <c r="I163" s="33"/>
      <c r="J163" s="33"/>
      <c r="N163" s="33"/>
      <c r="R163" s="33"/>
      <c r="U163" s="33"/>
      <c r="V163" s="33"/>
      <c r="W163" s="33"/>
      <c r="X163" s="33"/>
      <c r="Y163" s="33"/>
      <c r="Z163" s="33"/>
      <c r="AA163" s="33"/>
    </row>
    <row r="164">
      <c r="A164" s="163" t="s">
        <v>30</v>
      </c>
      <c r="B164" s="26">
        <v>16.0</v>
      </c>
      <c r="C164" s="83" t="s">
        <v>3321</v>
      </c>
      <c r="D164" s="33"/>
      <c r="E164" s="33" t="str">
        <f>IFERROR(__xludf.DUMMYFUNCTION("""COMPUTED_VALUE"""),"Школа 1034")</f>
        <v>Школа 1034</v>
      </c>
      <c r="F164" s="33"/>
      <c r="G164" s="33"/>
      <c r="H164" s="33"/>
      <c r="I164" s="33"/>
      <c r="J164" s="33"/>
      <c r="N164" s="33"/>
      <c r="R164" s="33"/>
      <c r="U164" s="33"/>
      <c r="V164" s="33"/>
      <c r="W164" s="33"/>
      <c r="X164" s="33"/>
      <c r="Y164" s="33"/>
      <c r="Z164" s="33"/>
      <c r="AA164" s="33"/>
    </row>
    <row r="165">
      <c r="A165" s="163" t="s">
        <v>30</v>
      </c>
      <c r="B165" s="26">
        <v>17.0</v>
      </c>
      <c r="C165" s="83" t="s">
        <v>3623</v>
      </c>
      <c r="D165" s="33"/>
      <c r="E165" s="33" t="str">
        <f>IFERROR(__xludf.DUMMYFUNCTION("""COMPUTED_VALUE"""),"Школа 1158")</f>
        <v>Школа 1158</v>
      </c>
      <c r="F165" s="33"/>
      <c r="G165" s="33"/>
      <c r="H165" s="33"/>
      <c r="I165" s="33"/>
      <c r="J165" s="33"/>
      <c r="N165" s="33"/>
      <c r="R165" s="33"/>
      <c r="U165" s="33"/>
      <c r="V165" s="33"/>
      <c r="W165" s="33"/>
      <c r="X165" s="33"/>
      <c r="Y165" s="33"/>
      <c r="Z165" s="33"/>
      <c r="AA165" s="33"/>
    </row>
    <row r="166">
      <c r="A166" s="163" t="s">
        <v>30</v>
      </c>
      <c r="B166" s="26">
        <v>18.0</v>
      </c>
      <c r="C166" s="83" t="s">
        <v>3624</v>
      </c>
      <c r="D166" s="33"/>
      <c r="E166" s="33" t="str">
        <f>IFERROR(__xludf.DUMMYFUNCTION("""COMPUTED_VALUE"""),"Школа 1194")</f>
        <v>Школа 1194</v>
      </c>
      <c r="F166" s="33"/>
      <c r="G166" s="33"/>
      <c r="H166" s="33"/>
      <c r="I166" s="33"/>
      <c r="J166" s="33"/>
      <c r="N166" s="33"/>
      <c r="R166" s="33"/>
      <c r="U166" s="33"/>
      <c r="V166" s="33"/>
      <c r="W166" s="33"/>
      <c r="X166" s="33"/>
      <c r="Y166" s="33"/>
      <c r="Z166" s="33"/>
      <c r="AA166" s="33"/>
    </row>
    <row r="167">
      <c r="A167" s="163" t="s">
        <v>30</v>
      </c>
      <c r="B167" s="26">
        <v>19.0</v>
      </c>
      <c r="C167" s="83" t="s">
        <v>3345</v>
      </c>
      <c r="D167" s="33"/>
      <c r="E167" s="33" t="str">
        <f>IFERROR(__xludf.DUMMYFUNCTION("""COMPUTED_VALUE"""),"Школа 1195")</f>
        <v>Школа 1195</v>
      </c>
      <c r="F167" s="33"/>
      <c r="G167" s="33"/>
      <c r="H167" s="33"/>
      <c r="I167" s="33"/>
      <c r="J167" s="33"/>
      <c r="N167" s="33"/>
      <c r="R167" s="33"/>
      <c r="U167" s="33"/>
      <c r="V167" s="33"/>
      <c r="W167" s="33"/>
      <c r="X167" s="33"/>
      <c r="Y167" s="33"/>
      <c r="Z167" s="33"/>
      <c r="AA167" s="33"/>
    </row>
    <row r="168">
      <c r="A168" s="163" t="s">
        <v>30</v>
      </c>
      <c r="B168" s="26">
        <v>20.0</v>
      </c>
      <c r="C168" s="83" t="s">
        <v>3386</v>
      </c>
      <c r="D168" s="33"/>
      <c r="E168" s="33" t="str">
        <f>IFERROR(__xludf.DUMMYFUNCTION("""COMPUTED_VALUE"""),"Школа 1231")</f>
        <v>Школа 1231</v>
      </c>
      <c r="F168" s="33"/>
      <c r="G168" s="33"/>
      <c r="H168" s="33"/>
      <c r="I168" s="33"/>
      <c r="J168" s="33"/>
      <c r="N168" s="33"/>
      <c r="R168" s="33"/>
      <c r="U168" s="33"/>
      <c r="V168" s="33"/>
      <c r="W168" s="33"/>
      <c r="X168" s="33"/>
      <c r="Y168" s="33"/>
      <c r="Z168" s="33"/>
      <c r="AA168" s="33"/>
    </row>
    <row r="169">
      <c r="A169" s="163" t="s">
        <v>30</v>
      </c>
      <c r="B169" s="26">
        <v>21.0</v>
      </c>
      <c r="C169" s="83" t="s">
        <v>3625</v>
      </c>
      <c r="D169" s="33"/>
      <c r="E169" s="33" t="str">
        <f>IFERROR(__xludf.DUMMYFUNCTION("""COMPUTED_VALUE"""),"Школа 1253")</f>
        <v>Школа 1253</v>
      </c>
      <c r="F169" s="33"/>
      <c r="G169" s="33"/>
      <c r="H169" s="33"/>
      <c r="I169" s="33"/>
      <c r="J169" s="33"/>
      <c r="N169" s="33"/>
      <c r="R169" s="33"/>
      <c r="U169" s="33"/>
      <c r="V169" s="33"/>
      <c r="W169" s="33"/>
      <c r="X169" s="33"/>
      <c r="Y169" s="33"/>
      <c r="Z169" s="33"/>
      <c r="AA169" s="33"/>
    </row>
    <row r="170">
      <c r="A170" s="163" t="s">
        <v>30</v>
      </c>
      <c r="B170" s="26">
        <v>22.0</v>
      </c>
      <c r="C170" s="83" t="s">
        <v>3471</v>
      </c>
      <c r="D170" s="33"/>
      <c r="E170" s="33" t="str">
        <f>IFERROR(__xludf.DUMMYFUNCTION("""COMPUTED_VALUE"""),"Школа 1259")</f>
        <v>Школа 1259</v>
      </c>
      <c r="F170" s="33"/>
      <c r="G170" s="33"/>
      <c r="H170" s="33"/>
      <c r="I170" s="33"/>
      <c r="J170" s="33"/>
      <c r="N170" s="33"/>
      <c r="R170" s="33"/>
      <c r="U170" s="33"/>
      <c r="V170" s="33"/>
      <c r="W170" s="33"/>
      <c r="X170" s="33"/>
      <c r="Y170" s="33"/>
      <c r="Z170" s="33"/>
      <c r="AA170" s="33"/>
    </row>
    <row r="171">
      <c r="A171" s="163" t="s">
        <v>30</v>
      </c>
      <c r="B171" s="26">
        <v>23.0</v>
      </c>
      <c r="C171" s="83" t="s">
        <v>3392</v>
      </c>
      <c r="D171" s="33"/>
      <c r="E171" s="33" t="str">
        <f>IFERROR(__xludf.DUMMYFUNCTION("""COMPUTED_VALUE"""),"Школа 1288")</f>
        <v>Школа 1288</v>
      </c>
      <c r="F171" s="33"/>
      <c r="G171" s="33"/>
      <c r="H171" s="33"/>
      <c r="I171" s="33"/>
      <c r="J171" s="33"/>
      <c r="N171" s="33"/>
      <c r="R171" s="33"/>
      <c r="U171" s="33"/>
      <c r="V171" s="33"/>
      <c r="W171" s="33"/>
      <c r="X171" s="33"/>
      <c r="Y171" s="33"/>
      <c r="Z171" s="33"/>
      <c r="AA171" s="33"/>
    </row>
    <row r="172">
      <c r="A172" s="163" t="s">
        <v>30</v>
      </c>
      <c r="B172" s="26">
        <v>24.0</v>
      </c>
      <c r="C172" s="83" t="s">
        <v>3394</v>
      </c>
      <c r="D172" s="33"/>
      <c r="E172" s="33" t="str">
        <f>IFERROR(__xludf.DUMMYFUNCTION("""COMPUTED_VALUE"""),"Школа 1298")</f>
        <v>Школа 1298</v>
      </c>
      <c r="F172" s="33"/>
      <c r="G172" s="33"/>
      <c r="H172" s="33"/>
      <c r="I172" s="33"/>
      <c r="J172" s="33"/>
      <c r="N172" s="33"/>
      <c r="R172" s="33"/>
      <c r="U172" s="33"/>
      <c r="V172" s="33"/>
      <c r="W172" s="33"/>
      <c r="X172" s="33"/>
      <c r="Y172" s="33"/>
      <c r="Z172" s="33"/>
      <c r="AA172" s="33"/>
    </row>
    <row r="173">
      <c r="A173" s="163" t="s">
        <v>30</v>
      </c>
      <c r="B173" s="26">
        <v>25.0</v>
      </c>
      <c r="C173" s="83" t="s">
        <v>3627</v>
      </c>
      <c r="D173" s="33"/>
      <c r="E173" s="33" t="str">
        <f>IFERROR(__xludf.DUMMYFUNCTION("""COMPUTED_VALUE"""),"Школа 1354")</f>
        <v>Школа 1354</v>
      </c>
      <c r="F173" s="33"/>
      <c r="G173" s="33"/>
      <c r="H173" s="33"/>
      <c r="I173" s="33"/>
      <c r="J173" s="33"/>
      <c r="N173" s="33"/>
      <c r="R173" s="33"/>
      <c r="U173" s="33"/>
      <c r="V173" s="33"/>
      <c r="W173" s="33"/>
      <c r="X173" s="33"/>
      <c r="Y173" s="33"/>
      <c r="Z173" s="33"/>
      <c r="AA173" s="33"/>
    </row>
    <row r="174">
      <c r="A174" s="163" t="s">
        <v>30</v>
      </c>
      <c r="B174" s="26">
        <v>26.0</v>
      </c>
      <c r="C174" s="83" t="s">
        <v>3628</v>
      </c>
      <c r="D174" s="33"/>
      <c r="E174" s="33" t="str">
        <f>IFERROR(__xludf.DUMMYFUNCTION("""COMPUTED_VALUE"""),"Школа 1363")</f>
        <v>Школа 1363</v>
      </c>
      <c r="F174" s="33"/>
      <c r="G174" s="33"/>
      <c r="H174" s="33"/>
      <c r="I174" s="33"/>
      <c r="J174" s="33"/>
      <c r="N174" s="33"/>
      <c r="R174" s="33"/>
      <c r="U174" s="33"/>
      <c r="V174" s="33"/>
      <c r="W174" s="33"/>
      <c r="X174" s="33"/>
      <c r="Y174" s="33"/>
      <c r="Z174" s="33"/>
      <c r="AA174" s="33"/>
    </row>
    <row r="175">
      <c r="A175" s="163" t="s">
        <v>30</v>
      </c>
      <c r="B175" s="26">
        <v>27.0</v>
      </c>
      <c r="C175" s="83" t="s">
        <v>3630</v>
      </c>
      <c r="D175" s="33"/>
      <c r="E175" s="33" t="str">
        <f>IFERROR(__xludf.DUMMYFUNCTION("""COMPUTED_VALUE"""),"Школа 1375")</f>
        <v>Школа 1375</v>
      </c>
      <c r="F175" s="33"/>
      <c r="G175" s="33"/>
      <c r="H175" s="33"/>
      <c r="I175" s="33"/>
      <c r="J175" s="33"/>
      <c r="N175" s="33"/>
      <c r="R175" s="33"/>
      <c r="U175" s="33"/>
      <c r="V175" s="33"/>
      <c r="W175" s="33"/>
      <c r="X175" s="33"/>
      <c r="Y175" s="33"/>
      <c r="Z175" s="33"/>
      <c r="AA175" s="33"/>
    </row>
    <row r="176">
      <c r="A176" s="163" t="s">
        <v>30</v>
      </c>
      <c r="B176" s="26">
        <v>28.0</v>
      </c>
      <c r="C176" s="83" t="s">
        <v>3631</v>
      </c>
      <c r="D176" s="33"/>
      <c r="E176" s="33" t="str">
        <f>IFERROR(__xludf.DUMMYFUNCTION("""COMPUTED_VALUE"""),"Школа 1409")</f>
        <v>Школа 1409</v>
      </c>
      <c r="F176" s="33"/>
      <c r="G176" s="33"/>
      <c r="H176" s="33"/>
      <c r="I176" s="33"/>
      <c r="J176" s="33"/>
      <c r="N176" s="33"/>
      <c r="R176" s="33"/>
      <c r="U176" s="33"/>
      <c r="V176" s="33"/>
      <c r="W176" s="33"/>
      <c r="X176" s="33"/>
      <c r="Y176" s="33"/>
      <c r="Z176" s="33"/>
      <c r="AA176" s="33"/>
    </row>
    <row r="177">
      <c r="A177" s="163" t="s">
        <v>30</v>
      </c>
      <c r="B177" s="26">
        <v>29.0</v>
      </c>
      <c r="C177" s="83" t="s">
        <v>3443</v>
      </c>
      <c r="D177" s="33"/>
      <c r="E177" s="33" t="str">
        <f>IFERROR(__xludf.DUMMYFUNCTION("""COMPUTED_VALUE"""),"Школа 1449")</f>
        <v>Школа 1449</v>
      </c>
      <c r="F177" s="33"/>
      <c r="G177" s="33"/>
      <c r="H177" s="33"/>
      <c r="I177" s="33"/>
      <c r="J177" s="33"/>
      <c r="N177" s="33"/>
      <c r="R177" s="33"/>
      <c r="U177" s="33"/>
      <c r="V177" s="33"/>
      <c r="W177" s="33"/>
      <c r="X177" s="33"/>
      <c r="Y177" s="33"/>
      <c r="Z177" s="33"/>
      <c r="AA177" s="33"/>
    </row>
    <row r="178">
      <c r="A178" s="163" t="s">
        <v>30</v>
      </c>
      <c r="B178" s="26">
        <v>30.0</v>
      </c>
      <c r="C178" s="83" t="s">
        <v>3476</v>
      </c>
      <c r="D178" s="33"/>
      <c r="E178" s="33" t="str">
        <f>IFERROR(__xludf.DUMMYFUNCTION("""COMPUTED_VALUE"""),"Школа 1454")</f>
        <v>Школа 1454</v>
      </c>
      <c r="F178" s="33"/>
      <c r="G178" s="33"/>
      <c r="H178" s="33"/>
      <c r="I178" s="33"/>
      <c r="J178" s="33"/>
      <c r="N178" s="33"/>
      <c r="R178" s="33"/>
      <c r="U178" s="33"/>
      <c r="V178" s="33"/>
      <c r="W178" s="33"/>
      <c r="X178" s="33"/>
      <c r="Y178" s="33"/>
      <c r="Z178" s="33"/>
      <c r="AA178" s="33"/>
    </row>
    <row r="179">
      <c r="A179" s="163" t="s">
        <v>30</v>
      </c>
      <c r="B179" s="26">
        <v>31.0</v>
      </c>
      <c r="C179" s="83" t="s">
        <v>3635</v>
      </c>
      <c r="D179" s="33"/>
      <c r="E179" s="33" t="str">
        <f>IFERROR(__xludf.DUMMYFUNCTION("""COMPUTED_VALUE"""),"Школа 1474")</f>
        <v>Школа 1474</v>
      </c>
      <c r="F179" s="33"/>
      <c r="G179" s="33"/>
      <c r="H179" s="33"/>
      <c r="I179" s="33"/>
      <c r="J179" s="33"/>
      <c r="N179" s="33"/>
      <c r="R179" s="33"/>
      <c r="U179" s="33"/>
      <c r="V179" s="33"/>
      <c r="W179" s="33"/>
      <c r="X179" s="33"/>
      <c r="Y179" s="33"/>
      <c r="Z179" s="33"/>
      <c r="AA179" s="33"/>
    </row>
    <row r="180">
      <c r="A180" s="163" t="s">
        <v>30</v>
      </c>
      <c r="B180" s="26">
        <v>32.0</v>
      </c>
      <c r="C180" s="83" t="s">
        <v>3636</v>
      </c>
      <c r="D180" s="33"/>
      <c r="E180" s="33" t="str">
        <f>IFERROR(__xludf.DUMMYFUNCTION("""COMPUTED_VALUE"""),"Школа 1501")</f>
        <v>Школа 1501</v>
      </c>
      <c r="F180" s="33"/>
      <c r="G180" s="33"/>
      <c r="H180" s="33"/>
      <c r="I180" s="33"/>
      <c r="J180" s="33"/>
      <c r="N180" s="33"/>
      <c r="R180" s="33"/>
      <c r="U180" s="33"/>
      <c r="V180" s="33"/>
      <c r="W180" s="33"/>
      <c r="X180" s="33"/>
      <c r="Y180" s="33"/>
      <c r="Z180" s="33"/>
      <c r="AA180" s="33"/>
    </row>
    <row r="181">
      <c r="A181" s="163" t="s">
        <v>30</v>
      </c>
      <c r="B181" s="26">
        <v>33.0</v>
      </c>
      <c r="C181" s="83" t="s">
        <v>3637</v>
      </c>
      <c r="D181" s="33"/>
      <c r="E181" s="33" t="str">
        <f>IFERROR(__xludf.DUMMYFUNCTION("""COMPUTED_VALUE"""),"Школа 1502")</f>
        <v>Школа 1502</v>
      </c>
      <c r="F181" s="33"/>
      <c r="G181" s="33"/>
      <c r="H181" s="33"/>
      <c r="I181" s="33"/>
      <c r="J181" s="33"/>
      <c r="N181" s="33"/>
      <c r="R181" s="33"/>
      <c r="U181" s="33"/>
      <c r="V181" s="33"/>
      <c r="W181" s="33"/>
      <c r="X181" s="33"/>
      <c r="Y181" s="33"/>
      <c r="Z181" s="33"/>
      <c r="AA181" s="33"/>
    </row>
    <row r="182">
      <c r="A182" s="163" t="s">
        <v>30</v>
      </c>
      <c r="B182" s="26">
        <v>34.0</v>
      </c>
      <c r="C182" s="83" t="s">
        <v>3323</v>
      </c>
      <c r="D182" s="33"/>
      <c r="E182" s="33" t="str">
        <f>IFERROR(__xludf.DUMMYFUNCTION("""COMPUTED_VALUE"""),"Школа 1505")</f>
        <v>Школа 1505</v>
      </c>
      <c r="F182" s="33"/>
      <c r="G182" s="33"/>
      <c r="H182" s="33"/>
      <c r="I182" s="33"/>
      <c r="J182" s="33"/>
      <c r="N182" s="33"/>
      <c r="R182" s="33"/>
      <c r="U182" s="33"/>
      <c r="V182" s="33"/>
      <c r="W182" s="33"/>
      <c r="X182" s="33"/>
      <c r="Y182" s="33"/>
      <c r="Z182" s="33"/>
      <c r="AA182" s="33"/>
    </row>
    <row r="183">
      <c r="A183" s="163" t="s">
        <v>30</v>
      </c>
      <c r="B183" s="26">
        <v>35.0</v>
      </c>
      <c r="C183" s="83" t="s">
        <v>3638</v>
      </c>
      <c r="D183" s="33"/>
      <c r="E183" s="33" t="str">
        <f>IFERROR(__xludf.DUMMYFUNCTION("""COMPUTED_VALUE"""),"Школа 1506")</f>
        <v>Школа 1506</v>
      </c>
      <c r="F183" s="33"/>
      <c r="G183" s="33"/>
      <c r="H183" s="33"/>
      <c r="I183" s="33"/>
      <c r="J183" s="33"/>
      <c r="N183" s="33"/>
      <c r="R183" s="33"/>
      <c r="U183" s="33"/>
      <c r="V183" s="33"/>
      <c r="W183" s="33"/>
      <c r="X183" s="33"/>
      <c r="Y183" s="33"/>
      <c r="Z183" s="33"/>
      <c r="AA183" s="33"/>
    </row>
    <row r="184">
      <c r="A184" s="163" t="s">
        <v>30</v>
      </c>
      <c r="B184" s="26">
        <v>36.0</v>
      </c>
      <c r="C184" s="83" t="s">
        <v>3701</v>
      </c>
      <c r="D184" s="33"/>
      <c r="E184" s="33" t="str">
        <f>IFERROR(__xludf.DUMMYFUNCTION("""COMPUTED_VALUE"""),"Школа 1516")</f>
        <v>Школа 1516</v>
      </c>
      <c r="F184" s="33"/>
      <c r="G184" s="33"/>
      <c r="H184" s="33"/>
      <c r="I184" s="33"/>
      <c r="J184" s="33"/>
      <c r="N184" s="33"/>
      <c r="R184" s="33"/>
      <c r="U184" s="33"/>
      <c r="V184" s="33"/>
      <c r="W184" s="33"/>
      <c r="X184" s="33"/>
      <c r="Y184" s="33"/>
      <c r="Z184" s="33"/>
      <c r="AA184" s="33"/>
    </row>
    <row r="185">
      <c r="A185" s="163" t="s">
        <v>30</v>
      </c>
      <c r="B185" s="26">
        <v>37.0</v>
      </c>
      <c r="C185" s="83" t="s">
        <v>3640</v>
      </c>
      <c r="D185" s="33"/>
      <c r="E185" s="33" t="str">
        <f>IFERROR(__xludf.DUMMYFUNCTION("""COMPUTED_VALUE"""),"Школа 1517")</f>
        <v>Школа 1517</v>
      </c>
      <c r="F185" s="33"/>
      <c r="G185" s="33"/>
      <c r="H185" s="33"/>
      <c r="I185" s="33"/>
      <c r="J185" s="33"/>
      <c r="N185" s="33"/>
      <c r="R185" s="33"/>
      <c r="U185" s="33"/>
      <c r="V185" s="33"/>
      <c r="W185" s="33"/>
      <c r="X185" s="33"/>
      <c r="Y185" s="33"/>
      <c r="Z185" s="33"/>
      <c r="AA185" s="33"/>
    </row>
    <row r="186">
      <c r="A186" s="163" t="s">
        <v>30</v>
      </c>
      <c r="B186" s="26">
        <v>38.0</v>
      </c>
      <c r="C186" s="83" t="s">
        <v>3643</v>
      </c>
      <c r="D186" s="33"/>
      <c r="E186" s="33" t="str">
        <f>IFERROR(__xludf.DUMMYFUNCTION("""COMPUTED_VALUE"""),"Школа 1534")</f>
        <v>Школа 1534</v>
      </c>
      <c r="F186" s="33"/>
      <c r="G186" s="33"/>
      <c r="H186" s="33"/>
      <c r="I186" s="33"/>
      <c r="J186" s="33"/>
      <c r="N186" s="33"/>
      <c r="R186" s="33"/>
      <c r="U186" s="33"/>
      <c r="V186" s="33"/>
      <c r="W186" s="33"/>
      <c r="X186" s="33"/>
      <c r="Y186" s="33"/>
      <c r="Z186" s="33"/>
      <c r="AA186" s="33"/>
    </row>
    <row r="187">
      <c r="A187" s="163" t="s">
        <v>30</v>
      </c>
      <c r="B187" s="26">
        <v>39.0</v>
      </c>
      <c r="C187" s="83" t="s">
        <v>3644</v>
      </c>
      <c r="D187" s="33"/>
      <c r="E187" s="33" t="str">
        <f>IFERROR(__xludf.DUMMYFUNCTION("""COMPUTED_VALUE"""),"Школа 1535")</f>
        <v>Школа 1535</v>
      </c>
      <c r="F187" s="33"/>
      <c r="G187" s="33"/>
      <c r="H187" s="33"/>
      <c r="I187" s="33"/>
      <c r="J187" s="33"/>
      <c r="N187" s="33"/>
      <c r="R187" s="33"/>
      <c r="U187" s="33"/>
      <c r="V187" s="33"/>
      <c r="W187" s="33"/>
      <c r="X187" s="33"/>
      <c r="Y187" s="33"/>
      <c r="Z187" s="33"/>
      <c r="AA187" s="33"/>
    </row>
    <row r="188">
      <c r="A188" s="163" t="s">
        <v>30</v>
      </c>
      <c r="B188" s="26">
        <v>40.0</v>
      </c>
      <c r="C188" s="83" t="s">
        <v>3645</v>
      </c>
      <c r="D188" s="33"/>
      <c r="E188" s="33" t="str">
        <f>IFERROR(__xludf.DUMMYFUNCTION("""COMPUTED_VALUE"""),"Школа 1538")</f>
        <v>Школа 1538</v>
      </c>
      <c r="F188" s="33"/>
      <c r="G188" s="33"/>
      <c r="H188" s="33"/>
      <c r="I188" s="33"/>
      <c r="J188" s="33"/>
      <c r="N188" s="33"/>
      <c r="R188" s="33"/>
      <c r="U188" s="33"/>
      <c r="V188" s="33"/>
      <c r="W188" s="33"/>
      <c r="X188" s="33"/>
      <c r="Y188" s="33"/>
      <c r="Z188" s="33"/>
      <c r="AA188" s="33"/>
    </row>
    <row r="189">
      <c r="A189" s="163" t="s">
        <v>30</v>
      </c>
      <c r="B189" s="26">
        <v>41.0</v>
      </c>
      <c r="C189" s="83" t="s">
        <v>3446</v>
      </c>
      <c r="D189" s="33"/>
      <c r="E189" s="33" t="str">
        <f>IFERROR(__xludf.DUMMYFUNCTION("""COMPUTED_VALUE"""),"Школа 1539")</f>
        <v>Школа 1539</v>
      </c>
      <c r="F189" s="33"/>
      <c r="G189" s="33"/>
      <c r="H189" s="33"/>
      <c r="I189" s="33"/>
      <c r="J189" s="33"/>
      <c r="N189" s="33"/>
      <c r="R189" s="33"/>
      <c r="U189" s="33"/>
      <c r="V189" s="33"/>
      <c r="W189" s="33"/>
      <c r="X189" s="33"/>
      <c r="Y189" s="33"/>
      <c r="Z189" s="33"/>
      <c r="AA189" s="33"/>
    </row>
    <row r="190">
      <c r="A190" s="163" t="s">
        <v>30</v>
      </c>
      <c r="B190" s="26">
        <v>42.0</v>
      </c>
      <c r="C190" s="83" t="s">
        <v>3646</v>
      </c>
      <c r="D190" s="33"/>
      <c r="E190" s="33" t="str">
        <f>IFERROR(__xludf.DUMMYFUNCTION("""COMPUTED_VALUE"""),"Школа 1553")</f>
        <v>Школа 1553</v>
      </c>
      <c r="F190" s="33"/>
      <c r="G190" s="33"/>
      <c r="H190" s="33"/>
      <c r="I190" s="33"/>
      <c r="J190" s="33"/>
      <c r="N190" s="33"/>
      <c r="R190" s="33"/>
      <c r="U190" s="33"/>
      <c r="V190" s="33"/>
      <c r="W190" s="33"/>
      <c r="X190" s="33"/>
      <c r="Y190" s="33"/>
      <c r="Z190" s="33"/>
      <c r="AA190" s="33"/>
    </row>
    <row r="191">
      <c r="A191" s="163" t="s">
        <v>30</v>
      </c>
      <c r="B191" s="26">
        <v>43.0</v>
      </c>
      <c r="C191" s="83" t="s">
        <v>3647</v>
      </c>
      <c r="D191" s="33"/>
      <c r="E191" s="33" t="str">
        <f>IFERROR(__xludf.DUMMYFUNCTION("""COMPUTED_VALUE"""),"Школа 1557")</f>
        <v>Школа 1557</v>
      </c>
      <c r="F191" s="33"/>
      <c r="G191" s="33"/>
      <c r="H191" s="33"/>
      <c r="I191" s="33"/>
      <c r="J191" s="33"/>
      <c r="N191" s="33"/>
      <c r="R191" s="33"/>
      <c r="U191" s="33"/>
      <c r="V191" s="33"/>
      <c r="W191" s="33"/>
      <c r="X191" s="33"/>
      <c r="Y191" s="33"/>
      <c r="Z191" s="33"/>
      <c r="AA191" s="33"/>
    </row>
    <row r="192">
      <c r="A192" s="163" t="s">
        <v>30</v>
      </c>
      <c r="B192" s="26">
        <v>44.0</v>
      </c>
      <c r="C192" s="83" t="s">
        <v>3649</v>
      </c>
      <c r="D192" s="33"/>
      <c r="E192" s="33" t="str">
        <f>IFERROR(__xludf.DUMMYFUNCTION("""COMPUTED_VALUE"""),"Школа 1561")</f>
        <v>Школа 1561</v>
      </c>
      <c r="F192" s="33"/>
      <c r="G192" s="33"/>
      <c r="H192" s="33"/>
      <c r="I192" s="33"/>
      <c r="J192" s="33"/>
      <c r="N192" s="33"/>
      <c r="R192" s="33"/>
      <c r="U192" s="33"/>
      <c r="V192" s="33"/>
      <c r="W192" s="33"/>
      <c r="X192" s="33"/>
      <c r="Y192" s="33"/>
      <c r="Z192" s="33"/>
      <c r="AA192" s="33"/>
    </row>
    <row r="193">
      <c r="A193" s="163" t="s">
        <v>30</v>
      </c>
      <c r="B193" s="26">
        <v>45.0</v>
      </c>
      <c r="C193" s="83" t="s">
        <v>3650</v>
      </c>
      <c r="D193" s="33"/>
      <c r="E193" s="33" t="str">
        <f>IFERROR(__xludf.DUMMYFUNCTION("""COMPUTED_VALUE"""),"Школа 1571")</f>
        <v>Школа 1571</v>
      </c>
      <c r="F193" s="33"/>
      <c r="G193" s="33"/>
      <c r="H193" s="33"/>
      <c r="I193" s="33"/>
      <c r="J193" s="33"/>
      <c r="N193" s="33"/>
      <c r="R193" s="33"/>
      <c r="U193" s="33"/>
      <c r="V193" s="33"/>
      <c r="W193" s="33"/>
      <c r="X193" s="33"/>
      <c r="Y193" s="33"/>
      <c r="Z193" s="33"/>
      <c r="AA193" s="33"/>
    </row>
    <row r="194">
      <c r="A194" s="163" t="s">
        <v>30</v>
      </c>
      <c r="B194" s="26">
        <v>46.0</v>
      </c>
      <c r="C194" s="83" t="s">
        <v>3515</v>
      </c>
      <c r="D194" s="33"/>
      <c r="E194" s="33" t="str">
        <f>IFERROR(__xludf.DUMMYFUNCTION("""COMPUTED_VALUE"""),"Школа 1573")</f>
        <v>Школа 1573</v>
      </c>
      <c r="F194" s="33"/>
      <c r="G194" s="33"/>
      <c r="H194" s="33"/>
      <c r="I194" s="33"/>
      <c r="J194" s="33"/>
      <c r="N194" s="33"/>
      <c r="R194" s="33"/>
      <c r="U194" s="33"/>
      <c r="V194" s="33"/>
      <c r="W194" s="33"/>
      <c r="X194" s="33"/>
      <c r="Y194" s="33"/>
      <c r="Z194" s="33"/>
      <c r="AA194" s="33"/>
    </row>
    <row r="195">
      <c r="A195" s="163" t="s">
        <v>30</v>
      </c>
      <c r="B195" s="26">
        <v>47.0</v>
      </c>
      <c r="C195" s="83" t="s">
        <v>3516</v>
      </c>
      <c r="D195" s="33"/>
      <c r="E195" s="33" t="str">
        <f>IFERROR(__xludf.DUMMYFUNCTION("""COMPUTED_VALUE"""),"Школа 1574")</f>
        <v>Школа 1574</v>
      </c>
      <c r="F195" s="33"/>
      <c r="G195" s="33"/>
      <c r="H195" s="33"/>
      <c r="I195" s="33"/>
      <c r="J195" s="33"/>
      <c r="N195" s="33"/>
      <c r="R195" s="33"/>
      <c r="U195" s="33"/>
      <c r="V195" s="33"/>
      <c r="W195" s="33"/>
      <c r="X195" s="33"/>
      <c r="Y195" s="33"/>
      <c r="Z195" s="33"/>
      <c r="AA195" s="33"/>
    </row>
    <row r="196">
      <c r="A196" s="163" t="s">
        <v>30</v>
      </c>
      <c r="B196" s="26">
        <v>48.0</v>
      </c>
      <c r="C196" s="83" t="s">
        <v>3652</v>
      </c>
      <c r="D196" s="33"/>
      <c r="E196" s="33" t="str">
        <f>IFERROR(__xludf.DUMMYFUNCTION("""COMPUTED_VALUE"""),"Школа 1584")</f>
        <v>Школа 1584</v>
      </c>
      <c r="F196" s="33"/>
      <c r="G196" s="33"/>
      <c r="H196" s="33"/>
      <c r="I196" s="33"/>
      <c r="J196" s="33"/>
      <c r="N196" s="33"/>
      <c r="R196" s="33"/>
      <c r="U196" s="33"/>
      <c r="V196" s="33"/>
      <c r="W196" s="33"/>
      <c r="X196" s="33"/>
      <c r="Y196" s="33"/>
      <c r="Z196" s="33"/>
      <c r="AA196" s="33"/>
    </row>
    <row r="197">
      <c r="A197" s="163" t="s">
        <v>30</v>
      </c>
      <c r="B197" s="26">
        <v>49.0</v>
      </c>
      <c r="C197" s="83" t="s">
        <v>3653</v>
      </c>
      <c r="D197" s="33"/>
      <c r="E197" s="33" t="str">
        <f>IFERROR(__xludf.DUMMYFUNCTION("""COMPUTED_VALUE"""),"Школа 1636")</f>
        <v>Школа 1636</v>
      </c>
      <c r="F197" s="33"/>
      <c r="G197" s="33"/>
      <c r="H197" s="33"/>
      <c r="I197" s="33"/>
      <c r="J197" s="33"/>
      <c r="N197" s="33"/>
      <c r="R197" s="33"/>
      <c r="U197" s="33"/>
      <c r="V197" s="33"/>
      <c r="W197" s="33"/>
      <c r="X197" s="33"/>
      <c r="Y197" s="33"/>
      <c r="Z197" s="33"/>
      <c r="AA197" s="33"/>
    </row>
    <row r="198">
      <c r="A198" s="163" t="s">
        <v>30</v>
      </c>
      <c r="B198" s="26">
        <v>50.0</v>
      </c>
      <c r="C198" s="83" t="s">
        <v>3654</v>
      </c>
      <c r="D198" s="33"/>
      <c r="E198" s="33" t="str">
        <f>IFERROR(__xludf.DUMMYFUNCTION("""COMPUTED_VALUE"""),"Школа 1747")</f>
        <v>Школа 1747</v>
      </c>
      <c r="F198" s="33"/>
      <c r="G198" s="33"/>
      <c r="H198" s="33"/>
      <c r="I198" s="33"/>
      <c r="J198" s="33"/>
      <c r="N198" s="33"/>
      <c r="R198" s="33"/>
      <c r="U198" s="33"/>
      <c r="V198" s="33"/>
      <c r="W198" s="33"/>
      <c r="X198" s="33"/>
      <c r="Y198" s="33"/>
      <c r="Z198" s="33"/>
      <c r="AA198" s="33"/>
    </row>
    <row r="199">
      <c r="A199" s="163" t="s">
        <v>30</v>
      </c>
      <c r="B199" s="26">
        <v>51.0</v>
      </c>
      <c r="C199" s="83" t="s">
        <v>3718</v>
      </c>
      <c r="D199" s="33"/>
      <c r="E199" s="33" t="str">
        <f>IFERROR(__xludf.DUMMYFUNCTION("""COMPUTED_VALUE"""),"Школа 1748")</f>
        <v>Школа 1748</v>
      </c>
      <c r="F199" s="33"/>
      <c r="G199" s="33"/>
      <c r="H199" s="33"/>
      <c r="I199" s="33"/>
      <c r="J199" s="33"/>
      <c r="N199" s="33"/>
      <c r="R199" s="33"/>
      <c r="U199" s="33"/>
      <c r="V199" s="33"/>
      <c r="W199" s="33"/>
      <c r="X199" s="33"/>
      <c r="Y199" s="33"/>
      <c r="Z199" s="33"/>
      <c r="AA199" s="33"/>
    </row>
    <row r="200">
      <c r="A200" s="163" t="s">
        <v>30</v>
      </c>
      <c r="B200" s="26">
        <v>52.0</v>
      </c>
      <c r="C200" s="83" t="s">
        <v>3334</v>
      </c>
      <c r="D200" s="33"/>
      <c r="E200" s="33" t="str">
        <f>IFERROR(__xludf.DUMMYFUNCTION("""COMPUTED_VALUE"""),"Школа 1788")</f>
        <v>Школа 1788</v>
      </c>
      <c r="F200" s="33"/>
      <c r="G200" s="33"/>
      <c r="H200" s="33"/>
      <c r="I200" s="33"/>
      <c r="J200" s="33"/>
      <c r="N200" s="33"/>
      <c r="R200" s="33"/>
      <c r="U200" s="33"/>
      <c r="V200" s="33"/>
      <c r="W200" s="33"/>
      <c r="X200" s="33"/>
      <c r="Y200" s="33"/>
      <c r="Z200" s="33"/>
      <c r="AA200" s="33"/>
    </row>
    <row r="201">
      <c r="A201" s="163" t="s">
        <v>30</v>
      </c>
      <c r="B201" s="26">
        <v>53.0</v>
      </c>
      <c r="C201" s="83" t="s">
        <v>3657</v>
      </c>
      <c r="D201" s="33"/>
      <c r="E201" s="33" t="str">
        <f>IFERROR(__xludf.DUMMYFUNCTION("""COMPUTED_VALUE"""),"Школа 1811")</f>
        <v>Школа 1811</v>
      </c>
      <c r="F201" s="33"/>
      <c r="G201" s="33"/>
      <c r="H201" s="33"/>
      <c r="I201" s="33"/>
      <c r="J201" s="33"/>
      <c r="N201" s="33"/>
      <c r="R201" s="33"/>
      <c r="U201" s="33"/>
      <c r="V201" s="33"/>
      <c r="W201" s="33"/>
      <c r="X201" s="33"/>
      <c r="Y201" s="33"/>
      <c r="Z201" s="33"/>
      <c r="AA201" s="33"/>
    </row>
    <row r="202">
      <c r="A202" s="163" t="s">
        <v>30</v>
      </c>
      <c r="B202" s="26">
        <v>54.0</v>
      </c>
      <c r="C202" s="83" t="s">
        <v>3415</v>
      </c>
      <c r="D202" s="33"/>
      <c r="E202" s="33" t="str">
        <f>IFERROR(__xludf.DUMMYFUNCTION("""COMPUTED_VALUE"""),"Школа 1861")</f>
        <v>Школа 1861</v>
      </c>
      <c r="F202" s="33"/>
      <c r="G202" s="33"/>
      <c r="H202" s="33"/>
      <c r="I202" s="33"/>
      <c r="J202" s="33"/>
      <c r="N202" s="33"/>
      <c r="R202" s="33"/>
      <c r="U202" s="33"/>
      <c r="V202" s="33"/>
      <c r="W202" s="33"/>
      <c r="X202" s="33"/>
      <c r="Y202" s="33"/>
      <c r="Z202" s="33"/>
      <c r="AA202" s="33"/>
    </row>
    <row r="203">
      <c r="A203" s="163" t="s">
        <v>30</v>
      </c>
      <c r="B203" s="26">
        <v>55.0</v>
      </c>
      <c r="C203" s="83" t="s">
        <v>3659</v>
      </c>
      <c r="D203" s="33"/>
      <c r="E203" s="33" t="str">
        <f>IFERROR(__xludf.DUMMYFUNCTION("""COMPUTED_VALUE"""),"Школа 2005")</f>
        <v>Школа 2005</v>
      </c>
      <c r="F203" s="33"/>
      <c r="G203" s="33"/>
      <c r="H203" s="33"/>
      <c r="I203" s="33"/>
      <c r="J203" s="33"/>
      <c r="N203" s="33"/>
      <c r="R203" s="33"/>
      <c r="U203" s="33"/>
      <c r="V203" s="33"/>
      <c r="W203" s="33"/>
      <c r="X203" s="33"/>
      <c r="Y203" s="33"/>
      <c r="Z203" s="33"/>
      <c r="AA203" s="33"/>
    </row>
    <row r="204">
      <c r="A204" s="163" t="s">
        <v>30</v>
      </c>
      <c r="B204" s="26">
        <v>56.0</v>
      </c>
      <c r="C204" s="83" t="s">
        <v>3421</v>
      </c>
      <c r="D204" s="33"/>
      <c r="E204" s="33" t="str">
        <f>IFERROR(__xludf.DUMMYFUNCTION("""COMPUTED_VALUE"""),"Школа 2006")</f>
        <v>Школа 2006</v>
      </c>
      <c r="F204" s="33"/>
      <c r="G204" s="33"/>
      <c r="H204" s="33"/>
      <c r="I204" s="33"/>
      <c r="J204" s="33"/>
      <c r="N204" s="33"/>
      <c r="R204" s="33"/>
      <c r="U204" s="33"/>
      <c r="V204" s="33"/>
      <c r="W204" s="33"/>
      <c r="X204" s="33"/>
      <c r="Y204" s="33"/>
      <c r="Z204" s="33"/>
      <c r="AA204" s="33"/>
    </row>
    <row r="205">
      <c r="A205" s="163" t="s">
        <v>30</v>
      </c>
      <c r="B205" s="26">
        <v>57.0</v>
      </c>
      <c r="C205" s="83" t="s">
        <v>3660</v>
      </c>
      <c r="D205" s="33"/>
      <c r="E205" s="33" t="str">
        <f>IFERROR(__xludf.DUMMYFUNCTION("""COMPUTED_VALUE"""),"Школа 2033")</f>
        <v>Школа 2033</v>
      </c>
      <c r="F205" s="33"/>
      <c r="G205" s="33"/>
      <c r="H205" s="33"/>
      <c r="I205" s="33"/>
      <c r="J205" s="33"/>
      <c r="N205" s="33"/>
      <c r="R205" s="33"/>
      <c r="U205" s="33"/>
      <c r="V205" s="33"/>
      <c r="W205" s="33"/>
      <c r="X205" s="33"/>
      <c r="Y205" s="33"/>
      <c r="Z205" s="33"/>
      <c r="AA205" s="33"/>
    </row>
    <row r="206">
      <c r="A206" s="163" t="s">
        <v>30</v>
      </c>
      <c r="B206" s="26">
        <v>58.0</v>
      </c>
      <c r="C206" s="83" t="s">
        <v>3661</v>
      </c>
      <c r="D206" s="33"/>
      <c r="E206" s="33" t="str">
        <f>IFERROR(__xludf.DUMMYFUNCTION("""COMPUTED_VALUE"""),"Школа 2036")</f>
        <v>Школа 2036</v>
      </c>
      <c r="F206" s="33"/>
      <c r="G206" s="33"/>
      <c r="H206" s="33"/>
      <c r="I206" s="33"/>
      <c r="J206" s="33"/>
      <c r="N206" s="33"/>
      <c r="R206" s="33"/>
      <c r="U206" s="33"/>
      <c r="V206" s="33"/>
      <c r="W206" s="33"/>
      <c r="X206" s="33"/>
      <c r="Y206" s="33"/>
      <c r="Z206" s="33"/>
      <c r="AA206" s="33"/>
    </row>
    <row r="207">
      <c r="A207" s="163" t="s">
        <v>30</v>
      </c>
      <c r="B207" s="26">
        <v>59.0</v>
      </c>
      <c r="C207" s="83" t="s">
        <v>3358</v>
      </c>
      <c r="D207" s="33"/>
      <c r="E207" s="33" t="str">
        <f>IFERROR(__xludf.DUMMYFUNCTION("""COMPUTED_VALUE"""),"Школа 2045")</f>
        <v>Школа 2045</v>
      </c>
      <c r="F207" s="33"/>
      <c r="G207" s="33"/>
      <c r="H207" s="33"/>
      <c r="I207" s="33"/>
      <c r="J207" s="33"/>
      <c r="N207" s="33"/>
      <c r="R207" s="33"/>
      <c r="U207" s="33"/>
      <c r="V207" s="33"/>
      <c r="W207" s="33"/>
      <c r="X207" s="33"/>
      <c r="Y207" s="33"/>
      <c r="Z207" s="33"/>
      <c r="AA207" s="33"/>
    </row>
    <row r="208">
      <c r="A208" s="163" t="s">
        <v>30</v>
      </c>
      <c r="B208" s="26">
        <v>60.0</v>
      </c>
      <c r="C208" s="83" t="s">
        <v>3451</v>
      </c>
      <c r="D208" s="33"/>
      <c r="E208" s="33" t="str">
        <f>IFERROR(__xludf.DUMMYFUNCTION("""COMPUTED_VALUE"""),"Школа 2048")</f>
        <v>Школа 2048</v>
      </c>
      <c r="F208" s="33"/>
      <c r="G208" s="33"/>
      <c r="H208" s="33"/>
      <c r="I208" s="33"/>
      <c r="J208" s="33"/>
      <c r="N208" s="33"/>
      <c r="R208" s="33"/>
      <c r="U208" s="33"/>
      <c r="V208" s="33"/>
      <c r="W208" s="33"/>
      <c r="X208" s="33"/>
      <c r="Y208" s="33"/>
      <c r="Z208" s="33"/>
      <c r="AA208" s="33"/>
    </row>
    <row r="209">
      <c r="A209" s="163" t="s">
        <v>30</v>
      </c>
      <c r="B209" s="26">
        <v>61.0</v>
      </c>
      <c r="C209" s="83" t="s">
        <v>3663</v>
      </c>
      <c r="D209" s="33"/>
      <c r="E209" s="33" t="str">
        <f>IFERROR(__xludf.DUMMYFUNCTION("""COMPUTED_VALUE"""),"Школа 2070")</f>
        <v>Школа 2070</v>
      </c>
      <c r="F209" s="33"/>
      <c r="G209" s="33"/>
      <c r="H209" s="33"/>
      <c r="I209" s="33"/>
      <c r="J209" s="33"/>
      <c r="N209" s="33"/>
      <c r="R209" s="33"/>
      <c r="U209" s="33"/>
      <c r="V209" s="33"/>
      <c r="W209" s="33"/>
      <c r="X209" s="33"/>
      <c r="Y209" s="33"/>
      <c r="Z209" s="33"/>
      <c r="AA209" s="33"/>
    </row>
    <row r="210">
      <c r="A210" s="163" t="s">
        <v>30</v>
      </c>
      <c r="B210" s="26">
        <v>62.0</v>
      </c>
      <c r="C210" s="83" t="s">
        <v>3664</v>
      </c>
      <c r="D210" s="33"/>
      <c r="E210" s="33" t="str">
        <f>IFERROR(__xludf.DUMMYFUNCTION("""COMPUTED_VALUE"""),"Школа 2087")</f>
        <v>Школа 2087</v>
      </c>
      <c r="F210" s="33"/>
      <c r="G210" s="33"/>
      <c r="H210" s="33"/>
      <c r="I210" s="33"/>
      <c r="J210" s="33"/>
      <c r="N210" s="33"/>
      <c r="R210" s="33"/>
      <c r="U210" s="33"/>
      <c r="V210" s="33"/>
      <c r="W210" s="33"/>
      <c r="X210" s="33"/>
      <c r="Y210" s="33"/>
      <c r="Z210" s="33"/>
      <c r="AA210" s="33"/>
    </row>
    <row r="211">
      <c r="A211" s="163" t="s">
        <v>30</v>
      </c>
      <c r="B211" s="26">
        <v>63.0</v>
      </c>
      <c r="C211" s="83" t="s">
        <v>3665</v>
      </c>
      <c r="D211" s="33"/>
      <c r="E211" s="33" t="str">
        <f>IFERROR(__xludf.DUMMYFUNCTION("""COMPUTED_VALUE"""),"Школа 2097")</f>
        <v>Школа 2097</v>
      </c>
      <c r="F211" s="33"/>
      <c r="G211" s="33"/>
      <c r="H211" s="33"/>
      <c r="I211" s="33"/>
      <c r="J211" s="33"/>
      <c r="N211" s="33"/>
      <c r="R211" s="33"/>
      <c r="U211" s="33"/>
      <c r="V211" s="33"/>
      <c r="W211" s="33"/>
      <c r="X211" s="33"/>
      <c r="Y211" s="33"/>
      <c r="Z211" s="33"/>
      <c r="AA211" s="33"/>
    </row>
    <row r="212">
      <c r="A212" s="163" t="s">
        <v>30</v>
      </c>
      <c r="B212" s="26">
        <v>64.0</v>
      </c>
      <c r="C212" s="83" t="s">
        <v>3666</v>
      </c>
      <c r="D212" s="33"/>
      <c r="E212" s="33" t="str">
        <f>IFERROR(__xludf.DUMMYFUNCTION("""COMPUTED_VALUE"""),"Школа 2098")</f>
        <v>Школа 2098</v>
      </c>
      <c r="F212" s="33"/>
      <c r="G212" s="33"/>
      <c r="H212" s="33"/>
      <c r="I212" s="33"/>
      <c r="J212" s="33"/>
      <c r="N212" s="33"/>
      <c r="R212" s="33"/>
      <c r="U212" s="33"/>
      <c r="V212" s="33"/>
      <c r="W212" s="33"/>
      <c r="X212" s="33"/>
      <c r="Y212" s="33"/>
      <c r="Z212" s="33"/>
      <c r="AA212" s="33"/>
    </row>
    <row r="213">
      <c r="A213" s="163" t="s">
        <v>30</v>
      </c>
      <c r="B213" s="26">
        <v>65.0</v>
      </c>
      <c r="C213" s="83" t="s">
        <v>3426</v>
      </c>
      <c r="D213" s="33"/>
      <c r="E213" s="33" t="str">
        <f>IFERROR(__xludf.DUMMYFUNCTION("""COMPUTED_VALUE"""),"Школа 2120")</f>
        <v>Школа 2120</v>
      </c>
      <c r="F213" s="33"/>
      <c r="G213" s="33"/>
      <c r="H213" s="33"/>
      <c r="I213" s="33"/>
      <c r="J213" s="33"/>
      <c r="K213" s="33"/>
      <c r="L213" s="33"/>
      <c r="M213" s="33"/>
      <c r="N213" s="33"/>
      <c r="R213" s="33"/>
      <c r="U213" s="33"/>
      <c r="V213" s="33"/>
      <c r="W213" s="33"/>
      <c r="X213" s="33"/>
      <c r="Y213" s="33"/>
      <c r="Z213" s="33"/>
      <c r="AA213" s="33"/>
    </row>
    <row r="214">
      <c r="A214" s="163" t="s">
        <v>30</v>
      </c>
      <c r="B214" s="26">
        <v>66.0</v>
      </c>
      <c r="C214" s="83" t="s">
        <v>3453</v>
      </c>
      <c r="D214" s="33"/>
      <c r="E214" s="33" t="str">
        <f>IFERROR(__xludf.DUMMYFUNCTION("""COMPUTED_VALUE"""),"Школа 2127")</f>
        <v>Школа 2127</v>
      </c>
      <c r="F214" s="33"/>
      <c r="G214" s="33"/>
      <c r="H214" s="33"/>
      <c r="I214" s="33"/>
      <c r="J214" s="33"/>
      <c r="K214" s="33"/>
      <c r="L214" s="33"/>
      <c r="M214" s="33"/>
      <c r="N214" s="33"/>
      <c r="R214" s="33"/>
      <c r="U214" s="33"/>
      <c r="V214" s="33"/>
      <c r="W214" s="33"/>
      <c r="X214" s="33"/>
      <c r="Y214" s="33"/>
      <c r="Z214" s="33"/>
      <c r="AA214" s="33"/>
    </row>
    <row r="215">
      <c r="A215" s="163" t="s">
        <v>30</v>
      </c>
      <c r="B215" s="26">
        <v>67.0</v>
      </c>
      <c r="C215" s="83" t="s">
        <v>3667</v>
      </c>
      <c r="D215" s="33"/>
      <c r="E215" s="33" t="str">
        <f>IFERROR(__xludf.DUMMYFUNCTION("""COMPUTED_VALUE"""),"Курчатовская школа")</f>
        <v>Курчатовская школа</v>
      </c>
      <c r="F215" s="33"/>
      <c r="G215" s="33"/>
      <c r="H215" s="33"/>
      <c r="I215" s="33"/>
      <c r="J215" s="33"/>
      <c r="K215" s="33"/>
      <c r="L215" s="33"/>
      <c r="M215" s="33"/>
      <c r="N215" s="33"/>
      <c r="R215" s="33"/>
      <c r="U215" s="33"/>
      <c r="V215" s="33"/>
      <c r="W215" s="33"/>
      <c r="X215" s="33"/>
      <c r="Y215" s="33"/>
      <c r="Z215" s="33"/>
      <c r="AA215" s="33"/>
    </row>
    <row r="216">
      <c r="A216" s="163" t="s">
        <v>30</v>
      </c>
      <c r="B216" s="26">
        <v>68.0</v>
      </c>
      <c r="C216" s="83" t="s">
        <v>3668</v>
      </c>
      <c r="D216" s="33"/>
      <c r="E216" s="33" t="str">
        <f>IFERROR(__xludf.DUMMYFUNCTION("""COMPUTED_VALUE"""),"Школа в Некрасовке")</f>
        <v>Школа в Некрасовке</v>
      </c>
      <c r="F216" s="33"/>
      <c r="G216" s="33"/>
      <c r="H216" s="33"/>
      <c r="I216" s="33"/>
      <c r="J216" s="33"/>
      <c r="K216" s="33"/>
      <c r="L216" s="33"/>
      <c r="M216" s="33"/>
      <c r="N216" s="33"/>
      <c r="R216" s="33"/>
      <c r="U216" s="33"/>
      <c r="V216" s="33"/>
      <c r="W216" s="33"/>
      <c r="X216" s="33"/>
      <c r="Y216" s="33"/>
      <c r="Z216" s="33"/>
      <c r="AA216" s="33"/>
    </row>
    <row r="217">
      <c r="A217" s="7" t="s">
        <v>31</v>
      </c>
      <c r="B217" s="26">
        <v>1.0</v>
      </c>
      <c r="C217" s="83" t="s">
        <v>3430</v>
      </c>
      <c r="D217" s="33"/>
      <c r="E217" s="33" t="str">
        <f>IFERROR(__xludf.DUMMYFUNCTION("""COMPUTED_VALUE"""),"Школа 7")</f>
        <v>Школа 7</v>
      </c>
      <c r="F217" s="33"/>
      <c r="G217" s="33"/>
      <c r="H217" s="33"/>
      <c r="I217" s="33"/>
      <c r="J217" s="33"/>
      <c r="K217" s="33"/>
      <c r="L217" s="33"/>
      <c r="M217" s="33"/>
      <c r="N217" s="33"/>
      <c r="R217" s="33"/>
      <c r="U217" s="33"/>
      <c r="V217" s="33"/>
      <c r="W217" s="33"/>
      <c r="X217" s="33"/>
      <c r="Y217" s="33"/>
      <c r="Z217" s="33"/>
      <c r="AA217" s="33"/>
    </row>
    <row r="218">
      <c r="A218" s="7" t="s">
        <v>31</v>
      </c>
      <c r="B218" s="26">
        <v>2.0</v>
      </c>
      <c r="C218" s="83" t="s">
        <v>3340</v>
      </c>
      <c r="D218" s="33"/>
      <c r="E218" s="33" t="str">
        <f>IFERROR(__xludf.DUMMYFUNCTION("""COMPUTED_VALUE"""),"Школа 56")</f>
        <v>Школа 56</v>
      </c>
      <c r="F218" s="33"/>
      <c r="G218" s="33"/>
      <c r="H218" s="33"/>
      <c r="I218" s="33"/>
      <c r="J218" s="33"/>
      <c r="K218" s="33"/>
      <c r="L218" s="33"/>
      <c r="M218" s="33"/>
      <c r="N218" s="33"/>
      <c r="R218" s="33"/>
      <c r="U218" s="33"/>
      <c r="V218" s="33"/>
      <c r="W218" s="33"/>
      <c r="X218" s="33"/>
      <c r="Y218" s="33"/>
      <c r="Z218" s="33"/>
      <c r="AA218" s="33"/>
    </row>
    <row r="219">
      <c r="A219" s="7" t="s">
        <v>31</v>
      </c>
      <c r="B219" s="26">
        <v>3.0</v>
      </c>
      <c r="C219" s="83" t="s">
        <v>3738</v>
      </c>
      <c r="D219" s="33"/>
      <c r="E219" s="33" t="str">
        <f>IFERROR(__xludf.DUMMYFUNCTION("""COMPUTED_VALUE"""),"Школа 64")</f>
        <v>Школа 64</v>
      </c>
      <c r="F219" s="33"/>
      <c r="G219" s="33"/>
      <c r="H219" s="33"/>
      <c r="I219" s="33"/>
      <c r="J219" s="33"/>
      <c r="K219" s="33"/>
      <c r="L219" s="33"/>
      <c r="M219" s="33"/>
      <c r="N219" s="33"/>
      <c r="R219" s="33"/>
      <c r="U219" s="33"/>
      <c r="V219" s="33"/>
      <c r="W219" s="33"/>
      <c r="X219" s="33"/>
      <c r="Y219" s="33"/>
      <c r="Z219" s="33"/>
      <c r="AA219" s="33"/>
    </row>
    <row r="220">
      <c r="A220" s="7" t="s">
        <v>31</v>
      </c>
      <c r="B220" s="26">
        <v>4.0</v>
      </c>
      <c r="C220" s="83" t="s">
        <v>3341</v>
      </c>
      <c r="D220" s="33"/>
      <c r="E220" s="33" t="str">
        <f>IFERROR(__xludf.DUMMYFUNCTION("""COMPUTED_VALUE"""),"Школа 67")</f>
        <v>Школа 67</v>
      </c>
      <c r="F220" s="33"/>
      <c r="G220" s="33"/>
      <c r="H220" s="33"/>
      <c r="I220" s="33"/>
      <c r="J220" s="33"/>
      <c r="K220" s="33"/>
      <c r="L220" s="33"/>
      <c r="M220" s="33"/>
      <c r="N220" s="33"/>
      <c r="R220" s="33"/>
      <c r="U220" s="33"/>
      <c r="V220" s="33"/>
      <c r="W220" s="33"/>
      <c r="X220" s="33"/>
      <c r="Y220" s="33"/>
      <c r="Z220" s="33"/>
      <c r="AA220" s="33"/>
    </row>
    <row r="221">
      <c r="A221" s="7" t="s">
        <v>31</v>
      </c>
      <c r="B221" s="26">
        <v>5.0</v>
      </c>
      <c r="C221" s="83" t="s">
        <v>3739</v>
      </c>
      <c r="D221" s="33"/>
      <c r="E221" s="33" t="str">
        <f>IFERROR(__xludf.DUMMYFUNCTION("""COMPUTED_VALUE"""),"Школа 152")</f>
        <v>Школа 152</v>
      </c>
      <c r="F221" s="33"/>
      <c r="G221" s="33"/>
      <c r="H221" s="33"/>
      <c r="I221" s="33"/>
      <c r="J221" s="33"/>
      <c r="K221" s="33"/>
      <c r="L221" s="33"/>
      <c r="M221" s="33"/>
      <c r="N221" s="33"/>
      <c r="R221" s="33"/>
      <c r="U221" s="33"/>
      <c r="V221" s="33"/>
      <c r="W221" s="33"/>
      <c r="X221" s="33"/>
      <c r="Y221" s="33"/>
      <c r="Z221" s="33"/>
      <c r="AA221" s="33"/>
    </row>
    <row r="222">
      <c r="A222" s="7" t="s">
        <v>31</v>
      </c>
      <c r="B222" s="26">
        <v>6.0</v>
      </c>
      <c r="C222" s="83" t="s">
        <v>3806</v>
      </c>
      <c r="D222" s="33"/>
      <c r="E222" s="33" t="str">
        <f>IFERROR(__xludf.DUMMYFUNCTION("""COMPUTED_VALUE"""),"Школа 236")</f>
        <v>Школа 236</v>
      </c>
      <c r="F222" s="33"/>
      <c r="G222" s="33"/>
      <c r="H222" s="33"/>
      <c r="I222" s="33"/>
      <c r="J222" s="33"/>
      <c r="K222" s="33"/>
      <c r="L222" s="33"/>
      <c r="M222" s="33"/>
      <c r="N222" s="33"/>
      <c r="R222" s="33"/>
      <c r="U222" s="33"/>
      <c r="V222" s="33"/>
      <c r="W222" s="33"/>
      <c r="X222" s="33"/>
      <c r="Y222" s="33"/>
      <c r="Z222" s="33"/>
      <c r="AA222" s="33"/>
    </row>
    <row r="223">
      <c r="A223" s="7" t="s">
        <v>31</v>
      </c>
      <c r="B223" s="26">
        <v>7.0</v>
      </c>
      <c r="C223" s="83" t="s">
        <v>3740</v>
      </c>
      <c r="D223" s="33"/>
      <c r="E223" s="33" t="str">
        <f>IFERROR(__xludf.DUMMYFUNCTION("""COMPUTED_VALUE"""),"Школа 338")</f>
        <v>Школа 338</v>
      </c>
      <c r="F223" s="33"/>
      <c r="G223" s="33"/>
      <c r="H223" s="33"/>
      <c r="I223" s="33"/>
      <c r="J223" s="33"/>
      <c r="K223" s="33"/>
      <c r="L223" s="33"/>
      <c r="M223" s="33"/>
      <c r="N223" s="33"/>
      <c r="R223" s="33"/>
      <c r="U223" s="33"/>
      <c r="V223" s="33"/>
      <c r="W223" s="33"/>
      <c r="X223" s="33"/>
      <c r="Y223" s="33"/>
      <c r="Z223" s="33"/>
      <c r="AA223" s="33"/>
    </row>
    <row r="224">
      <c r="A224" s="7" t="s">
        <v>31</v>
      </c>
      <c r="B224" s="26">
        <v>8.0</v>
      </c>
      <c r="C224" s="83" t="s">
        <v>3677</v>
      </c>
      <c r="D224" s="33"/>
      <c r="E224" s="33" t="str">
        <f>IFERROR(__xludf.DUMMYFUNCTION("""COMPUTED_VALUE"""),"Школа 354")</f>
        <v>Школа 354</v>
      </c>
      <c r="F224" s="33"/>
      <c r="G224" s="33"/>
      <c r="H224" s="33"/>
      <c r="I224" s="33"/>
      <c r="J224" s="33"/>
      <c r="K224" s="33"/>
      <c r="L224" s="33"/>
      <c r="M224" s="33"/>
      <c r="N224" s="33"/>
      <c r="R224" s="33"/>
      <c r="U224" s="33"/>
      <c r="V224" s="33"/>
      <c r="W224" s="33"/>
      <c r="X224" s="33"/>
      <c r="Y224" s="33"/>
      <c r="Z224" s="33"/>
      <c r="AA224" s="33"/>
    </row>
    <row r="225">
      <c r="A225" s="7" t="s">
        <v>31</v>
      </c>
      <c r="B225" s="26">
        <v>9.0</v>
      </c>
      <c r="C225" s="83" t="s">
        <v>3619</v>
      </c>
      <c r="D225" s="33"/>
      <c r="E225" s="33" t="str">
        <f>IFERROR(__xludf.DUMMYFUNCTION("""COMPUTED_VALUE"""),"Школа 444")</f>
        <v>Школа 444</v>
      </c>
      <c r="F225" s="33"/>
      <c r="G225" s="33"/>
      <c r="H225" s="33"/>
      <c r="I225" s="33"/>
      <c r="J225" s="33"/>
      <c r="K225" s="33"/>
      <c r="L225" s="33"/>
      <c r="M225" s="33"/>
      <c r="N225" s="33"/>
      <c r="R225" s="33"/>
      <c r="U225" s="33"/>
      <c r="V225" s="33"/>
      <c r="W225" s="33"/>
      <c r="X225" s="33"/>
      <c r="Y225" s="33"/>
      <c r="Z225" s="33"/>
      <c r="AA225" s="33"/>
    </row>
    <row r="226">
      <c r="A226" s="7" t="s">
        <v>31</v>
      </c>
      <c r="B226" s="26">
        <v>10.0</v>
      </c>
      <c r="C226" s="83" t="s">
        <v>3807</v>
      </c>
      <c r="D226" s="33"/>
      <c r="E226" s="33" t="str">
        <f>IFERROR(__xludf.DUMMYFUNCTION("""COMPUTED_VALUE"""),"Школа 463")</f>
        <v>Школа 463</v>
      </c>
      <c r="F226" s="33"/>
      <c r="G226" s="33"/>
      <c r="H226" s="33"/>
      <c r="I226" s="33"/>
      <c r="J226" s="33"/>
      <c r="K226" s="33"/>
      <c r="L226" s="33"/>
      <c r="M226" s="33"/>
      <c r="N226" s="33"/>
      <c r="R226" s="33"/>
      <c r="U226" s="33"/>
      <c r="V226" s="33"/>
      <c r="W226" s="33"/>
      <c r="X226" s="33"/>
      <c r="Y226" s="33"/>
      <c r="Z226" s="33"/>
      <c r="AA226" s="33"/>
    </row>
    <row r="227">
      <c r="A227" s="7" t="s">
        <v>31</v>
      </c>
      <c r="B227" s="26">
        <v>11.0</v>
      </c>
      <c r="C227" s="83" t="s">
        <v>3743</v>
      </c>
      <c r="D227" s="33"/>
      <c r="E227" s="33" t="str">
        <f>IFERROR(__xludf.DUMMYFUNCTION("""COMPUTED_VALUE"""),"Школа 498")</f>
        <v>Школа 498</v>
      </c>
      <c r="F227" s="33"/>
      <c r="G227" s="33"/>
      <c r="H227" s="33"/>
      <c r="I227" s="33"/>
      <c r="J227" s="33"/>
      <c r="K227" s="33"/>
      <c r="L227" s="33"/>
      <c r="M227" s="33"/>
      <c r="N227" s="33"/>
      <c r="R227" s="33"/>
      <c r="U227" s="33"/>
      <c r="V227" s="33"/>
      <c r="W227" s="33"/>
      <c r="X227" s="33"/>
      <c r="Y227" s="33"/>
      <c r="Z227" s="33"/>
      <c r="AA227" s="33"/>
    </row>
    <row r="228">
      <c r="A228" s="7" t="s">
        <v>31</v>
      </c>
      <c r="B228" s="26">
        <v>12.0</v>
      </c>
      <c r="C228" s="83" t="s">
        <v>3343</v>
      </c>
      <c r="D228" s="33"/>
      <c r="E228" s="33" t="str">
        <f>IFERROR(__xludf.DUMMYFUNCTION("""COMPUTED_VALUE"""),"Школа 544")</f>
        <v>Школа 544</v>
      </c>
      <c r="F228" s="33"/>
      <c r="G228" s="33"/>
      <c r="H228" s="33"/>
      <c r="I228" s="33"/>
      <c r="J228" s="33"/>
      <c r="K228" s="33"/>
      <c r="L228" s="33"/>
      <c r="M228" s="33"/>
      <c r="N228" s="33"/>
      <c r="R228" s="33"/>
      <c r="U228" s="33"/>
      <c r="V228" s="33"/>
      <c r="W228" s="33"/>
      <c r="X228" s="33"/>
      <c r="Y228" s="33"/>
      <c r="Z228" s="33"/>
      <c r="AA228" s="33"/>
    </row>
    <row r="229">
      <c r="A229" s="7" t="s">
        <v>31</v>
      </c>
      <c r="B229" s="26">
        <v>13.0</v>
      </c>
      <c r="C229" s="83" t="s">
        <v>3620</v>
      </c>
      <c r="D229" s="33"/>
      <c r="E229" s="33" t="str">
        <f>IFERROR(__xludf.DUMMYFUNCTION("""COMPUTED_VALUE"""),"Школа 548")</f>
        <v>Школа 548</v>
      </c>
      <c r="F229" s="33"/>
      <c r="G229" s="33"/>
      <c r="H229" s="33"/>
      <c r="I229" s="33"/>
      <c r="J229" s="33"/>
      <c r="K229" s="33"/>
      <c r="L229" s="33"/>
      <c r="M229" s="33"/>
      <c r="N229" s="33"/>
      <c r="R229" s="33"/>
      <c r="U229" s="33"/>
      <c r="V229" s="33"/>
      <c r="W229" s="33"/>
      <c r="X229" s="33"/>
      <c r="Y229" s="33"/>
      <c r="Z229" s="33"/>
      <c r="AA229" s="33"/>
    </row>
    <row r="230">
      <c r="A230" s="7" t="s">
        <v>31</v>
      </c>
      <c r="B230" s="26">
        <v>14.0</v>
      </c>
      <c r="C230" s="83" t="s">
        <v>3808</v>
      </c>
      <c r="D230" s="33"/>
      <c r="E230" s="33" t="str">
        <f>IFERROR(__xludf.DUMMYFUNCTION("""COMPUTED_VALUE"""),"Школа 609")</f>
        <v>Школа 609</v>
      </c>
      <c r="F230" s="33"/>
      <c r="G230" s="33"/>
      <c r="H230" s="33"/>
      <c r="I230" s="33"/>
      <c r="J230" s="33"/>
      <c r="K230" s="33"/>
      <c r="L230" s="33"/>
      <c r="M230" s="33"/>
      <c r="N230" s="33"/>
      <c r="R230" s="33"/>
      <c r="U230" s="33"/>
      <c r="V230" s="33"/>
      <c r="W230" s="33"/>
      <c r="X230" s="33"/>
      <c r="Y230" s="33"/>
      <c r="Z230" s="33"/>
      <c r="AA230" s="33"/>
    </row>
    <row r="231">
      <c r="A231" s="7" t="s">
        <v>31</v>
      </c>
      <c r="B231" s="26">
        <v>15.0</v>
      </c>
      <c r="C231" s="83" t="s">
        <v>3744</v>
      </c>
      <c r="D231" s="33"/>
      <c r="E231" s="33" t="str">
        <f>IFERROR(__xludf.DUMMYFUNCTION("""COMPUTED_VALUE"""),"Школа 630")</f>
        <v>Школа 630</v>
      </c>
      <c r="F231" s="33"/>
      <c r="G231" s="33"/>
      <c r="H231" s="33"/>
      <c r="I231" s="33"/>
      <c r="J231" s="33"/>
      <c r="K231" s="33"/>
      <c r="L231" s="33"/>
      <c r="M231" s="33"/>
      <c r="N231" s="33"/>
      <c r="R231" s="33"/>
      <c r="U231" s="33"/>
      <c r="V231" s="33"/>
      <c r="W231" s="33"/>
      <c r="X231" s="33"/>
      <c r="Y231" s="33"/>
      <c r="Z231" s="33"/>
      <c r="AA231" s="33"/>
    </row>
    <row r="232">
      <c r="A232" s="7" t="s">
        <v>31</v>
      </c>
      <c r="B232" s="26">
        <v>16.0</v>
      </c>
      <c r="C232" s="83" t="s">
        <v>3375</v>
      </c>
      <c r="D232" s="33"/>
      <c r="E232" s="33" t="str">
        <f>IFERROR(__xludf.DUMMYFUNCTION("""COMPUTED_VALUE"""),"Школа 654")</f>
        <v>Школа 654</v>
      </c>
      <c r="F232" s="33"/>
      <c r="G232" s="33"/>
      <c r="H232" s="33"/>
      <c r="I232" s="33"/>
      <c r="J232" s="33"/>
      <c r="K232" s="33"/>
      <c r="L232" s="33"/>
      <c r="M232" s="33"/>
      <c r="N232" s="33"/>
      <c r="R232" s="33"/>
      <c r="U232" s="33"/>
      <c r="V232" s="33"/>
      <c r="W232" s="33"/>
      <c r="X232" s="33"/>
      <c r="Y232" s="33"/>
      <c r="Z232" s="33"/>
      <c r="AA232" s="33"/>
    </row>
    <row r="233">
      <c r="A233" s="7" t="s">
        <v>31</v>
      </c>
      <c r="B233" s="26">
        <v>17.0</v>
      </c>
      <c r="C233" s="83" t="s">
        <v>3681</v>
      </c>
      <c r="D233" s="33"/>
      <c r="E233" s="33" t="str">
        <f>IFERROR(__xludf.DUMMYFUNCTION("""COMPUTED_VALUE"""),"Школа 667")</f>
        <v>Школа 667</v>
      </c>
      <c r="F233" s="33"/>
      <c r="G233" s="33"/>
      <c r="H233" s="33"/>
      <c r="I233" s="33"/>
      <c r="J233" s="33"/>
      <c r="K233" s="33"/>
      <c r="L233" s="33"/>
      <c r="M233" s="33"/>
      <c r="N233" s="33"/>
      <c r="R233" s="33"/>
      <c r="U233" s="33"/>
      <c r="V233" s="33"/>
      <c r="W233" s="33"/>
      <c r="X233" s="33"/>
      <c r="Y233" s="33"/>
      <c r="Z233" s="33"/>
      <c r="AA233" s="33"/>
    </row>
    <row r="234">
      <c r="A234" s="7" t="s">
        <v>31</v>
      </c>
      <c r="B234" s="26">
        <v>18.0</v>
      </c>
      <c r="C234" s="83" t="s">
        <v>3587</v>
      </c>
      <c r="D234" s="33"/>
      <c r="E234" s="33" t="str">
        <f>IFERROR(__xludf.DUMMYFUNCTION("""COMPUTED_VALUE"""),"Школа 760")</f>
        <v>Школа 760</v>
      </c>
      <c r="F234" s="33"/>
      <c r="G234" s="33"/>
      <c r="H234" s="33"/>
      <c r="I234" s="33"/>
      <c r="J234" s="33"/>
      <c r="K234" s="33"/>
      <c r="L234" s="33"/>
      <c r="M234" s="33"/>
      <c r="N234" s="33"/>
      <c r="R234" s="33"/>
      <c r="U234" s="33"/>
      <c r="V234" s="33"/>
      <c r="W234" s="33"/>
      <c r="X234" s="33"/>
      <c r="Y234" s="33"/>
      <c r="Z234" s="33"/>
      <c r="AA234" s="33"/>
    </row>
    <row r="235">
      <c r="A235" s="7" t="s">
        <v>31</v>
      </c>
      <c r="B235" s="26">
        <v>19.0</v>
      </c>
      <c r="C235" s="83" t="s">
        <v>3746</v>
      </c>
      <c r="D235" s="33"/>
      <c r="E235" s="33" t="str">
        <f>IFERROR(__xludf.DUMMYFUNCTION("""COMPUTED_VALUE"""),"Школа 771")</f>
        <v>Школа 771</v>
      </c>
      <c r="F235" s="33"/>
      <c r="G235" s="33"/>
      <c r="H235" s="33"/>
      <c r="I235" s="33"/>
      <c r="J235" s="33"/>
      <c r="K235" s="33"/>
      <c r="L235" s="33"/>
      <c r="M235" s="33"/>
      <c r="N235" s="33"/>
      <c r="R235" s="33"/>
      <c r="U235" s="33"/>
      <c r="V235" s="33"/>
      <c r="W235" s="33"/>
      <c r="X235" s="33"/>
      <c r="Y235" s="33"/>
      <c r="Z235" s="33"/>
      <c r="AA235" s="33"/>
    </row>
    <row r="236">
      <c r="A236" s="7" t="s">
        <v>31</v>
      </c>
      <c r="B236" s="26">
        <v>20.0</v>
      </c>
      <c r="C236" s="83" t="s">
        <v>3465</v>
      </c>
      <c r="D236" s="33"/>
      <c r="E236" s="33" t="str">
        <f>IFERROR(__xludf.DUMMYFUNCTION("""COMPUTED_VALUE"""),"Школа 777")</f>
        <v>Школа 777</v>
      </c>
      <c r="F236" s="33"/>
      <c r="G236" s="33"/>
      <c r="H236" s="33"/>
      <c r="I236" s="33"/>
      <c r="J236" s="33"/>
      <c r="K236" s="33"/>
      <c r="L236" s="33"/>
      <c r="M236" s="33"/>
      <c r="N236" s="33"/>
      <c r="R236" s="33"/>
      <c r="U236" s="33"/>
      <c r="V236" s="33"/>
      <c r="W236" s="33"/>
      <c r="X236" s="33"/>
      <c r="Y236" s="33"/>
      <c r="Z236" s="33"/>
      <c r="AA236" s="33"/>
    </row>
    <row r="237">
      <c r="A237" s="7" t="s">
        <v>31</v>
      </c>
      <c r="B237" s="26">
        <v>21.0</v>
      </c>
      <c r="C237" s="83" t="s">
        <v>3377</v>
      </c>
      <c r="D237" s="33"/>
      <c r="E237" s="33" t="str">
        <f>IFERROR(__xludf.DUMMYFUNCTION("""COMPUTED_VALUE"""),"Школа 814")</f>
        <v>Школа 814</v>
      </c>
      <c r="F237" s="33"/>
      <c r="G237" s="33"/>
      <c r="H237" s="33"/>
      <c r="I237" s="33"/>
      <c r="J237" s="33"/>
      <c r="K237" s="33"/>
      <c r="L237" s="33"/>
      <c r="M237" s="33"/>
      <c r="N237" s="33"/>
      <c r="R237" s="33"/>
      <c r="U237" s="33"/>
      <c r="V237" s="33"/>
      <c r="W237" s="33"/>
      <c r="X237" s="33"/>
      <c r="Y237" s="33"/>
      <c r="Z237" s="33"/>
      <c r="AA237" s="33"/>
    </row>
    <row r="238">
      <c r="A238" s="7" t="s">
        <v>31</v>
      </c>
      <c r="B238" s="26">
        <v>22.0</v>
      </c>
      <c r="C238" s="83" t="s">
        <v>3466</v>
      </c>
      <c r="D238" s="33"/>
      <c r="E238" s="33" t="str">
        <f>IFERROR(__xludf.DUMMYFUNCTION("""COMPUTED_VALUE"""),"Школа 853")</f>
        <v>Школа 853</v>
      </c>
      <c r="F238" s="33"/>
      <c r="G238" s="33"/>
      <c r="H238" s="33"/>
      <c r="I238" s="33"/>
      <c r="J238" s="33"/>
      <c r="K238" s="33"/>
      <c r="L238" s="33"/>
      <c r="M238" s="33"/>
      <c r="N238" s="33"/>
      <c r="R238" s="33"/>
      <c r="U238" s="33"/>
      <c r="V238" s="33"/>
      <c r="W238" s="33"/>
      <c r="X238" s="33"/>
      <c r="Y238" s="33"/>
      <c r="Z238" s="33"/>
      <c r="AA238" s="33"/>
    </row>
    <row r="239">
      <c r="A239" s="7" t="s">
        <v>31</v>
      </c>
      <c r="B239" s="26">
        <v>23.0</v>
      </c>
      <c r="C239" s="83" t="s">
        <v>3437</v>
      </c>
      <c r="D239" s="33"/>
      <c r="E239" s="33" t="str">
        <f>IFERROR(__xludf.DUMMYFUNCTION("""COMPUTED_VALUE"""),"Школа 947")</f>
        <v>Школа 947</v>
      </c>
      <c r="F239" s="33"/>
      <c r="G239" s="33"/>
      <c r="H239" s="33"/>
      <c r="I239" s="33"/>
      <c r="J239" s="33"/>
      <c r="K239" s="33"/>
      <c r="L239" s="33"/>
      <c r="M239" s="33"/>
      <c r="N239" s="33"/>
      <c r="R239" s="33"/>
      <c r="U239" s="33"/>
      <c r="V239" s="33"/>
      <c r="W239" s="33"/>
      <c r="X239" s="33"/>
      <c r="Y239" s="33"/>
      <c r="Z239" s="33"/>
      <c r="AA239" s="33"/>
    </row>
    <row r="240">
      <c r="A240" s="7" t="s">
        <v>31</v>
      </c>
      <c r="B240" s="26">
        <v>24.0</v>
      </c>
      <c r="C240" s="83" t="s">
        <v>3537</v>
      </c>
      <c r="D240" s="33"/>
      <c r="E240" s="33" t="str">
        <f>IFERROR(__xludf.DUMMYFUNCTION("""COMPUTED_VALUE"""),"Школа 949")</f>
        <v>Школа 949</v>
      </c>
      <c r="F240" s="33"/>
      <c r="G240" s="33"/>
      <c r="H240" s="33"/>
      <c r="I240" s="33"/>
      <c r="J240" s="33"/>
      <c r="K240" s="33"/>
      <c r="L240" s="33"/>
      <c r="M240" s="33"/>
      <c r="N240" s="33"/>
      <c r="R240" s="33"/>
      <c r="U240" s="33"/>
      <c r="V240" s="33"/>
      <c r="W240" s="33"/>
      <c r="X240" s="33"/>
      <c r="Y240" s="33"/>
      <c r="Z240" s="33"/>
      <c r="AA240" s="33"/>
    </row>
    <row r="241">
      <c r="A241" s="7" t="s">
        <v>31</v>
      </c>
      <c r="B241" s="26">
        <v>25.0</v>
      </c>
      <c r="C241" s="83" t="s">
        <v>3502</v>
      </c>
      <c r="D241" s="33"/>
      <c r="E241" s="33" t="str">
        <f>IFERROR(__xludf.DUMMYFUNCTION("""COMPUTED_VALUE"""),"Школа 962")</f>
        <v>Школа 962</v>
      </c>
      <c r="F241" s="33"/>
      <c r="G241" s="33"/>
      <c r="H241" s="33"/>
      <c r="I241" s="33"/>
      <c r="J241" s="33"/>
      <c r="K241" s="33"/>
      <c r="L241" s="33"/>
      <c r="M241" s="33"/>
      <c r="N241" s="33"/>
      <c r="R241" s="33"/>
      <c r="U241" s="33"/>
      <c r="V241" s="33"/>
      <c r="W241" s="33"/>
      <c r="X241" s="33"/>
      <c r="Y241" s="33"/>
      <c r="Z241" s="33"/>
      <c r="AA241" s="33"/>
    </row>
    <row r="242">
      <c r="A242" s="7" t="s">
        <v>31</v>
      </c>
      <c r="B242" s="26">
        <v>26.0</v>
      </c>
      <c r="C242" s="83" t="s">
        <v>3747</v>
      </c>
      <c r="D242" s="33"/>
      <c r="E242" s="33" t="str">
        <f>IFERROR(__xludf.DUMMYFUNCTION("""COMPUTED_VALUE"""),"Школа 1000")</f>
        <v>Школа 1000</v>
      </c>
      <c r="F242" s="33"/>
      <c r="G242" s="33"/>
      <c r="H242" s="33"/>
      <c r="I242" s="33"/>
      <c r="J242" s="33"/>
      <c r="K242" s="33"/>
      <c r="L242" s="33"/>
      <c r="M242" s="33"/>
      <c r="N242" s="33"/>
      <c r="R242" s="33"/>
      <c r="U242" s="33"/>
      <c r="V242" s="33"/>
      <c r="W242" s="33"/>
      <c r="X242" s="33"/>
      <c r="Y242" s="33"/>
      <c r="Z242" s="33"/>
      <c r="AA242" s="33"/>
    </row>
    <row r="243">
      <c r="A243" s="7" t="s">
        <v>31</v>
      </c>
      <c r="B243" s="26">
        <v>27.0</v>
      </c>
      <c r="C243" s="83" t="s">
        <v>3809</v>
      </c>
      <c r="D243" s="33"/>
      <c r="E243" s="33" t="str">
        <f>IFERROR(__xludf.DUMMYFUNCTION("""COMPUTED_VALUE"""),"Школа 1155")</f>
        <v>Школа 1155</v>
      </c>
      <c r="F243" s="33"/>
      <c r="G243" s="33"/>
      <c r="H243" s="33"/>
      <c r="I243" s="33"/>
      <c r="J243" s="33"/>
      <c r="K243" s="33"/>
      <c r="L243" s="33"/>
      <c r="M243" s="33"/>
      <c r="N243" s="33"/>
      <c r="R243" s="33"/>
      <c r="U243" s="33"/>
      <c r="V243" s="33"/>
      <c r="W243" s="33"/>
      <c r="X243" s="33"/>
      <c r="Y243" s="33"/>
      <c r="Z243" s="33"/>
      <c r="AA243" s="33"/>
    </row>
    <row r="244">
      <c r="A244" s="7" t="s">
        <v>31</v>
      </c>
      <c r="B244" s="26">
        <v>28.0</v>
      </c>
      <c r="C244" s="83" t="s">
        <v>3623</v>
      </c>
      <c r="D244" s="33"/>
      <c r="E244" s="33" t="str">
        <f>IFERROR(__xludf.DUMMYFUNCTION("""COMPUTED_VALUE"""),"Школа 1158")</f>
        <v>Школа 1158</v>
      </c>
      <c r="F244" s="33"/>
      <c r="G244" s="33"/>
      <c r="H244" s="33"/>
      <c r="I244" s="33"/>
      <c r="J244" s="33"/>
      <c r="K244" s="33"/>
      <c r="L244" s="33"/>
      <c r="M244" s="33"/>
      <c r="N244" s="33"/>
      <c r="R244" s="33"/>
      <c r="U244" s="33"/>
      <c r="V244" s="33"/>
      <c r="W244" s="33"/>
      <c r="X244" s="33"/>
      <c r="Y244" s="33"/>
      <c r="Z244" s="33"/>
      <c r="AA244" s="33"/>
    </row>
    <row r="245">
      <c r="A245" s="7" t="s">
        <v>31</v>
      </c>
      <c r="B245" s="26">
        <v>29.0</v>
      </c>
      <c r="C245" s="83" t="s">
        <v>3624</v>
      </c>
      <c r="D245" s="33"/>
      <c r="E245" s="33" t="str">
        <f>IFERROR(__xludf.DUMMYFUNCTION("""COMPUTED_VALUE"""),"Школа 1194")</f>
        <v>Школа 1194</v>
      </c>
      <c r="F245" s="33"/>
      <c r="G245" s="33"/>
      <c r="H245" s="33"/>
      <c r="I245" s="33"/>
      <c r="J245" s="33"/>
      <c r="K245" s="33"/>
      <c r="L245" s="33"/>
      <c r="M245" s="33"/>
      <c r="N245" s="33"/>
      <c r="R245" s="33"/>
      <c r="U245" s="33"/>
      <c r="V245" s="33"/>
      <c r="W245" s="33"/>
      <c r="X245" s="33"/>
      <c r="Y245" s="33"/>
      <c r="Z245" s="33"/>
      <c r="AA245" s="33"/>
    </row>
    <row r="246">
      <c r="A246" s="7" t="s">
        <v>31</v>
      </c>
      <c r="B246" s="26">
        <v>30.0</v>
      </c>
      <c r="C246" s="83" t="s">
        <v>3345</v>
      </c>
      <c r="D246" s="33"/>
      <c r="E246" s="33" t="str">
        <f>IFERROR(__xludf.DUMMYFUNCTION("""COMPUTED_VALUE"""),"Школа 1195")</f>
        <v>Школа 1195</v>
      </c>
      <c r="F246" s="33"/>
      <c r="G246" s="33"/>
      <c r="H246" s="33"/>
      <c r="I246" s="33"/>
      <c r="J246" s="33"/>
      <c r="K246" s="33"/>
      <c r="L246" s="33"/>
      <c r="M246" s="33"/>
      <c r="N246" s="33"/>
      <c r="R246" s="33"/>
      <c r="U246" s="33"/>
      <c r="V246" s="33"/>
      <c r="W246" s="33"/>
      <c r="X246" s="33"/>
      <c r="Y246" s="33"/>
      <c r="Z246" s="33"/>
      <c r="AA246" s="33"/>
    </row>
    <row r="247">
      <c r="A247" s="7" t="s">
        <v>31</v>
      </c>
      <c r="B247" s="26">
        <v>31.0</v>
      </c>
      <c r="C247" s="83" t="s">
        <v>3387</v>
      </c>
      <c r="D247" s="33"/>
      <c r="E247" s="33" t="str">
        <f>IFERROR(__xludf.DUMMYFUNCTION("""COMPUTED_VALUE"""),"Школа 1238")</f>
        <v>Школа 1238</v>
      </c>
      <c r="F247" s="33"/>
      <c r="G247" s="33"/>
      <c r="H247" s="33"/>
      <c r="I247" s="33"/>
      <c r="J247" s="33"/>
      <c r="K247" s="33"/>
      <c r="L247" s="33"/>
      <c r="M247" s="33"/>
      <c r="N247" s="33"/>
      <c r="R247" s="33"/>
      <c r="U247" s="33"/>
      <c r="V247" s="33"/>
      <c r="W247" s="33"/>
      <c r="X247" s="33"/>
      <c r="Y247" s="33"/>
      <c r="Z247" s="33"/>
      <c r="AA247" s="33"/>
    </row>
    <row r="248">
      <c r="A248" s="7" t="s">
        <v>31</v>
      </c>
      <c r="B248" s="26">
        <v>32.0</v>
      </c>
      <c r="C248" s="83" t="s">
        <v>3346</v>
      </c>
      <c r="D248" s="33"/>
      <c r="E248" s="33" t="str">
        <f>IFERROR(__xludf.DUMMYFUNCTION("""COMPUTED_VALUE"""),"Школа 1273")</f>
        <v>Школа 1273</v>
      </c>
      <c r="F248" s="33"/>
      <c r="G248" s="33"/>
      <c r="H248" s="33"/>
      <c r="I248" s="33"/>
      <c r="J248" s="33"/>
      <c r="K248" s="33"/>
      <c r="L248" s="33"/>
      <c r="M248" s="33"/>
      <c r="N248" s="33"/>
      <c r="R248" s="33"/>
      <c r="U248" s="33"/>
      <c r="V248" s="33"/>
      <c r="W248" s="33"/>
      <c r="X248" s="33"/>
      <c r="Y248" s="33"/>
      <c r="Z248" s="33"/>
      <c r="AA248" s="33"/>
    </row>
    <row r="249">
      <c r="A249" s="7" t="s">
        <v>31</v>
      </c>
      <c r="B249" s="26">
        <v>33.0</v>
      </c>
      <c r="C249" s="83" t="s">
        <v>3541</v>
      </c>
      <c r="D249" s="33"/>
      <c r="E249" s="33" t="str">
        <f>IFERROR(__xludf.DUMMYFUNCTION("""COMPUTED_VALUE"""),"Школа 1287")</f>
        <v>Школа 1287</v>
      </c>
      <c r="F249" s="33"/>
      <c r="G249" s="33"/>
      <c r="H249" s="33"/>
      <c r="I249" s="33"/>
      <c r="J249" s="33"/>
      <c r="K249" s="33"/>
      <c r="L249" s="33"/>
      <c r="M249" s="33"/>
      <c r="N249" s="33"/>
      <c r="R249" s="33"/>
      <c r="U249" s="33"/>
      <c r="V249" s="33"/>
      <c r="W249" s="33"/>
      <c r="X249" s="33"/>
      <c r="Y249" s="33"/>
      <c r="Z249" s="33"/>
      <c r="AA249" s="33"/>
    </row>
    <row r="250">
      <c r="A250" s="7" t="s">
        <v>31</v>
      </c>
      <c r="B250" s="26">
        <v>34.0</v>
      </c>
      <c r="C250" s="83" t="s">
        <v>3394</v>
      </c>
      <c r="D250" s="33"/>
      <c r="E250" s="33" t="str">
        <f>IFERROR(__xludf.DUMMYFUNCTION("""COMPUTED_VALUE"""),"Школа 1298")</f>
        <v>Школа 1298</v>
      </c>
      <c r="F250" s="33"/>
      <c r="G250" s="33"/>
      <c r="H250" s="33"/>
      <c r="I250" s="33"/>
      <c r="J250" s="33"/>
      <c r="K250" s="33"/>
      <c r="L250" s="33"/>
      <c r="M250" s="33"/>
      <c r="N250" s="33"/>
      <c r="R250" s="33"/>
      <c r="U250" s="33"/>
      <c r="V250" s="33"/>
      <c r="W250" s="33"/>
      <c r="X250" s="33"/>
      <c r="Y250" s="33"/>
      <c r="Z250" s="33"/>
      <c r="AA250" s="33"/>
    </row>
    <row r="251">
      <c r="A251" s="7" t="s">
        <v>31</v>
      </c>
      <c r="B251" s="26">
        <v>35.0</v>
      </c>
      <c r="C251" s="83" t="s">
        <v>3751</v>
      </c>
      <c r="D251" s="33"/>
      <c r="E251" s="33" t="str">
        <f>IFERROR(__xludf.DUMMYFUNCTION("""COMPUTED_VALUE"""),"Школа 1317")</f>
        <v>Школа 1317</v>
      </c>
      <c r="F251" s="33"/>
      <c r="G251" s="33"/>
      <c r="H251" s="33"/>
      <c r="I251" s="33"/>
      <c r="J251" s="33"/>
      <c r="K251" s="33"/>
      <c r="L251" s="33"/>
      <c r="M251" s="33"/>
      <c r="N251" s="33"/>
      <c r="R251" s="33"/>
      <c r="U251" s="33"/>
      <c r="V251" s="33"/>
      <c r="W251" s="33"/>
      <c r="X251" s="33"/>
      <c r="Y251" s="33"/>
      <c r="Z251" s="33"/>
      <c r="AA251" s="33"/>
    </row>
    <row r="252">
      <c r="A252" s="7" t="s">
        <v>31</v>
      </c>
      <c r="B252" s="26">
        <v>36.0</v>
      </c>
      <c r="C252" s="83" t="s">
        <v>3626</v>
      </c>
      <c r="D252" s="33"/>
      <c r="E252" s="33" t="str">
        <f>IFERROR(__xludf.DUMMYFUNCTION("""COMPUTED_VALUE"""),"Школа 1329")</f>
        <v>Школа 1329</v>
      </c>
      <c r="F252" s="33"/>
      <c r="G252" s="33"/>
      <c r="H252" s="33"/>
      <c r="I252" s="33"/>
      <c r="J252" s="33"/>
      <c r="K252" s="33"/>
      <c r="L252" s="33"/>
      <c r="M252" s="33"/>
      <c r="N252" s="33"/>
      <c r="R252" s="33"/>
      <c r="U252" s="33"/>
      <c r="V252" s="33"/>
      <c r="W252" s="33"/>
      <c r="X252" s="33"/>
      <c r="Y252" s="33"/>
      <c r="Z252" s="33"/>
      <c r="AA252" s="33"/>
    </row>
    <row r="253">
      <c r="A253" s="7" t="s">
        <v>31</v>
      </c>
      <c r="B253" s="26">
        <v>37.0</v>
      </c>
      <c r="C253" s="83" t="s">
        <v>3397</v>
      </c>
      <c r="D253" s="33"/>
      <c r="E253" s="33" t="str">
        <f>IFERROR(__xludf.DUMMYFUNCTION("""COMPUTED_VALUE"""),"Школа 1347")</f>
        <v>Школа 1347</v>
      </c>
      <c r="F253" s="33"/>
      <c r="G253" s="33"/>
      <c r="H253" s="33"/>
      <c r="I253" s="33"/>
      <c r="J253" s="33"/>
      <c r="K253" s="33"/>
      <c r="L253" s="33"/>
      <c r="M253" s="33"/>
      <c r="N253" s="33"/>
      <c r="R253" s="33"/>
      <c r="U253" s="33"/>
      <c r="V253" s="33"/>
      <c r="W253" s="33"/>
      <c r="X253" s="33"/>
      <c r="Y253" s="33"/>
      <c r="Z253" s="33"/>
      <c r="AA253" s="33"/>
    </row>
    <row r="254">
      <c r="A254" s="7" t="s">
        <v>31</v>
      </c>
      <c r="B254" s="26">
        <v>38.0</v>
      </c>
      <c r="C254" s="83" t="s">
        <v>3398</v>
      </c>
      <c r="D254" s="33"/>
      <c r="E254" s="33" t="str">
        <f>IFERROR(__xludf.DUMMYFUNCTION("""COMPUTED_VALUE"""),"Школа 1353")</f>
        <v>Школа 1353</v>
      </c>
      <c r="F254" s="33"/>
      <c r="G254" s="33"/>
      <c r="H254" s="33"/>
      <c r="I254" s="33"/>
      <c r="J254" s="33"/>
      <c r="K254" s="33"/>
      <c r="L254" s="33"/>
      <c r="M254" s="33"/>
      <c r="N254" s="33"/>
      <c r="R254" s="33"/>
      <c r="U254" s="33"/>
      <c r="V254" s="33"/>
      <c r="W254" s="33"/>
      <c r="X254" s="33"/>
      <c r="Y254" s="33"/>
      <c r="Z254" s="33"/>
      <c r="AA254" s="33"/>
    </row>
    <row r="255">
      <c r="A255" s="7" t="s">
        <v>31</v>
      </c>
      <c r="B255" s="26">
        <v>39.0</v>
      </c>
      <c r="C255" s="83" t="s">
        <v>3347</v>
      </c>
      <c r="D255" s="33"/>
      <c r="E255" s="33" t="str">
        <f>IFERROR(__xludf.DUMMYFUNCTION("""COMPUTED_VALUE"""),"Школа 1355")</f>
        <v>Школа 1355</v>
      </c>
      <c r="F255" s="33"/>
      <c r="G255" s="33"/>
      <c r="H255" s="33"/>
      <c r="I255" s="33"/>
      <c r="J255" s="33"/>
      <c r="K255" s="33"/>
      <c r="L255" s="33"/>
      <c r="M255" s="33"/>
      <c r="N255" s="33"/>
      <c r="R255" s="33"/>
      <c r="U255" s="33"/>
      <c r="V255" s="33"/>
      <c r="W255" s="33"/>
      <c r="X255" s="33"/>
      <c r="Y255" s="33"/>
      <c r="Z255" s="33"/>
      <c r="AA255" s="33"/>
    </row>
    <row r="256">
      <c r="A256" s="7" t="s">
        <v>31</v>
      </c>
      <c r="B256" s="26">
        <v>40.0</v>
      </c>
      <c r="C256" s="83" t="s">
        <v>3603</v>
      </c>
      <c r="D256" s="33"/>
      <c r="E256" s="33" t="str">
        <f>IFERROR(__xludf.DUMMYFUNCTION("""COMPUTED_VALUE"""),"Школа 1357")</f>
        <v>Школа 1357</v>
      </c>
      <c r="F256" s="33"/>
      <c r="G256" s="33"/>
      <c r="H256" s="33"/>
      <c r="I256" s="33"/>
      <c r="J256" s="33"/>
      <c r="K256" s="33"/>
      <c r="L256" s="33"/>
      <c r="M256" s="33"/>
      <c r="N256" s="33"/>
      <c r="R256" s="33"/>
      <c r="U256" s="33"/>
      <c r="V256" s="33"/>
      <c r="W256" s="33"/>
      <c r="X256" s="33"/>
      <c r="Y256" s="33"/>
      <c r="Z256" s="33"/>
      <c r="AA256" s="33"/>
    </row>
    <row r="257">
      <c r="A257" s="7" t="s">
        <v>31</v>
      </c>
      <c r="B257" s="26">
        <v>41.0</v>
      </c>
      <c r="C257" s="83" t="s">
        <v>3752</v>
      </c>
      <c r="D257" s="33"/>
      <c r="E257" s="33" t="str">
        <f>IFERROR(__xludf.DUMMYFUNCTION("""COMPUTED_VALUE"""),"Школа 1358")</f>
        <v>Школа 1358</v>
      </c>
      <c r="F257" s="33"/>
      <c r="G257" s="33"/>
      <c r="H257" s="33"/>
      <c r="I257" s="33"/>
      <c r="J257" s="33"/>
      <c r="K257" s="33"/>
      <c r="L257" s="33"/>
      <c r="M257" s="33"/>
      <c r="N257" s="33"/>
      <c r="R257" s="33"/>
      <c r="U257" s="33"/>
      <c r="V257" s="33"/>
      <c r="W257" s="33"/>
      <c r="X257" s="33"/>
      <c r="Y257" s="33"/>
      <c r="Z257" s="33"/>
      <c r="AA257" s="33"/>
    </row>
    <row r="258">
      <c r="A258" s="7" t="s">
        <v>31</v>
      </c>
      <c r="B258" s="26">
        <v>42.0</v>
      </c>
      <c r="C258" s="83" t="s">
        <v>3628</v>
      </c>
      <c r="D258" s="33"/>
      <c r="E258" s="33" t="str">
        <f>IFERROR(__xludf.DUMMYFUNCTION("""COMPUTED_VALUE"""),"Школа 1363")</f>
        <v>Школа 1363</v>
      </c>
      <c r="F258" s="33"/>
      <c r="G258" s="33"/>
      <c r="H258" s="33"/>
      <c r="I258" s="33"/>
      <c r="J258" s="33"/>
      <c r="K258" s="33"/>
      <c r="L258" s="33"/>
      <c r="M258" s="33"/>
      <c r="N258" s="33"/>
      <c r="R258" s="33"/>
      <c r="U258" s="33"/>
      <c r="V258" s="33"/>
      <c r="W258" s="33"/>
      <c r="X258" s="33"/>
      <c r="Y258" s="33"/>
      <c r="Z258" s="33"/>
      <c r="AA258" s="33"/>
    </row>
    <row r="259">
      <c r="A259" s="7" t="s">
        <v>31</v>
      </c>
      <c r="B259" s="26">
        <v>43.0</v>
      </c>
      <c r="C259" s="83" t="s">
        <v>3629</v>
      </c>
      <c r="D259" s="33"/>
      <c r="E259" s="33" t="str">
        <f>IFERROR(__xludf.DUMMYFUNCTION("""COMPUTED_VALUE"""),"Школа 1367")</f>
        <v>Школа 1367</v>
      </c>
      <c r="F259" s="33"/>
      <c r="G259" s="33"/>
      <c r="H259" s="33"/>
      <c r="I259" s="33"/>
      <c r="J259" s="33"/>
      <c r="K259" s="33"/>
      <c r="L259" s="33"/>
      <c r="M259" s="33"/>
      <c r="N259" s="33"/>
      <c r="R259" s="33"/>
      <c r="U259" s="33"/>
      <c r="V259" s="33"/>
      <c r="W259" s="33"/>
      <c r="X259" s="33"/>
      <c r="Y259" s="33"/>
      <c r="Z259" s="33"/>
      <c r="AA259" s="33"/>
    </row>
    <row r="260">
      <c r="A260" s="7" t="s">
        <v>31</v>
      </c>
      <c r="B260" s="26">
        <v>44.0</v>
      </c>
      <c r="C260" s="83" t="s">
        <v>3630</v>
      </c>
      <c r="D260" s="33"/>
      <c r="E260" s="33" t="str">
        <f>IFERROR(__xludf.DUMMYFUNCTION("""COMPUTED_VALUE"""),"Школа 1375")</f>
        <v>Школа 1375</v>
      </c>
      <c r="F260" s="33"/>
      <c r="G260" s="33"/>
      <c r="H260" s="33"/>
      <c r="I260" s="33"/>
      <c r="J260" s="33"/>
      <c r="K260" s="33"/>
      <c r="L260" s="33"/>
      <c r="M260" s="33"/>
      <c r="N260" s="33"/>
      <c r="R260" s="33"/>
      <c r="U260" s="33"/>
      <c r="V260" s="33"/>
      <c r="W260" s="33"/>
      <c r="X260" s="33"/>
      <c r="Y260" s="33"/>
      <c r="Z260" s="33"/>
      <c r="AA260" s="33"/>
    </row>
    <row r="261">
      <c r="A261" s="7" t="s">
        <v>31</v>
      </c>
      <c r="B261" s="26">
        <v>45.0</v>
      </c>
      <c r="C261" s="83" t="s">
        <v>3810</v>
      </c>
      <c r="D261" s="33"/>
      <c r="E261" s="33" t="str">
        <f>IFERROR(__xludf.DUMMYFUNCTION("""COMPUTED_VALUE"""),"Школа 1381")</f>
        <v>Школа 1381</v>
      </c>
      <c r="F261" s="33"/>
      <c r="G261" s="33"/>
      <c r="H261" s="33"/>
      <c r="I261" s="33"/>
      <c r="J261" s="33"/>
      <c r="K261" s="33"/>
      <c r="L261" s="33"/>
      <c r="M261" s="33"/>
      <c r="N261" s="33"/>
      <c r="R261" s="33"/>
      <c r="U261" s="33"/>
      <c r="V261" s="33"/>
      <c r="W261" s="33"/>
      <c r="X261" s="33"/>
      <c r="Y261" s="33"/>
      <c r="Z261" s="33"/>
      <c r="AA261" s="33"/>
    </row>
    <row r="262">
      <c r="A262" s="7" t="s">
        <v>31</v>
      </c>
      <c r="B262" s="26">
        <v>46.0</v>
      </c>
      <c r="C262" s="83" t="s">
        <v>3753</v>
      </c>
      <c r="D262" s="33"/>
      <c r="E262" s="33" t="str">
        <f>IFERROR(__xludf.DUMMYFUNCTION("""COMPUTED_VALUE"""),"Школа 1384")</f>
        <v>Школа 1384</v>
      </c>
      <c r="F262" s="33"/>
      <c r="G262" s="33"/>
      <c r="H262" s="33"/>
      <c r="I262" s="33"/>
      <c r="J262" s="33"/>
      <c r="K262" s="33"/>
      <c r="L262" s="33"/>
      <c r="M262" s="33"/>
      <c r="N262" s="33"/>
      <c r="R262" s="33"/>
      <c r="U262" s="33"/>
      <c r="V262" s="33"/>
      <c r="W262" s="33"/>
      <c r="X262" s="33"/>
      <c r="Y262" s="33"/>
      <c r="Z262" s="33"/>
      <c r="AA262" s="33"/>
    </row>
    <row r="263">
      <c r="A263" s="7" t="s">
        <v>31</v>
      </c>
      <c r="B263" s="26">
        <v>47.0</v>
      </c>
      <c r="C263" s="83" t="s">
        <v>3441</v>
      </c>
      <c r="D263" s="33"/>
      <c r="E263" s="33" t="str">
        <f>IFERROR(__xludf.DUMMYFUNCTION("""COMPUTED_VALUE"""),"Школа 1387")</f>
        <v>Школа 1387</v>
      </c>
      <c r="F263" s="33"/>
      <c r="G263" s="33"/>
      <c r="H263" s="33"/>
      <c r="I263" s="33"/>
      <c r="J263" s="33"/>
      <c r="K263" s="33"/>
      <c r="L263" s="33"/>
      <c r="M263" s="33"/>
      <c r="N263" s="33"/>
      <c r="R263" s="33"/>
      <c r="U263" s="33"/>
      <c r="V263" s="33"/>
      <c r="W263" s="33"/>
      <c r="X263" s="33"/>
      <c r="Y263" s="33"/>
      <c r="Z263" s="33"/>
      <c r="AA263" s="33"/>
    </row>
    <row r="264">
      <c r="A264" s="7" t="s">
        <v>31</v>
      </c>
      <c r="B264" s="26">
        <v>48.0</v>
      </c>
      <c r="C264" s="83" t="s">
        <v>3631</v>
      </c>
      <c r="D264" s="33"/>
      <c r="E264" s="33" t="str">
        <f>IFERROR(__xludf.DUMMYFUNCTION("""COMPUTED_VALUE"""),"Школа 1409")</f>
        <v>Школа 1409</v>
      </c>
      <c r="F264" s="33"/>
      <c r="G264" s="33"/>
      <c r="H264" s="33"/>
      <c r="I264" s="33"/>
      <c r="J264" s="33"/>
      <c r="K264" s="33"/>
      <c r="L264" s="33"/>
      <c r="M264" s="33"/>
      <c r="N264" s="33"/>
      <c r="R264" s="33"/>
      <c r="U264" s="33"/>
      <c r="V264" s="33"/>
      <c r="W264" s="33"/>
      <c r="X264" s="33"/>
      <c r="Y264" s="33"/>
      <c r="Z264" s="33"/>
      <c r="AA264" s="33"/>
    </row>
    <row r="265">
      <c r="A265" s="7" t="s">
        <v>31</v>
      </c>
      <c r="B265" s="26">
        <v>49.0</v>
      </c>
      <c r="C265" s="83" t="s">
        <v>3754</v>
      </c>
      <c r="D265" s="33"/>
      <c r="E265" s="33" t="str">
        <f>IFERROR(__xludf.DUMMYFUNCTION("""COMPUTED_VALUE"""),"Школа 1448")</f>
        <v>Школа 1448</v>
      </c>
      <c r="F265" s="33"/>
      <c r="G265" s="33"/>
      <c r="H265" s="33"/>
      <c r="I265" s="33"/>
      <c r="J265" s="33"/>
      <c r="K265" s="33"/>
      <c r="L265" s="33"/>
      <c r="M265" s="33"/>
      <c r="N265" s="33"/>
      <c r="R265" s="33"/>
      <c r="U265" s="33"/>
      <c r="V265" s="33"/>
      <c r="W265" s="33"/>
      <c r="X265" s="33"/>
      <c r="Y265" s="33"/>
      <c r="Z265" s="33"/>
      <c r="AA265" s="33"/>
    </row>
    <row r="266">
      <c r="A266" s="7" t="s">
        <v>31</v>
      </c>
      <c r="B266" s="26">
        <v>50.0</v>
      </c>
      <c r="C266" s="83" t="s">
        <v>3443</v>
      </c>
      <c r="D266" s="33"/>
      <c r="E266" s="33" t="str">
        <f>IFERROR(__xludf.DUMMYFUNCTION("""COMPUTED_VALUE"""),"Школа 1449")</f>
        <v>Школа 1449</v>
      </c>
      <c r="F266" s="33"/>
      <c r="G266" s="33"/>
      <c r="H266" s="33"/>
      <c r="I266" s="33"/>
      <c r="J266" s="33"/>
      <c r="K266" s="33"/>
      <c r="L266" s="33"/>
      <c r="M266" s="33"/>
      <c r="N266" s="33"/>
      <c r="R266" s="33"/>
      <c r="U266" s="33"/>
      <c r="V266" s="33"/>
      <c r="W266" s="33"/>
      <c r="X266" s="33"/>
      <c r="Y266" s="33"/>
      <c r="Z266" s="33"/>
      <c r="AA266" s="33"/>
    </row>
    <row r="267">
      <c r="A267" s="7" t="s">
        <v>31</v>
      </c>
      <c r="B267" s="26">
        <v>51.0</v>
      </c>
      <c r="C267" s="83" t="s">
        <v>3476</v>
      </c>
      <c r="D267" s="33"/>
      <c r="E267" s="33" t="str">
        <f>IFERROR(__xludf.DUMMYFUNCTION("""COMPUTED_VALUE"""),"Школа 1454")</f>
        <v>Школа 1454</v>
      </c>
      <c r="F267" s="33"/>
      <c r="G267" s="33"/>
      <c r="H267" s="33"/>
      <c r="I267" s="33"/>
      <c r="J267" s="33"/>
      <c r="K267" s="33"/>
      <c r="L267" s="33"/>
      <c r="M267" s="33"/>
      <c r="N267" s="33"/>
      <c r="R267" s="33"/>
      <c r="U267" s="33"/>
      <c r="V267" s="33"/>
      <c r="W267" s="33"/>
      <c r="X267" s="33"/>
      <c r="Y267" s="33"/>
      <c r="Z267" s="33"/>
      <c r="AA267" s="33"/>
    </row>
    <row r="268">
      <c r="A268" s="7" t="s">
        <v>31</v>
      </c>
      <c r="B268" s="26">
        <v>52.0</v>
      </c>
      <c r="C268" s="83" t="s">
        <v>3635</v>
      </c>
      <c r="D268" s="33"/>
      <c r="E268" s="33" t="str">
        <f>IFERROR(__xludf.DUMMYFUNCTION("""COMPUTED_VALUE"""),"Школа 1474")</f>
        <v>Школа 1474</v>
      </c>
      <c r="F268" s="33"/>
      <c r="G268" s="33"/>
      <c r="H268" s="33"/>
      <c r="I268" s="33"/>
      <c r="J268" s="33"/>
      <c r="K268" s="33"/>
      <c r="L268" s="33"/>
      <c r="M268" s="33"/>
      <c r="N268" s="33"/>
      <c r="R268" s="33"/>
      <c r="U268" s="33"/>
      <c r="V268" s="33"/>
      <c r="W268" s="33"/>
      <c r="X268" s="33"/>
      <c r="Y268" s="33"/>
      <c r="Z268" s="33"/>
      <c r="AA268" s="33"/>
    </row>
    <row r="269">
      <c r="A269" s="7" t="s">
        <v>31</v>
      </c>
      <c r="B269" s="26">
        <v>53.0</v>
      </c>
      <c r="C269" s="83" t="s">
        <v>3636</v>
      </c>
      <c r="D269" s="33"/>
      <c r="E269" s="33" t="str">
        <f>IFERROR(__xludf.DUMMYFUNCTION("""COMPUTED_VALUE"""),"Школа 1501")</f>
        <v>Школа 1501</v>
      </c>
      <c r="F269" s="33"/>
      <c r="G269" s="33"/>
      <c r="H269" s="33"/>
      <c r="I269" s="33"/>
      <c r="J269" s="33"/>
      <c r="K269" s="33"/>
      <c r="L269" s="33"/>
      <c r="M269" s="33"/>
      <c r="N269" s="33"/>
      <c r="R269" s="33"/>
      <c r="U269" s="33"/>
      <c r="V269" s="33"/>
      <c r="W269" s="33"/>
      <c r="X269" s="33"/>
      <c r="Y269" s="33"/>
      <c r="Z269" s="33"/>
      <c r="AA269" s="33"/>
    </row>
    <row r="270">
      <c r="A270" s="7" t="s">
        <v>31</v>
      </c>
      <c r="B270" s="26">
        <v>54.0</v>
      </c>
      <c r="C270" s="83" t="s">
        <v>3637</v>
      </c>
      <c r="D270" s="33"/>
      <c r="E270" s="33" t="str">
        <f>IFERROR(__xludf.DUMMYFUNCTION("""COMPUTED_VALUE"""),"Школа 1502")</f>
        <v>Школа 1502</v>
      </c>
      <c r="F270" s="33"/>
      <c r="G270" s="33"/>
      <c r="H270" s="33"/>
      <c r="I270" s="33"/>
      <c r="J270" s="33"/>
      <c r="K270" s="33"/>
      <c r="L270" s="33"/>
      <c r="M270" s="33"/>
      <c r="N270" s="33"/>
      <c r="R270" s="33"/>
      <c r="U270" s="33"/>
      <c r="V270" s="33"/>
      <c r="W270" s="33"/>
      <c r="X270" s="33"/>
      <c r="Y270" s="33"/>
      <c r="Z270" s="33"/>
      <c r="AA270" s="33"/>
    </row>
    <row r="271">
      <c r="A271" s="7" t="s">
        <v>31</v>
      </c>
      <c r="B271" s="26">
        <v>55.0</v>
      </c>
      <c r="C271" s="83" t="s">
        <v>3756</v>
      </c>
      <c r="D271" s="33"/>
      <c r="E271" s="33" t="str">
        <f>IFERROR(__xludf.DUMMYFUNCTION("""COMPUTED_VALUE"""),"Школа 1503")</f>
        <v>Школа 1503</v>
      </c>
      <c r="F271" s="33"/>
      <c r="G271" s="33"/>
      <c r="H271" s="33"/>
      <c r="I271" s="33"/>
      <c r="J271" s="33"/>
      <c r="K271" s="33"/>
      <c r="L271" s="33"/>
      <c r="M271" s="33"/>
      <c r="N271" s="33"/>
      <c r="R271" s="33"/>
      <c r="U271" s="33"/>
      <c r="V271" s="33"/>
      <c r="W271" s="33"/>
      <c r="X271" s="33"/>
      <c r="Y271" s="33"/>
      <c r="Z271" s="33"/>
      <c r="AA271" s="33"/>
    </row>
    <row r="272">
      <c r="A272" s="7" t="s">
        <v>31</v>
      </c>
      <c r="B272" s="26">
        <v>56.0</v>
      </c>
      <c r="C272" s="83" t="s">
        <v>3757</v>
      </c>
      <c r="D272" s="33"/>
      <c r="E272" s="33" t="str">
        <f>IFERROR(__xludf.DUMMYFUNCTION("""COMPUTED_VALUE"""),"Школа 1504")</f>
        <v>Школа 1504</v>
      </c>
      <c r="F272" s="33"/>
      <c r="G272" s="33"/>
      <c r="H272" s="33"/>
      <c r="I272" s="33"/>
      <c r="J272" s="33"/>
      <c r="K272" s="33"/>
      <c r="L272" s="33"/>
      <c r="M272" s="33"/>
      <c r="N272" s="33"/>
      <c r="R272" s="33"/>
      <c r="U272" s="33"/>
      <c r="V272" s="33"/>
      <c r="W272" s="33"/>
      <c r="X272" s="33"/>
      <c r="Y272" s="33"/>
      <c r="Z272" s="33"/>
      <c r="AA272" s="33"/>
    </row>
    <row r="273">
      <c r="A273" s="7" t="s">
        <v>31</v>
      </c>
      <c r="B273" s="26">
        <v>57.0</v>
      </c>
      <c r="C273" s="83" t="s">
        <v>3323</v>
      </c>
      <c r="D273" s="33"/>
      <c r="E273" s="33" t="str">
        <f>IFERROR(__xludf.DUMMYFUNCTION("""COMPUTED_VALUE"""),"Школа 1505")</f>
        <v>Школа 1505</v>
      </c>
      <c r="F273" s="33"/>
      <c r="G273" s="33"/>
      <c r="H273" s="33"/>
      <c r="I273" s="33"/>
      <c r="J273" s="33"/>
      <c r="K273" s="33"/>
      <c r="L273" s="33"/>
      <c r="M273" s="33"/>
      <c r="N273" s="33"/>
      <c r="R273" s="33"/>
      <c r="U273" s="33"/>
      <c r="V273" s="33"/>
      <c r="W273" s="33"/>
      <c r="X273" s="33"/>
      <c r="Y273" s="33"/>
      <c r="Z273" s="33"/>
      <c r="AA273" s="33"/>
    </row>
    <row r="274">
      <c r="A274" s="7" t="s">
        <v>31</v>
      </c>
      <c r="B274" s="26">
        <v>58.0</v>
      </c>
      <c r="C274" s="83" t="s">
        <v>3405</v>
      </c>
      <c r="D274" s="33"/>
      <c r="E274" s="33" t="str">
        <f>IFERROR(__xludf.DUMMYFUNCTION("""COMPUTED_VALUE"""),"Школа 1508")</f>
        <v>Школа 1508</v>
      </c>
      <c r="F274" s="33"/>
      <c r="G274" s="33"/>
      <c r="H274" s="33"/>
      <c r="I274" s="33"/>
      <c r="J274" s="33"/>
      <c r="K274" s="33"/>
      <c r="L274" s="33"/>
      <c r="M274" s="33"/>
      <c r="N274" s="33"/>
      <c r="R274" s="33"/>
      <c r="U274" s="33"/>
      <c r="V274" s="33"/>
      <c r="W274" s="33"/>
      <c r="X274" s="33"/>
      <c r="Y274" s="33"/>
      <c r="Z274" s="33"/>
      <c r="AA274" s="33"/>
    </row>
    <row r="275">
      <c r="A275" s="7" t="s">
        <v>31</v>
      </c>
      <c r="B275" s="26">
        <v>59.0</v>
      </c>
      <c r="C275" s="83" t="s">
        <v>3640</v>
      </c>
      <c r="D275" s="33"/>
      <c r="E275" s="33" t="str">
        <f>IFERROR(__xludf.DUMMYFUNCTION("""COMPUTED_VALUE"""),"Школа 1517")</f>
        <v>Школа 1517</v>
      </c>
      <c r="F275" s="33"/>
      <c r="G275" s="33"/>
      <c r="H275" s="33"/>
      <c r="I275" s="33"/>
      <c r="J275" s="33"/>
      <c r="K275" s="33"/>
      <c r="L275" s="33"/>
      <c r="M275" s="33"/>
      <c r="N275" s="33"/>
      <c r="R275" s="33"/>
      <c r="U275" s="33"/>
      <c r="V275" s="33"/>
      <c r="W275" s="33"/>
      <c r="X275" s="33"/>
      <c r="Y275" s="33"/>
      <c r="Z275" s="33"/>
      <c r="AA275" s="33"/>
    </row>
    <row r="276">
      <c r="A276" s="7" t="s">
        <v>31</v>
      </c>
      <c r="B276" s="26">
        <v>60.0</v>
      </c>
      <c r="C276" s="83" t="s">
        <v>3758</v>
      </c>
      <c r="D276" s="33"/>
      <c r="E276" s="33" t="str">
        <f>IFERROR(__xludf.DUMMYFUNCTION("""COMPUTED_VALUE"""),"Школа 1518")</f>
        <v>Школа 1518</v>
      </c>
      <c r="F276" s="33"/>
      <c r="G276" s="33"/>
      <c r="H276" s="33"/>
      <c r="I276" s="33"/>
      <c r="J276" s="33"/>
      <c r="K276" s="33"/>
      <c r="L276" s="33"/>
      <c r="M276" s="33"/>
      <c r="N276" s="33"/>
      <c r="R276" s="33"/>
      <c r="U276" s="33"/>
      <c r="V276" s="33"/>
      <c r="W276" s="33"/>
      <c r="X276" s="33"/>
      <c r="Y276" s="33"/>
      <c r="Z276" s="33"/>
      <c r="AA276" s="33"/>
    </row>
    <row r="277">
      <c r="A277" s="7" t="s">
        <v>31</v>
      </c>
      <c r="B277" s="26">
        <v>61.0</v>
      </c>
      <c r="C277" s="83" t="s">
        <v>3705</v>
      </c>
      <c r="D277" s="33"/>
      <c r="E277" s="33" t="str">
        <f>IFERROR(__xludf.DUMMYFUNCTION("""COMPUTED_VALUE"""),"Школа 1532")</f>
        <v>Школа 1532</v>
      </c>
      <c r="F277" s="33"/>
      <c r="G277" s="33"/>
      <c r="H277" s="33"/>
      <c r="I277" s="33"/>
      <c r="J277" s="33"/>
      <c r="K277" s="33"/>
      <c r="L277" s="33"/>
      <c r="M277" s="33"/>
      <c r="N277" s="33"/>
      <c r="R277" s="33"/>
      <c r="U277" s="33"/>
      <c r="V277" s="33"/>
      <c r="W277" s="33"/>
      <c r="X277" s="33"/>
      <c r="Y277" s="33"/>
      <c r="Z277" s="33"/>
      <c r="AA277" s="33"/>
    </row>
    <row r="278">
      <c r="A278" s="7" t="s">
        <v>31</v>
      </c>
      <c r="B278" s="26">
        <v>62.0</v>
      </c>
      <c r="C278" s="83" t="s">
        <v>3512</v>
      </c>
      <c r="D278" s="33"/>
      <c r="E278" s="33" t="str">
        <f>IFERROR(__xludf.DUMMYFUNCTION("""COMPUTED_VALUE"""),"Школа 1533")</f>
        <v>Школа 1533</v>
      </c>
      <c r="F278" s="33"/>
      <c r="G278" s="33"/>
      <c r="H278" s="33"/>
      <c r="I278" s="33"/>
      <c r="J278" s="33"/>
      <c r="K278" s="33"/>
      <c r="L278" s="33"/>
      <c r="M278" s="33"/>
      <c r="N278" s="33"/>
      <c r="R278" s="33"/>
      <c r="U278" s="33"/>
      <c r="V278" s="33"/>
      <c r="W278" s="33"/>
      <c r="X278" s="33"/>
      <c r="Y278" s="33"/>
      <c r="Z278" s="33"/>
      <c r="AA278" s="33"/>
    </row>
    <row r="279">
      <c r="A279" s="7" t="s">
        <v>31</v>
      </c>
      <c r="B279" s="26">
        <v>63.0</v>
      </c>
      <c r="C279" s="83" t="s">
        <v>3643</v>
      </c>
      <c r="D279" s="33"/>
      <c r="E279" s="33" t="str">
        <f>IFERROR(__xludf.DUMMYFUNCTION("""COMPUTED_VALUE"""),"Школа 1534")</f>
        <v>Школа 1534</v>
      </c>
      <c r="F279" s="33"/>
      <c r="G279" s="33"/>
      <c r="H279" s="33"/>
      <c r="I279" s="33"/>
      <c r="J279" s="33"/>
      <c r="K279" s="33"/>
      <c r="L279" s="33"/>
      <c r="M279" s="33"/>
      <c r="N279" s="33"/>
      <c r="R279" s="33"/>
      <c r="U279" s="33"/>
      <c r="V279" s="33"/>
      <c r="W279" s="33"/>
      <c r="X279" s="33"/>
      <c r="Y279" s="33"/>
      <c r="Z279" s="33"/>
      <c r="AA279" s="33"/>
    </row>
    <row r="280">
      <c r="A280" s="7" t="s">
        <v>31</v>
      </c>
      <c r="B280" s="26">
        <v>64.0</v>
      </c>
      <c r="C280" s="83" t="s">
        <v>3644</v>
      </c>
      <c r="D280" s="33"/>
      <c r="E280" s="33" t="str">
        <f>IFERROR(__xludf.DUMMYFUNCTION("""COMPUTED_VALUE"""),"Школа 1535")</f>
        <v>Школа 1535</v>
      </c>
      <c r="F280" s="33"/>
      <c r="G280" s="33"/>
      <c r="H280" s="33"/>
      <c r="I280" s="33"/>
      <c r="J280" s="33"/>
      <c r="K280" s="33"/>
      <c r="L280" s="33"/>
      <c r="M280" s="33"/>
      <c r="N280" s="33"/>
      <c r="R280" s="33"/>
      <c r="U280" s="33"/>
      <c r="V280" s="33"/>
      <c r="W280" s="33"/>
      <c r="X280" s="33"/>
      <c r="Y280" s="33"/>
      <c r="Z280" s="33"/>
      <c r="AA280" s="33"/>
    </row>
    <row r="281">
      <c r="A281" s="7" t="s">
        <v>31</v>
      </c>
      <c r="B281" s="26">
        <v>65.0</v>
      </c>
      <c r="C281" s="83" t="s">
        <v>3706</v>
      </c>
      <c r="D281" s="33"/>
      <c r="E281" s="33" t="str">
        <f>IFERROR(__xludf.DUMMYFUNCTION("""COMPUTED_VALUE"""),"Школа 1537")</f>
        <v>Школа 1537</v>
      </c>
      <c r="F281" s="33"/>
      <c r="G281" s="33"/>
      <c r="H281" s="33"/>
      <c r="I281" s="33"/>
      <c r="J281" s="33"/>
      <c r="K281" s="33"/>
      <c r="L281" s="33"/>
      <c r="M281" s="33"/>
      <c r="N281" s="33"/>
      <c r="R281" s="33"/>
      <c r="U281" s="33"/>
      <c r="V281" s="33"/>
      <c r="W281" s="33"/>
      <c r="X281" s="33"/>
      <c r="Y281" s="33"/>
      <c r="Z281" s="33"/>
      <c r="AA281" s="33"/>
    </row>
    <row r="282">
      <c r="A282" s="7" t="s">
        <v>31</v>
      </c>
      <c r="B282" s="26">
        <v>66.0</v>
      </c>
      <c r="C282" s="83" t="s">
        <v>3446</v>
      </c>
      <c r="D282" s="33"/>
      <c r="E282" s="33" t="str">
        <f>IFERROR(__xludf.DUMMYFUNCTION("""COMPUTED_VALUE"""),"Школа 1539")</f>
        <v>Школа 1539</v>
      </c>
      <c r="F282" s="33"/>
      <c r="G282" s="33"/>
      <c r="H282" s="33"/>
      <c r="I282" s="33"/>
      <c r="J282" s="33"/>
      <c r="K282" s="33"/>
      <c r="L282" s="33"/>
      <c r="M282" s="33"/>
      <c r="N282" s="33"/>
      <c r="R282" s="33"/>
      <c r="U282" s="33"/>
      <c r="V282" s="33"/>
      <c r="W282" s="33"/>
      <c r="X282" s="33"/>
      <c r="Y282" s="33"/>
      <c r="Z282" s="33"/>
      <c r="AA282" s="33"/>
    </row>
    <row r="283">
      <c r="A283" s="7" t="s">
        <v>31</v>
      </c>
      <c r="B283" s="26">
        <v>67.0</v>
      </c>
      <c r="C283" s="83" t="s">
        <v>3811</v>
      </c>
      <c r="D283" s="33"/>
      <c r="E283" s="33" t="str">
        <f>IFERROR(__xludf.DUMMYFUNCTION("""COMPUTED_VALUE"""),"Школа 1540")</f>
        <v>Школа 1540</v>
      </c>
      <c r="F283" s="33"/>
      <c r="G283" s="33"/>
      <c r="H283" s="33"/>
      <c r="I283" s="33"/>
      <c r="J283" s="33"/>
      <c r="K283" s="33"/>
      <c r="L283" s="33"/>
      <c r="M283" s="33"/>
      <c r="N283" s="33"/>
      <c r="R283" s="33"/>
      <c r="U283" s="33"/>
      <c r="V283" s="33"/>
      <c r="W283" s="33"/>
      <c r="X283" s="33"/>
      <c r="Y283" s="33"/>
      <c r="Z283" s="33"/>
      <c r="AA283" s="33"/>
    </row>
    <row r="284">
      <c r="A284" s="7" t="s">
        <v>31</v>
      </c>
      <c r="B284" s="26">
        <v>68.0</v>
      </c>
      <c r="C284" s="83" t="s">
        <v>3479</v>
      </c>
      <c r="D284" s="33"/>
      <c r="E284" s="33" t="str">
        <f>IFERROR(__xludf.DUMMYFUNCTION("""COMPUTED_VALUE"""),"Школа 1544")</f>
        <v>Школа 1544</v>
      </c>
      <c r="F284" s="33"/>
      <c r="G284" s="33"/>
      <c r="H284" s="33"/>
      <c r="I284" s="33"/>
      <c r="J284" s="33"/>
      <c r="K284" s="33"/>
      <c r="L284" s="33"/>
      <c r="M284" s="33"/>
      <c r="N284" s="33"/>
      <c r="R284" s="33"/>
      <c r="U284" s="33"/>
      <c r="V284" s="33"/>
      <c r="W284" s="33"/>
      <c r="X284" s="33"/>
      <c r="Y284" s="33"/>
      <c r="Z284" s="33"/>
      <c r="AA284" s="33"/>
    </row>
    <row r="285">
      <c r="A285" s="7" t="s">
        <v>31</v>
      </c>
      <c r="B285" s="26">
        <v>69.0</v>
      </c>
      <c r="C285" s="83" t="s">
        <v>3707</v>
      </c>
      <c r="D285" s="33"/>
      <c r="E285" s="33" t="str">
        <f>IFERROR(__xludf.DUMMYFUNCTION("""COMPUTED_VALUE"""),"Школа 1547")</f>
        <v>Школа 1547</v>
      </c>
      <c r="F285" s="33"/>
      <c r="G285" s="33"/>
      <c r="H285" s="33"/>
      <c r="I285" s="33"/>
      <c r="J285" s="33"/>
      <c r="K285" s="33"/>
      <c r="L285" s="33"/>
      <c r="M285" s="33"/>
      <c r="N285" s="33"/>
      <c r="R285" s="33"/>
      <c r="U285" s="33"/>
      <c r="V285" s="33"/>
      <c r="W285" s="33"/>
      <c r="X285" s="33"/>
      <c r="Y285" s="33"/>
      <c r="Z285" s="33"/>
      <c r="AA285" s="33"/>
    </row>
    <row r="286">
      <c r="A286" s="7" t="s">
        <v>31</v>
      </c>
      <c r="B286" s="26">
        <v>70.0</v>
      </c>
      <c r="C286" s="83" t="s">
        <v>3759</v>
      </c>
      <c r="D286" s="33"/>
      <c r="E286" s="33" t="str">
        <f>IFERROR(__xludf.DUMMYFUNCTION("""COMPUTED_VALUE"""),"Школа 1554")</f>
        <v>Школа 1554</v>
      </c>
      <c r="F286" s="33"/>
      <c r="G286" s="33"/>
      <c r="H286" s="33"/>
      <c r="I286" s="33"/>
      <c r="J286" s="33"/>
      <c r="K286" s="33"/>
      <c r="L286" s="33"/>
      <c r="M286" s="33"/>
      <c r="N286" s="33"/>
      <c r="R286" s="33"/>
      <c r="U286" s="33"/>
      <c r="V286" s="33"/>
      <c r="W286" s="33"/>
      <c r="X286" s="33"/>
      <c r="Y286" s="33"/>
      <c r="Z286" s="33"/>
      <c r="AA286" s="33"/>
    </row>
    <row r="287">
      <c r="A287" s="7" t="s">
        <v>31</v>
      </c>
      <c r="B287" s="26">
        <v>71.0</v>
      </c>
      <c r="C287" s="83" t="s">
        <v>3647</v>
      </c>
      <c r="D287" s="33"/>
      <c r="E287" s="33" t="str">
        <f>IFERROR(__xludf.DUMMYFUNCTION("""COMPUTED_VALUE"""),"Школа 1557")</f>
        <v>Школа 1557</v>
      </c>
      <c r="F287" s="33"/>
      <c r="G287" s="33"/>
      <c r="H287" s="33"/>
      <c r="I287" s="33"/>
      <c r="J287" s="33"/>
      <c r="K287" s="33"/>
      <c r="L287" s="33"/>
      <c r="M287" s="33"/>
      <c r="N287" s="33"/>
      <c r="R287" s="33"/>
      <c r="U287" s="33"/>
      <c r="V287" s="33"/>
      <c r="W287" s="33"/>
      <c r="X287" s="33"/>
      <c r="Y287" s="33"/>
      <c r="Z287" s="33"/>
      <c r="AA287" s="33"/>
    </row>
    <row r="288">
      <c r="A288" s="7" t="s">
        <v>31</v>
      </c>
      <c r="B288" s="26">
        <v>72.0</v>
      </c>
      <c r="C288" s="83" t="s">
        <v>3648</v>
      </c>
      <c r="D288" s="33"/>
      <c r="E288" s="33" t="str">
        <f>IFERROR(__xludf.DUMMYFUNCTION("""COMPUTED_VALUE"""),"Школа 1560")</f>
        <v>Школа 1560</v>
      </c>
      <c r="F288" s="33"/>
      <c r="G288" s="33"/>
      <c r="H288" s="33"/>
      <c r="I288" s="33"/>
      <c r="J288" s="33"/>
      <c r="K288" s="33"/>
      <c r="L288" s="33"/>
      <c r="M288" s="33"/>
      <c r="N288" s="33"/>
      <c r="R288" s="33"/>
      <c r="U288" s="33"/>
      <c r="V288" s="33"/>
      <c r="W288" s="33"/>
      <c r="X288" s="33"/>
      <c r="Y288" s="33"/>
      <c r="Z288" s="33"/>
      <c r="AA288" s="33"/>
    </row>
    <row r="289">
      <c r="A289" s="7" t="s">
        <v>31</v>
      </c>
      <c r="B289" s="26">
        <v>73.0</v>
      </c>
      <c r="C289" s="83" t="s">
        <v>3649</v>
      </c>
      <c r="D289" s="33"/>
      <c r="E289" s="33" t="str">
        <f>IFERROR(__xludf.DUMMYFUNCTION("""COMPUTED_VALUE"""),"Школа 1561")</f>
        <v>Школа 1561</v>
      </c>
      <c r="F289" s="33"/>
      <c r="G289" s="33"/>
      <c r="H289" s="33"/>
      <c r="I289" s="33"/>
      <c r="J289" s="33"/>
      <c r="K289" s="33"/>
      <c r="L289" s="33"/>
      <c r="M289" s="33"/>
      <c r="N289" s="33"/>
      <c r="R289" s="33"/>
      <c r="U289" s="33"/>
      <c r="V289" s="33"/>
      <c r="W289" s="33"/>
      <c r="X289" s="33"/>
      <c r="Y289" s="33"/>
      <c r="Z289" s="33"/>
      <c r="AA289" s="33"/>
    </row>
    <row r="290">
      <c r="A290" s="7" t="s">
        <v>31</v>
      </c>
      <c r="B290" s="26">
        <v>74.0</v>
      </c>
      <c r="C290" s="83" t="s">
        <v>3514</v>
      </c>
      <c r="D290" s="33"/>
      <c r="E290" s="33" t="str">
        <f>IFERROR(__xludf.DUMMYFUNCTION("""COMPUTED_VALUE"""),"Школа 1564")</f>
        <v>Школа 1564</v>
      </c>
      <c r="F290" s="33"/>
      <c r="G290" s="33"/>
      <c r="H290" s="33"/>
      <c r="I290" s="33"/>
      <c r="J290" s="33"/>
      <c r="K290" s="33"/>
      <c r="L290" s="33"/>
      <c r="M290" s="33"/>
      <c r="N290" s="33"/>
      <c r="R290" s="33"/>
      <c r="U290" s="33"/>
      <c r="V290" s="33"/>
      <c r="W290" s="33"/>
      <c r="X290" s="33"/>
      <c r="Y290" s="33"/>
      <c r="Z290" s="33"/>
      <c r="AA290" s="33"/>
    </row>
    <row r="291">
      <c r="A291" s="7" t="s">
        <v>31</v>
      </c>
      <c r="B291" s="26">
        <v>75.0</v>
      </c>
      <c r="C291" s="83" t="s">
        <v>3351</v>
      </c>
      <c r="D291" s="33"/>
      <c r="E291" s="33" t="str">
        <f>IFERROR(__xludf.DUMMYFUNCTION("""COMPUTED_VALUE"""),"Школа 1566")</f>
        <v>Школа 1566</v>
      </c>
      <c r="F291" s="33"/>
      <c r="G291" s="33"/>
      <c r="H291" s="33"/>
      <c r="I291" s="33"/>
      <c r="J291" s="33"/>
      <c r="K291" s="33"/>
      <c r="L291" s="33"/>
      <c r="M291" s="33"/>
      <c r="N291" s="33"/>
      <c r="R291" s="33"/>
      <c r="U291" s="33"/>
      <c r="V291" s="33"/>
      <c r="W291" s="33"/>
      <c r="X291" s="33"/>
      <c r="Y291" s="33"/>
      <c r="Z291" s="33"/>
      <c r="AA291" s="33"/>
    </row>
    <row r="292">
      <c r="A292" s="7" t="s">
        <v>31</v>
      </c>
      <c r="B292" s="26">
        <v>76.0</v>
      </c>
      <c r="C292" s="83" t="s">
        <v>3710</v>
      </c>
      <c r="D292" s="33"/>
      <c r="E292" s="33" t="str">
        <f>IFERROR(__xludf.DUMMYFUNCTION("""COMPUTED_VALUE"""),"Школа 1568")</f>
        <v>Школа 1568</v>
      </c>
      <c r="F292" s="33"/>
      <c r="G292" s="33"/>
      <c r="H292" s="33"/>
      <c r="I292" s="33"/>
      <c r="J292" s="33"/>
      <c r="K292" s="33"/>
      <c r="L292" s="33"/>
      <c r="M292" s="33"/>
      <c r="N292" s="33"/>
      <c r="R292" s="33"/>
      <c r="U292" s="33"/>
      <c r="V292" s="33"/>
      <c r="W292" s="33"/>
      <c r="X292" s="33"/>
      <c r="Y292" s="33"/>
      <c r="Z292" s="33"/>
      <c r="AA292" s="33"/>
    </row>
    <row r="293">
      <c r="A293" s="7" t="s">
        <v>31</v>
      </c>
      <c r="B293" s="26">
        <v>77.0</v>
      </c>
      <c r="C293" s="83" t="s">
        <v>3650</v>
      </c>
      <c r="D293" s="33"/>
      <c r="E293" s="33" t="str">
        <f>IFERROR(__xludf.DUMMYFUNCTION("""COMPUTED_VALUE"""),"Школа 1571")</f>
        <v>Школа 1571</v>
      </c>
      <c r="F293" s="33"/>
      <c r="G293" s="33"/>
      <c r="H293" s="33"/>
      <c r="I293" s="33"/>
      <c r="J293" s="33"/>
      <c r="K293" s="33"/>
      <c r="L293" s="33"/>
      <c r="M293" s="33"/>
      <c r="N293" s="33"/>
      <c r="R293" s="33"/>
      <c r="U293" s="33"/>
      <c r="V293" s="33"/>
      <c r="W293" s="33"/>
      <c r="X293" s="33"/>
      <c r="Y293" s="33"/>
      <c r="Z293" s="33"/>
      <c r="AA293" s="33"/>
    </row>
    <row r="294">
      <c r="A294" s="7" t="s">
        <v>31</v>
      </c>
      <c r="B294" s="26">
        <v>78.0</v>
      </c>
      <c r="C294" s="83" t="s">
        <v>3515</v>
      </c>
      <c r="D294" s="33"/>
      <c r="E294" s="33" t="str">
        <f>IFERROR(__xludf.DUMMYFUNCTION("""COMPUTED_VALUE"""),"Школа 1573")</f>
        <v>Школа 1573</v>
      </c>
      <c r="F294" s="33"/>
      <c r="G294" s="33"/>
      <c r="H294" s="33"/>
      <c r="I294" s="33"/>
      <c r="J294" s="33"/>
      <c r="K294" s="33"/>
      <c r="L294" s="33"/>
      <c r="M294" s="33"/>
      <c r="N294" s="33"/>
      <c r="R294" s="33"/>
      <c r="U294" s="33"/>
      <c r="V294" s="33"/>
      <c r="W294" s="33"/>
      <c r="X294" s="33"/>
      <c r="Y294" s="33"/>
      <c r="Z294" s="33"/>
      <c r="AA294" s="33"/>
    </row>
    <row r="295">
      <c r="A295" s="7" t="s">
        <v>31</v>
      </c>
      <c r="B295" s="26">
        <v>79.0</v>
      </c>
      <c r="C295" s="83" t="s">
        <v>3711</v>
      </c>
      <c r="D295" s="33"/>
      <c r="E295" s="33" t="str">
        <f>IFERROR(__xludf.DUMMYFUNCTION("""COMPUTED_VALUE"""),"Школа 1575")</f>
        <v>Школа 1575</v>
      </c>
      <c r="F295" s="33"/>
      <c r="G295" s="33"/>
      <c r="H295" s="33"/>
      <c r="I295" s="33"/>
      <c r="J295" s="33"/>
      <c r="K295" s="33"/>
      <c r="L295" s="33"/>
      <c r="M295" s="33"/>
      <c r="N295" s="33"/>
      <c r="R295" s="33"/>
      <c r="U295" s="33"/>
      <c r="V295" s="33"/>
      <c r="W295" s="33"/>
      <c r="X295" s="33"/>
      <c r="Y295" s="33"/>
      <c r="Z295" s="33"/>
      <c r="AA295" s="33"/>
    </row>
    <row r="296">
      <c r="A296" s="7" t="s">
        <v>31</v>
      </c>
      <c r="B296" s="26">
        <v>80.0</v>
      </c>
      <c r="C296" s="83" t="s">
        <v>3712</v>
      </c>
      <c r="D296" s="33"/>
      <c r="E296" s="33" t="str">
        <f>IFERROR(__xludf.DUMMYFUNCTION("""COMPUTED_VALUE"""),"Школа 1576")</f>
        <v>Школа 1576</v>
      </c>
      <c r="F296" s="33"/>
      <c r="G296" s="33"/>
      <c r="H296" s="33"/>
      <c r="I296" s="33"/>
      <c r="J296" s="33"/>
      <c r="K296" s="33"/>
      <c r="L296" s="33"/>
      <c r="M296" s="33"/>
      <c r="N296" s="33"/>
      <c r="R296" s="33"/>
      <c r="U296" s="33"/>
      <c r="V296" s="33"/>
      <c r="W296" s="33"/>
      <c r="X296" s="33"/>
      <c r="Y296" s="33"/>
      <c r="Z296" s="33"/>
      <c r="AA296" s="33"/>
    </row>
    <row r="297">
      <c r="A297" s="7" t="s">
        <v>31</v>
      </c>
      <c r="B297" s="26">
        <v>81.0</v>
      </c>
      <c r="C297" s="83" t="s">
        <v>3518</v>
      </c>
      <c r="D297" s="33"/>
      <c r="E297" s="33" t="str">
        <f>IFERROR(__xludf.DUMMYFUNCTION("""COMPUTED_VALUE"""),"Школа 1579")</f>
        <v>Школа 1579</v>
      </c>
      <c r="F297" s="33"/>
      <c r="G297" s="33"/>
      <c r="H297" s="33"/>
      <c r="I297" s="33"/>
      <c r="J297" s="33"/>
      <c r="K297" s="33"/>
      <c r="L297" s="33"/>
      <c r="M297" s="33"/>
      <c r="N297" s="33"/>
      <c r="R297" s="33"/>
      <c r="U297" s="33"/>
      <c r="V297" s="33"/>
      <c r="W297" s="33"/>
      <c r="X297" s="33"/>
      <c r="Y297" s="33"/>
      <c r="Z297" s="33"/>
      <c r="AA297" s="33"/>
    </row>
    <row r="298">
      <c r="A298" s="7" t="s">
        <v>31</v>
      </c>
      <c r="B298" s="26">
        <v>82.0</v>
      </c>
      <c r="C298" s="83" t="s">
        <v>3713</v>
      </c>
      <c r="D298" s="33"/>
      <c r="E298" s="33" t="str">
        <f>IFERROR(__xludf.DUMMYFUNCTION("""COMPUTED_VALUE"""),"Школа 1580")</f>
        <v>Школа 1580</v>
      </c>
      <c r="F298" s="33"/>
      <c r="G298" s="33"/>
      <c r="H298" s="33"/>
      <c r="I298" s="33"/>
      <c r="J298" s="33"/>
      <c r="K298" s="33"/>
      <c r="L298" s="33"/>
      <c r="M298" s="33"/>
      <c r="N298" s="33"/>
      <c r="R298" s="33"/>
      <c r="U298" s="33"/>
      <c r="V298" s="33"/>
      <c r="W298" s="33"/>
      <c r="X298" s="33"/>
      <c r="Y298" s="33"/>
      <c r="Z298" s="33"/>
      <c r="AA298" s="33"/>
    </row>
    <row r="299">
      <c r="A299" s="7" t="s">
        <v>31</v>
      </c>
      <c r="B299" s="26">
        <v>83.0</v>
      </c>
      <c r="C299" s="83" t="s">
        <v>3714</v>
      </c>
      <c r="D299" s="33"/>
      <c r="E299" s="33" t="str">
        <f>IFERROR(__xludf.DUMMYFUNCTION("""COMPUTED_VALUE"""),"Школа 1581")</f>
        <v>Школа 1581</v>
      </c>
      <c r="F299" s="33"/>
      <c r="G299" s="33"/>
      <c r="H299" s="33"/>
      <c r="I299" s="33"/>
      <c r="J299" s="33"/>
      <c r="K299" s="33"/>
      <c r="L299" s="33"/>
      <c r="M299" s="33"/>
      <c r="N299" s="33"/>
      <c r="R299" s="33"/>
      <c r="U299" s="33"/>
      <c r="V299" s="33"/>
      <c r="W299" s="33"/>
      <c r="X299" s="33"/>
      <c r="Y299" s="33"/>
      <c r="Z299" s="33"/>
      <c r="AA299" s="33"/>
    </row>
    <row r="300">
      <c r="A300" s="7" t="s">
        <v>31</v>
      </c>
      <c r="B300" s="26">
        <v>84.0</v>
      </c>
      <c r="C300" s="83" t="s">
        <v>3412</v>
      </c>
      <c r="D300" s="33"/>
      <c r="E300" s="33" t="str">
        <f>IFERROR(__xludf.DUMMYFUNCTION("""COMPUTED_VALUE"""),"Школа 1582")</f>
        <v>Школа 1582</v>
      </c>
      <c r="F300" s="33"/>
      <c r="G300" s="33"/>
      <c r="H300" s="33"/>
      <c r="I300" s="33"/>
      <c r="J300" s="33"/>
      <c r="K300" s="33"/>
      <c r="L300" s="33"/>
      <c r="M300" s="33"/>
      <c r="N300" s="33"/>
      <c r="R300" s="33"/>
      <c r="U300" s="33"/>
      <c r="V300" s="33"/>
      <c r="W300" s="33"/>
      <c r="X300" s="33"/>
      <c r="Y300" s="33"/>
      <c r="Z300" s="33"/>
      <c r="AA300" s="33"/>
    </row>
    <row r="301">
      <c r="A301" s="7" t="s">
        <v>31</v>
      </c>
      <c r="B301" s="26">
        <v>85.0</v>
      </c>
      <c r="C301" s="83" t="s">
        <v>3652</v>
      </c>
      <c r="D301" s="33"/>
      <c r="E301" s="33" t="str">
        <f>IFERROR(__xludf.DUMMYFUNCTION("""COMPUTED_VALUE"""),"Школа 1584")</f>
        <v>Школа 1584</v>
      </c>
      <c r="F301" s="33"/>
      <c r="G301" s="33"/>
      <c r="H301" s="33"/>
      <c r="I301" s="33"/>
      <c r="J301" s="33"/>
      <c r="K301" s="33"/>
      <c r="L301" s="33"/>
      <c r="M301" s="33"/>
      <c r="N301" s="33"/>
      <c r="R301" s="33"/>
      <c r="U301" s="33"/>
      <c r="V301" s="33"/>
      <c r="W301" s="33"/>
      <c r="X301" s="33"/>
      <c r="Y301" s="33"/>
      <c r="Z301" s="33"/>
      <c r="AA301" s="33"/>
    </row>
    <row r="302">
      <c r="A302" s="7" t="s">
        <v>31</v>
      </c>
      <c r="B302" s="26">
        <v>86.0</v>
      </c>
      <c r="C302" s="83" t="s">
        <v>3812</v>
      </c>
      <c r="D302" s="33"/>
      <c r="E302" s="33" t="str">
        <f>IFERROR(__xludf.DUMMYFUNCTION("""COMPUTED_VALUE"""),"Школа 1598")</f>
        <v>Школа 1598</v>
      </c>
      <c r="F302" s="33"/>
      <c r="G302" s="33"/>
      <c r="H302" s="33"/>
      <c r="I302" s="33"/>
      <c r="J302" s="33"/>
      <c r="K302" s="33"/>
      <c r="L302" s="33"/>
      <c r="M302" s="33"/>
      <c r="N302" s="33"/>
      <c r="R302" s="33"/>
      <c r="U302" s="33"/>
      <c r="V302" s="33"/>
      <c r="W302" s="33"/>
      <c r="X302" s="33"/>
      <c r="Y302" s="33"/>
      <c r="Z302" s="33"/>
      <c r="AA302" s="33"/>
    </row>
    <row r="303">
      <c r="A303" s="7" t="s">
        <v>31</v>
      </c>
      <c r="B303" s="26">
        <v>87.0</v>
      </c>
      <c r="C303" s="83" t="s">
        <v>3653</v>
      </c>
      <c r="D303" s="33"/>
      <c r="E303" s="33" t="str">
        <f>IFERROR(__xludf.DUMMYFUNCTION("""COMPUTED_VALUE"""),"Школа 1636")</f>
        <v>Школа 1636</v>
      </c>
      <c r="F303" s="33"/>
      <c r="G303" s="33"/>
      <c r="H303" s="33"/>
      <c r="I303" s="33"/>
      <c r="J303" s="33"/>
      <c r="K303" s="33"/>
      <c r="L303" s="33"/>
      <c r="M303" s="33"/>
      <c r="N303" s="33"/>
      <c r="R303" s="33"/>
      <c r="U303" s="33"/>
      <c r="V303" s="33"/>
      <c r="W303" s="33"/>
      <c r="X303" s="33"/>
      <c r="Y303" s="33"/>
      <c r="Z303" s="33"/>
      <c r="AA303" s="33"/>
    </row>
    <row r="304">
      <c r="A304" s="7" t="s">
        <v>31</v>
      </c>
      <c r="B304" s="26">
        <v>88.0</v>
      </c>
      <c r="C304" s="83" t="s">
        <v>3813</v>
      </c>
      <c r="D304" s="33"/>
      <c r="E304" s="33" t="str">
        <f>IFERROR(__xludf.DUMMYFUNCTION("""COMPUTED_VALUE"""),"Школа 1694")</f>
        <v>Школа 1694</v>
      </c>
      <c r="F304" s="33"/>
      <c r="G304" s="33"/>
      <c r="H304" s="33"/>
      <c r="I304" s="33"/>
      <c r="J304" s="33"/>
      <c r="K304" s="33"/>
      <c r="L304" s="33"/>
      <c r="M304" s="33"/>
      <c r="N304" s="33"/>
      <c r="R304" s="33"/>
      <c r="U304" s="33"/>
      <c r="V304" s="33"/>
      <c r="W304" s="33"/>
      <c r="X304" s="33"/>
      <c r="Y304" s="33"/>
      <c r="Z304" s="33"/>
      <c r="AA304" s="33"/>
    </row>
    <row r="305">
      <c r="A305" s="7" t="s">
        <v>31</v>
      </c>
      <c r="B305" s="26">
        <v>89.0</v>
      </c>
      <c r="C305" s="83" t="s">
        <v>3334</v>
      </c>
      <c r="D305" s="33"/>
      <c r="E305" s="33" t="str">
        <f>IFERROR(__xludf.DUMMYFUNCTION("""COMPUTED_VALUE"""),"Школа 1788")</f>
        <v>Школа 1788</v>
      </c>
      <c r="F305" s="33"/>
      <c r="G305" s="33"/>
      <c r="H305" s="33"/>
      <c r="I305" s="33"/>
      <c r="J305" s="33"/>
      <c r="K305" s="33"/>
      <c r="L305" s="33"/>
      <c r="M305" s="33"/>
      <c r="N305" s="33"/>
      <c r="R305" s="33"/>
      <c r="U305" s="33"/>
      <c r="V305" s="33"/>
      <c r="W305" s="33"/>
      <c r="X305" s="33"/>
      <c r="Y305" s="33"/>
      <c r="Z305" s="33"/>
      <c r="AA305" s="33"/>
    </row>
    <row r="306">
      <c r="A306" s="7" t="s">
        <v>31</v>
      </c>
      <c r="B306" s="26">
        <v>90.0</v>
      </c>
      <c r="C306" s="83" t="s">
        <v>3656</v>
      </c>
      <c r="D306" s="33"/>
      <c r="E306" s="33" t="str">
        <f>IFERROR(__xludf.DUMMYFUNCTION("""COMPUTED_VALUE"""),"Школа 1799")</f>
        <v>Школа 1799</v>
      </c>
      <c r="F306" s="33"/>
      <c r="G306" s="33"/>
      <c r="H306" s="33"/>
      <c r="I306" s="33"/>
      <c r="J306" s="33"/>
      <c r="K306" s="33"/>
      <c r="L306" s="33"/>
      <c r="M306" s="33"/>
      <c r="N306" s="33"/>
      <c r="R306" s="33"/>
      <c r="U306" s="33"/>
      <c r="V306" s="33"/>
      <c r="W306" s="33"/>
      <c r="X306" s="33"/>
      <c r="Y306" s="33"/>
      <c r="Z306" s="33"/>
      <c r="AA306" s="33"/>
    </row>
    <row r="307">
      <c r="A307" s="7" t="s">
        <v>31</v>
      </c>
      <c r="B307" s="26">
        <v>91.0</v>
      </c>
      <c r="C307" s="83" t="s">
        <v>3415</v>
      </c>
      <c r="D307" s="33"/>
      <c r="E307" s="33" t="str">
        <f>IFERROR(__xludf.DUMMYFUNCTION("""COMPUTED_VALUE"""),"Школа 1861")</f>
        <v>Школа 1861</v>
      </c>
      <c r="F307" s="33"/>
      <c r="G307" s="33"/>
      <c r="H307" s="33"/>
      <c r="I307" s="33"/>
      <c r="J307" s="33"/>
      <c r="K307" s="33"/>
      <c r="L307" s="33"/>
      <c r="M307" s="33"/>
      <c r="N307" s="33"/>
      <c r="R307" s="33"/>
      <c r="U307" s="33"/>
      <c r="V307" s="33"/>
      <c r="W307" s="33"/>
      <c r="X307" s="33"/>
      <c r="Y307" s="33"/>
      <c r="Z307" s="33"/>
      <c r="AA307" s="33"/>
    </row>
    <row r="308">
      <c r="A308" s="7" t="s">
        <v>31</v>
      </c>
      <c r="B308" s="26">
        <v>92.0</v>
      </c>
      <c r="C308" s="83" t="s">
        <v>3450</v>
      </c>
      <c r="D308" s="33"/>
      <c r="E308" s="33" t="str">
        <f>IFERROR(__xludf.DUMMYFUNCTION("""COMPUTED_VALUE"""),"Школа 1862")</f>
        <v>Школа 1862</v>
      </c>
      <c r="F308" s="33"/>
      <c r="G308" s="33"/>
      <c r="H308" s="33"/>
      <c r="I308" s="33"/>
      <c r="J308" s="33"/>
      <c r="K308" s="33"/>
      <c r="L308" s="33"/>
      <c r="M308" s="33"/>
      <c r="N308" s="33"/>
      <c r="R308" s="33"/>
      <c r="U308" s="33"/>
      <c r="V308" s="33"/>
      <c r="W308" s="33"/>
      <c r="X308" s="33"/>
      <c r="Y308" s="33"/>
      <c r="Z308" s="33"/>
      <c r="AA308" s="33"/>
    </row>
    <row r="309">
      <c r="A309" s="7" t="s">
        <v>31</v>
      </c>
      <c r="B309" s="26">
        <v>93.0</v>
      </c>
      <c r="C309" s="83" t="s">
        <v>3659</v>
      </c>
      <c r="D309" s="33"/>
      <c r="E309" s="33" t="str">
        <f>IFERROR(__xludf.DUMMYFUNCTION("""COMPUTED_VALUE"""),"Школа 2005")</f>
        <v>Школа 2005</v>
      </c>
      <c r="F309" s="33"/>
      <c r="G309" s="33"/>
      <c r="H309" s="33"/>
      <c r="I309" s="33"/>
      <c r="J309" s="33"/>
      <c r="K309" s="33"/>
      <c r="L309" s="33"/>
      <c r="M309" s="33"/>
      <c r="N309" s="33"/>
      <c r="R309" s="33"/>
      <c r="U309" s="33"/>
      <c r="V309" s="33"/>
      <c r="W309" s="33"/>
      <c r="X309" s="33"/>
      <c r="Y309" s="33"/>
      <c r="Z309" s="33"/>
      <c r="AA309" s="33"/>
    </row>
    <row r="310">
      <c r="A310" s="7" t="s">
        <v>31</v>
      </c>
      <c r="B310" s="26">
        <v>94.0</v>
      </c>
      <c r="C310" s="83" t="s">
        <v>3421</v>
      </c>
      <c r="D310" s="33"/>
      <c r="E310" s="33" t="str">
        <f>IFERROR(__xludf.DUMMYFUNCTION("""COMPUTED_VALUE"""),"Школа 2006")</f>
        <v>Школа 2006</v>
      </c>
      <c r="F310" s="33"/>
      <c r="G310" s="33"/>
      <c r="H310" s="33"/>
      <c r="I310" s="33"/>
      <c r="J310" s="33"/>
      <c r="K310" s="33"/>
      <c r="L310" s="33"/>
      <c r="M310" s="33"/>
      <c r="N310" s="33"/>
      <c r="R310" s="33"/>
      <c r="U310" s="33"/>
      <c r="V310" s="33"/>
      <c r="W310" s="33"/>
      <c r="X310" s="33"/>
      <c r="Y310" s="33"/>
      <c r="Z310" s="33"/>
      <c r="AA310" s="33"/>
    </row>
    <row r="311">
      <c r="A311" s="7" t="s">
        <v>31</v>
      </c>
      <c r="B311" s="26">
        <v>95.0</v>
      </c>
      <c r="C311" s="83" t="s">
        <v>3610</v>
      </c>
      <c r="D311" s="33"/>
      <c r="E311" s="33" t="str">
        <f>IFERROR(__xludf.DUMMYFUNCTION("""COMPUTED_VALUE"""),"Школа 2009")</f>
        <v>Школа 2009</v>
      </c>
      <c r="F311" s="33"/>
      <c r="G311" s="33"/>
      <c r="H311" s="33"/>
      <c r="I311" s="33"/>
      <c r="J311" s="33"/>
      <c r="K311" s="33"/>
      <c r="L311" s="33"/>
      <c r="M311" s="33"/>
      <c r="N311" s="33"/>
      <c r="R311" s="33"/>
      <c r="U311" s="33"/>
      <c r="V311" s="33"/>
      <c r="W311" s="33"/>
      <c r="X311" s="33"/>
      <c r="Y311" s="33"/>
      <c r="Z311" s="33"/>
      <c r="AA311" s="33"/>
    </row>
    <row r="312">
      <c r="A312" s="7" t="s">
        <v>31</v>
      </c>
      <c r="B312" s="26">
        <v>96.0</v>
      </c>
      <c r="C312" s="83" t="s">
        <v>3661</v>
      </c>
      <c r="D312" s="33"/>
      <c r="E312" s="33" t="str">
        <f>IFERROR(__xludf.DUMMYFUNCTION("""COMPUTED_VALUE"""),"Школа 2036")</f>
        <v>Школа 2036</v>
      </c>
      <c r="F312" s="33"/>
      <c r="G312" s="33"/>
      <c r="H312" s="33"/>
      <c r="I312" s="33"/>
      <c r="J312" s="33"/>
      <c r="K312" s="33"/>
      <c r="L312" s="33"/>
      <c r="M312" s="33"/>
      <c r="N312" s="33"/>
      <c r="R312" s="33"/>
      <c r="U312" s="33"/>
      <c r="V312" s="33"/>
      <c r="W312" s="33"/>
      <c r="X312" s="33"/>
      <c r="Y312" s="33"/>
      <c r="Z312" s="33"/>
      <c r="AA312" s="33"/>
    </row>
    <row r="313">
      <c r="A313" s="7" t="s">
        <v>31</v>
      </c>
      <c r="B313" s="26">
        <v>97.0</v>
      </c>
      <c r="C313" s="83" t="s">
        <v>3358</v>
      </c>
      <c r="D313" s="33"/>
      <c r="E313" s="33" t="str">
        <f>IFERROR(__xludf.DUMMYFUNCTION("""COMPUTED_VALUE"""),"Школа 2045")</f>
        <v>Школа 2045</v>
      </c>
      <c r="F313" s="33"/>
      <c r="G313" s="33"/>
      <c r="H313" s="33"/>
      <c r="I313" s="33"/>
      <c r="J313" s="33"/>
      <c r="K313" s="33"/>
      <c r="L313" s="33"/>
      <c r="M313" s="33"/>
      <c r="N313" s="33"/>
      <c r="R313" s="33"/>
      <c r="U313" s="33"/>
      <c r="V313" s="33"/>
      <c r="W313" s="33"/>
      <c r="X313" s="33"/>
      <c r="Y313" s="33"/>
      <c r="Z313" s="33"/>
      <c r="AA313" s="33"/>
    </row>
    <row r="314">
      <c r="A314" s="7" t="s">
        <v>31</v>
      </c>
      <c r="B314" s="26">
        <v>98.0</v>
      </c>
      <c r="C314" s="83" t="s">
        <v>3727</v>
      </c>
      <c r="D314" s="33"/>
      <c r="E314" s="33" t="str">
        <f>IFERROR(__xludf.DUMMYFUNCTION("""COMPUTED_VALUE"""),"Школа 2065")</f>
        <v>Школа 2065</v>
      </c>
      <c r="F314" s="33"/>
      <c r="G314" s="33"/>
      <c r="H314" s="33"/>
      <c r="I314" s="33"/>
      <c r="J314" s="33"/>
      <c r="K314" s="33"/>
      <c r="L314" s="33"/>
      <c r="M314" s="33"/>
      <c r="N314" s="33"/>
      <c r="R314" s="33"/>
      <c r="U314" s="33"/>
      <c r="V314" s="33"/>
      <c r="W314" s="33"/>
      <c r="X314" s="33"/>
      <c r="Y314" s="33"/>
      <c r="Z314" s="33"/>
      <c r="AA314" s="33"/>
    </row>
    <row r="315">
      <c r="A315" s="7" t="s">
        <v>31</v>
      </c>
      <c r="B315" s="26">
        <v>99.0</v>
      </c>
      <c r="C315" s="83" t="s">
        <v>3663</v>
      </c>
      <c r="D315" s="33"/>
      <c r="E315" s="33" t="str">
        <f>IFERROR(__xludf.DUMMYFUNCTION("""COMPUTED_VALUE"""),"Школа 2070")</f>
        <v>Школа 2070</v>
      </c>
      <c r="F315" s="33"/>
      <c r="G315" s="33"/>
      <c r="H315" s="33"/>
      <c r="I315" s="33"/>
      <c r="J315" s="33"/>
      <c r="K315" s="33"/>
      <c r="L315" s="33"/>
      <c r="M315" s="33"/>
      <c r="N315" s="33"/>
      <c r="R315" s="33"/>
      <c r="U315" s="33"/>
      <c r="V315" s="33"/>
      <c r="W315" s="33"/>
      <c r="X315" s="33"/>
      <c r="Y315" s="33"/>
      <c r="Z315" s="33"/>
      <c r="AA315" s="33"/>
    </row>
    <row r="316">
      <c r="A316" s="7" t="s">
        <v>31</v>
      </c>
      <c r="B316" s="26">
        <v>100.0</v>
      </c>
      <c r="C316" s="83" t="s">
        <v>3814</v>
      </c>
      <c r="D316" s="33"/>
      <c r="E316" s="33" t="str">
        <f>IFERROR(__xludf.DUMMYFUNCTION("""COMPUTED_VALUE"""),"Школа 2075")</f>
        <v>Школа 2075</v>
      </c>
      <c r="F316" s="33"/>
      <c r="G316" s="33"/>
      <c r="H316" s="33"/>
      <c r="I316" s="33"/>
      <c r="J316" s="33"/>
      <c r="K316" s="33"/>
      <c r="L316" s="33"/>
      <c r="M316" s="33"/>
      <c r="N316" s="33"/>
      <c r="R316" s="33"/>
      <c r="U316" s="33"/>
      <c r="V316" s="33"/>
      <c r="W316" s="33"/>
      <c r="X316" s="33"/>
      <c r="Y316" s="33"/>
      <c r="Z316" s="33"/>
      <c r="AA316" s="33"/>
    </row>
    <row r="317">
      <c r="A317" s="7" t="s">
        <v>31</v>
      </c>
      <c r="B317" s="26">
        <v>101.0</v>
      </c>
      <c r="C317" s="83" t="s">
        <v>3664</v>
      </c>
      <c r="D317" s="33"/>
      <c r="E317" s="33" t="str">
        <f>IFERROR(__xludf.DUMMYFUNCTION("""COMPUTED_VALUE"""),"Школа 2087")</f>
        <v>Школа 2087</v>
      </c>
      <c r="F317" s="33"/>
      <c r="G317" s="33"/>
      <c r="H317" s="33"/>
      <c r="I317" s="33"/>
      <c r="J317" s="33"/>
      <c r="K317" s="33"/>
      <c r="L317" s="33"/>
      <c r="M317" s="33"/>
      <c r="N317" s="33"/>
      <c r="R317" s="33"/>
      <c r="U317" s="33"/>
      <c r="V317" s="33"/>
      <c r="W317" s="33"/>
      <c r="X317" s="33"/>
      <c r="Y317" s="33"/>
      <c r="Z317" s="33"/>
      <c r="AA317" s="33"/>
    </row>
    <row r="318">
      <c r="A318" s="7" t="s">
        <v>31</v>
      </c>
      <c r="B318" s="26">
        <v>102.0</v>
      </c>
      <c r="C318" s="83" t="s">
        <v>3815</v>
      </c>
      <c r="D318" s="33"/>
      <c r="E318" s="33" t="str">
        <f>IFERROR(__xludf.DUMMYFUNCTION("""COMPUTED_VALUE"""),"Школа 2094")</f>
        <v>Школа 2094</v>
      </c>
      <c r="F318" s="33"/>
      <c r="G318" s="33"/>
      <c r="H318" s="33"/>
      <c r="I318" s="33"/>
      <c r="J318" s="33"/>
      <c r="K318" s="33"/>
      <c r="L318" s="33"/>
      <c r="M318" s="33"/>
      <c r="N318" s="33"/>
      <c r="R318" s="33"/>
      <c r="U318" s="33"/>
      <c r="V318" s="33"/>
      <c r="W318" s="33"/>
      <c r="X318" s="33"/>
      <c r="Y318" s="33"/>
      <c r="Z318" s="33"/>
      <c r="AA318" s="33"/>
    </row>
    <row r="319">
      <c r="A319" s="7" t="s">
        <v>31</v>
      </c>
      <c r="B319" s="26">
        <v>103.0</v>
      </c>
      <c r="C319" s="83" t="s">
        <v>3665</v>
      </c>
      <c r="D319" s="33"/>
      <c r="E319" s="33" t="str">
        <f>IFERROR(__xludf.DUMMYFUNCTION("""COMPUTED_VALUE"""),"Школа 2097")</f>
        <v>Школа 2097</v>
      </c>
      <c r="F319" s="33"/>
      <c r="G319" s="33"/>
      <c r="H319" s="33"/>
      <c r="I319" s="33"/>
      <c r="J319" s="33"/>
      <c r="K319" s="33"/>
      <c r="L319" s="33"/>
      <c r="M319" s="33"/>
      <c r="N319" s="33"/>
      <c r="R319" s="33"/>
      <c r="U319" s="33"/>
      <c r="V319" s="33"/>
      <c r="W319" s="33"/>
      <c r="X319" s="33"/>
      <c r="Y319" s="33"/>
      <c r="Z319" s="33"/>
      <c r="AA319" s="33"/>
    </row>
    <row r="320">
      <c r="A320" s="7" t="s">
        <v>31</v>
      </c>
      <c r="B320" s="26">
        <v>104.0</v>
      </c>
      <c r="C320" s="83" t="s">
        <v>3666</v>
      </c>
      <c r="D320" s="33"/>
      <c r="E320" s="33" t="str">
        <f>IFERROR(__xludf.DUMMYFUNCTION("""COMPUTED_VALUE"""),"Школа 2098")</f>
        <v>Школа 2098</v>
      </c>
      <c r="F320" s="33"/>
      <c r="G320" s="33"/>
      <c r="H320" s="33"/>
      <c r="I320" s="33"/>
      <c r="J320" s="33"/>
      <c r="K320" s="33"/>
      <c r="L320" s="33"/>
      <c r="M320" s="33"/>
      <c r="N320" s="33"/>
      <c r="R320" s="33"/>
      <c r="U320" s="33"/>
      <c r="V320" s="33"/>
      <c r="W320" s="33"/>
      <c r="X320" s="33"/>
      <c r="Y320" s="33"/>
      <c r="Z320" s="33"/>
      <c r="AA320" s="33"/>
    </row>
    <row r="321">
      <c r="A321" s="7" t="s">
        <v>31</v>
      </c>
      <c r="B321" s="26">
        <v>105.0</v>
      </c>
      <c r="C321" s="83" t="s">
        <v>3613</v>
      </c>
      <c r="D321" s="33"/>
      <c r="E321" s="33" t="str">
        <f>IFERROR(__xludf.DUMMYFUNCTION("""COMPUTED_VALUE"""),"Школа 2103")</f>
        <v>Школа 2103</v>
      </c>
      <c r="F321" s="33"/>
      <c r="G321" s="33"/>
      <c r="H321" s="33"/>
      <c r="I321" s="33"/>
      <c r="J321" s="33"/>
      <c r="K321" s="33"/>
      <c r="L321" s="33"/>
      <c r="M321" s="33"/>
      <c r="N321" s="33"/>
      <c r="R321" s="33"/>
      <c r="U321" s="33"/>
      <c r="V321" s="33"/>
      <c r="W321" s="33"/>
      <c r="X321" s="33"/>
      <c r="Y321" s="33"/>
      <c r="Z321" s="33"/>
      <c r="AA321" s="33"/>
    </row>
    <row r="322">
      <c r="A322" s="7" t="s">
        <v>31</v>
      </c>
      <c r="B322" s="26">
        <v>106.0</v>
      </c>
      <c r="C322" s="83" t="s">
        <v>3614</v>
      </c>
      <c r="D322" s="33"/>
      <c r="E322" s="33" t="str">
        <f>IFERROR(__xludf.DUMMYFUNCTION("""COMPUTED_VALUE"""),"Школа 2107")</f>
        <v>Школа 2107</v>
      </c>
      <c r="F322" s="33"/>
      <c r="G322" s="33"/>
      <c r="H322" s="33"/>
      <c r="I322" s="33"/>
      <c r="J322" s="33"/>
      <c r="K322" s="33"/>
      <c r="L322" s="33"/>
      <c r="M322" s="33"/>
      <c r="N322" s="33"/>
      <c r="R322" s="33"/>
      <c r="U322" s="33"/>
      <c r="V322" s="33"/>
      <c r="W322" s="33"/>
      <c r="X322" s="33"/>
      <c r="Y322" s="33"/>
      <c r="Z322" s="33"/>
      <c r="AA322" s="33"/>
    </row>
    <row r="323">
      <c r="A323" s="7" t="s">
        <v>31</v>
      </c>
      <c r="B323" s="26">
        <v>107.0</v>
      </c>
      <c r="C323" s="83" t="s">
        <v>3730</v>
      </c>
      <c r="D323" s="33"/>
      <c r="E323" s="33" t="str">
        <f>IFERROR(__xludf.DUMMYFUNCTION("""COMPUTED_VALUE"""),"Школа 2109")</f>
        <v>Школа 2109</v>
      </c>
      <c r="F323" s="33"/>
      <c r="G323" s="33"/>
      <c r="H323" s="33"/>
      <c r="I323" s="33"/>
      <c r="J323" s="33"/>
      <c r="K323" s="33"/>
      <c r="L323" s="33"/>
      <c r="M323" s="33"/>
      <c r="N323" s="33"/>
      <c r="R323" s="33"/>
      <c r="U323" s="33"/>
      <c r="V323" s="33"/>
      <c r="W323" s="33"/>
      <c r="X323" s="33"/>
      <c r="Y323" s="33"/>
      <c r="Z323" s="33"/>
      <c r="AA323" s="33"/>
    </row>
    <row r="324">
      <c r="A324" s="7" t="s">
        <v>31</v>
      </c>
      <c r="B324" s="26">
        <v>108.0</v>
      </c>
      <c r="C324" s="83" t="s">
        <v>3731</v>
      </c>
      <c r="D324" s="33"/>
      <c r="E324" s="33" t="str">
        <f>IFERROR(__xludf.DUMMYFUNCTION("""COMPUTED_VALUE"""),"Школа 2114")</f>
        <v>Школа 2114</v>
      </c>
      <c r="F324" s="33"/>
      <c r="G324" s="33"/>
      <c r="H324" s="33"/>
      <c r="I324" s="33"/>
      <c r="J324" s="33"/>
      <c r="K324" s="33"/>
      <c r="L324" s="33"/>
      <c r="M324" s="33"/>
      <c r="N324" s="33"/>
      <c r="R324" s="33"/>
      <c r="U324" s="33"/>
      <c r="V324" s="33"/>
      <c r="W324" s="33"/>
      <c r="X324" s="33"/>
      <c r="Y324" s="33"/>
      <c r="Z324" s="33"/>
      <c r="AA324" s="33"/>
    </row>
    <row r="325">
      <c r="A325" s="7" t="s">
        <v>31</v>
      </c>
      <c r="B325" s="26">
        <v>109.0</v>
      </c>
      <c r="C325" s="83" t="s">
        <v>3426</v>
      </c>
      <c r="D325" s="33"/>
      <c r="E325" s="33" t="str">
        <f>IFERROR(__xludf.DUMMYFUNCTION("""COMPUTED_VALUE"""),"Школа 2120")</f>
        <v>Школа 2120</v>
      </c>
      <c r="F325" s="33"/>
      <c r="G325" s="33"/>
      <c r="H325" s="33"/>
      <c r="I325" s="33"/>
      <c r="J325" s="33"/>
      <c r="K325" s="33"/>
      <c r="L325" s="33"/>
      <c r="M325" s="33"/>
      <c r="N325" s="33"/>
      <c r="R325" s="33"/>
      <c r="U325" s="33"/>
      <c r="V325" s="33"/>
      <c r="W325" s="33"/>
      <c r="X325" s="33"/>
      <c r="Y325" s="33"/>
      <c r="Z325" s="33"/>
      <c r="AA325" s="33"/>
    </row>
    <row r="326">
      <c r="A326" s="7" t="s">
        <v>31</v>
      </c>
      <c r="B326" s="26">
        <v>110.0</v>
      </c>
      <c r="C326" s="83" t="s">
        <v>3453</v>
      </c>
      <c r="D326" s="33"/>
      <c r="E326" s="33" t="str">
        <f>IFERROR(__xludf.DUMMYFUNCTION("""COMPUTED_VALUE"""),"Школа 2127")</f>
        <v>Школа 2127</v>
      </c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U326" s="33"/>
      <c r="V326" s="33"/>
      <c r="W326" s="33"/>
      <c r="X326" s="33"/>
      <c r="Y326" s="33"/>
      <c r="Z326" s="33"/>
      <c r="AA326" s="33"/>
    </row>
    <row r="327">
      <c r="A327" s="7" t="s">
        <v>31</v>
      </c>
      <c r="B327" s="26">
        <v>111.0</v>
      </c>
      <c r="C327" s="83" t="s">
        <v>3767</v>
      </c>
      <c r="D327" s="33"/>
      <c r="E327" s="33" t="str">
        <f>IFERROR(__xludf.DUMMYFUNCTION("""COMPUTED_VALUE"""),"Школа 2129")</f>
        <v>Школа 2129</v>
      </c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U327" s="33"/>
      <c r="V327" s="33"/>
      <c r="W327" s="33"/>
      <c r="X327" s="33"/>
      <c r="Y327" s="33"/>
      <c r="Z327" s="33"/>
      <c r="AA327" s="33"/>
    </row>
    <row r="328">
      <c r="A328" s="7" t="s">
        <v>31</v>
      </c>
      <c r="B328" s="26">
        <v>112.0</v>
      </c>
      <c r="C328" s="83" t="s">
        <v>3427</v>
      </c>
      <c r="D328" s="33"/>
      <c r="E328" s="33" t="str">
        <f>IFERROR(__xludf.DUMMYFUNCTION("""COMPUTED_VALUE"""),"Школа 2200")</f>
        <v>Школа 2200</v>
      </c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U328" s="33"/>
      <c r="V328" s="33"/>
      <c r="W328" s="33"/>
      <c r="X328" s="33"/>
      <c r="Y328" s="33"/>
      <c r="Z328" s="33"/>
      <c r="AA328" s="33"/>
    </row>
    <row r="329">
      <c r="A329" s="7" t="s">
        <v>31</v>
      </c>
      <c r="B329" s="26">
        <v>113.0</v>
      </c>
      <c r="C329" s="83" t="s">
        <v>3529</v>
      </c>
      <c r="D329" s="33"/>
      <c r="E329" s="33" t="str">
        <f>IFERROR(__xludf.DUMMYFUNCTION("""COMPUTED_VALUE"""),"Вешняковская школа")</f>
        <v>Вешняковская школа</v>
      </c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U329" s="33"/>
      <c r="V329" s="33"/>
      <c r="W329" s="33"/>
      <c r="X329" s="33"/>
      <c r="Y329" s="33"/>
      <c r="Z329" s="33"/>
      <c r="AA329" s="33"/>
    </row>
    <row r="330">
      <c r="A330" s="7" t="s">
        <v>31</v>
      </c>
      <c r="B330" s="26">
        <v>114.0</v>
      </c>
      <c r="C330" s="83" t="s">
        <v>3670</v>
      </c>
      <c r="D330" s="33"/>
      <c r="E330" s="33" t="str">
        <f>IFERROR(__xludf.DUMMYFUNCTION("""COMPUTED_VALUE"""),"Образовательный центр Протон")</f>
        <v>Образовательный центр Протон</v>
      </c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7" t="s">
        <v>31</v>
      </c>
      <c r="B331" s="26">
        <v>115.0</v>
      </c>
      <c r="C331" s="83" t="s">
        <v>3530</v>
      </c>
      <c r="D331" s="33"/>
      <c r="E331" s="33" t="str">
        <f>IFERROR(__xludf.DUMMYFUNCTION("""COMPUTED_VALUE"""),"Школа Марьино им. маршала авиации А. Е. Голованова")</f>
        <v>Школа Марьино им. маршала авиации А. Е. Голованова</v>
      </c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7" t="s">
        <v>31</v>
      </c>
      <c r="B332" s="26">
        <v>116.0</v>
      </c>
      <c r="C332" s="83" t="s">
        <v>3576</v>
      </c>
      <c r="D332" s="33"/>
      <c r="E332" s="33" t="str">
        <f>IFERROR(__xludf.DUMMYFUNCTION("""COMPUTED_VALUE"""),"Школа Свиблово")</f>
        <v>Школа Свиблово</v>
      </c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7" t="s">
        <v>31</v>
      </c>
      <c r="B333" s="26">
        <v>117.0</v>
      </c>
      <c r="C333" s="83" t="s">
        <v>3489</v>
      </c>
      <c r="D333" s="33"/>
      <c r="E333" s="33" t="str">
        <f>IFERROR(__xludf.DUMMYFUNCTION("""COMPUTED_VALUE"""),"Школа в Капотне")</f>
        <v>Школа в Капотне</v>
      </c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7" t="s">
        <v>31</v>
      </c>
      <c r="B334" s="26">
        <v>118.0</v>
      </c>
      <c r="C334" s="83" t="s">
        <v>3367</v>
      </c>
      <c r="D334" s="33"/>
      <c r="E334" s="33" t="str">
        <f>IFERROR(__xludf.DUMMYFUNCTION("""COMPUTED_VALUE"""),"Школа им. В. В. Маяковского")</f>
        <v>Школа им. В. В. Маяковского</v>
      </c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7" t="s">
        <v>31</v>
      </c>
      <c r="B335" s="26">
        <v>119.0</v>
      </c>
      <c r="C335" s="83" t="s">
        <v>3366</v>
      </c>
      <c r="D335" s="33"/>
      <c r="E335" s="33" t="str">
        <f>IFERROR(__xludf.DUMMYFUNCTION("""COMPUTED_VALUE"""),"Школа им. дважды Героя Советского Союза И. С. Полбина")</f>
        <v>Школа им. дважды Героя Советского Союза И. С. Полбина</v>
      </c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114" t="s">
        <v>34</v>
      </c>
      <c r="B336" s="26">
        <v>1.0</v>
      </c>
      <c r="C336" s="83" t="s">
        <v>3614</v>
      </c>
      <c r="D336" s="26" t="s">
        <v>3322</v>
      </c>
      <c r="E336" s="33" t="str">
        <f>IFERROR(__xludf.DUMMYFUNCTION("""COMPUTED_VALUE"""),"Школа 2107")</f>
        <v>Школа 2107</v>
      </c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114" t="s">
        <v>34</v>
      </c>
      <c r="B337" s="26">
        <v>2.0</v>
      </c>
      <c r="C337" s="83" t="s">
        <v>3816</v>
      </c>
      <c r="D337" s="26" t="s">
        <v>3322</v>
      </c>
      <c r="E337" s="33" t="str">
        <f>IFERROR(__xludf.DUMMYFUNCTION("""COMPUTED_VALUE"""),"Школа Перспектива")</f>
        <v>Школа Перспектива</v>
      </c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114" t="s">
        <v>34</v>
      </c>
      <c r="B338" s="26">
        <v>4.0</v>
      </c>
      <c r="C338" s="83" t="s">
        <v>3384</v>
      </c>
      <c r="D338" s="26" t="s">
        <v>3460</v>
      </c>
      <c r="E338" s="33" t="str">
        <f>IFERROR(__xludf.DUMMYFUNCTION("""COMPUTED_VALUE"""),"Школа 1206")</f>
        <v>Школа 1206</v>
      </c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114" t="s">
        <v>34</v>
      </c>
      <c r="B339" s="26">
        <v>5.0</v>
      </c>
      <c r="C339" s="83" t="s">
        <v>3692</v>
      </c>
      <c r="D339" s="26" t="s">
        <v>3460</v>
      </c>
      <c r="E339" s="33" t="str">
        <f>IFERROR(__xludf.DUMMYFUNCTION("""COMPUTED_VALUE"""),"Школа 1368")</f>
        <v>Школа 1368</v>
      </c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114" t="s">
        <v>34</v>
      </c>
      <c r="B340" s="26">
        <v>6.0</v>
      </c>
      <c r="C340" s="83" t="s">
        <v>3387</v>
      </c>
      <c r="D340" s="26" t="s">
        <v>3616</v>
      </c>
      <c r="E340" s="33" t="str">
        <f>IFERROR(__xludf.DUMMYFUNCTION("""COMPUTED_VALUE"""),"Школа 1238")</f>
        <v>Школа 1238</v>
      </c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114" t="s">
        <v>34</v>
      </c>
      <c r="B341" s="26">
        <v>7.0</v>
      </c>
      <c r="C341" s="83" t="s">
        <v>3458</v>
      </c>
      <c r="D341" s="26" t="s">
        <v>3616</v>
      </c>
      <c r="E341" s="33" t="str">
        <f>IFERROR(__xludf.DUMMYFUNCTION("""COMPUTED_VALUE"""),"Школа 1793")</f>
        <v>Школа 1793</v>
      </c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114" t="s">
        <v>34</v>
      </c>
      <c r="B342" s="26">
        <v>8.0</v>
      </c>
      <c r="C342" s="83" t="s">
        <v>3426</v>
      </c>
      <c r="D342" s="26" t="s">
        <v>3616</v>
      </c>
      <c r="E342" s="33" t="str">
        <f>IFERROR(__xludf.DUMMYFUNCTION("""COMPUTED_VALUE"""),"Школа 2120")</f>
        <v>Школа 2120</v>
      </c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117" t="s">
        <v>33</v>
      </c>
      <c r="B343" s="164" t="s">
        <v>2393</v>
      </c>
      <c r="C343" s="83" t="s">
        <v>3368</v>
      </c>
      <c r="D343" s="83" t="s">
        <v>3616</v>
      </c>
      <c r="E343" s="33" t="str">
        <f>IFERROR(__xludf.DUMMYFUNCTION("""COMPUTED_VALUE"""),"Школа 7")</f>
        <v>Школа 7</v>
      </c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117" t="s">
        <v>33</v>
      </c>
      <c r="B344" s="164" t="s">
        <v>2397</v>
      </c>
      <c r="C344" s="83" t="s">
        <v>3817</v>
      </c>
      <c r="D344" s="83" t="s">
        <v>3616</v>
      </c>
      <c r="E344" s="33" t="str">
        <f>IFERROR(__xludf.DUMMYFUNCTION("""COMPUTED_VALUE"""),"Школа 56")</f>
        <v>Школа 56</v>
      </c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117" t="s">
        <v>33</v>
      </c>
      <c r="B345" s="164" t="s">
        <v>2400</v>
      </c>
      <c r="C345" s="83" t="s">
        <v>3818</v>
      </c>
      <c r="D345" s="83" t="s">
        <v>3616</v>
      </c>
      <c r="E345" s="33" t="str">
        <f>IFERROR(__xludf.DUMMYFUNCTION("""COMPUTED_VALUE"""),"Школа 123")</f>
        <v>Школа 123</v>
      </c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117" t="s">
        <v>33</v>
      </c>
      <c r="B346" s="164" t="s">
        <v>2403</v>
      </c>
      <c r="C346" s="83" t="s">
        <v>3819</v>
      </c>
      <c r="D346" s="83" t="s">
        <v>3616</v>
      </c>
      <c r="E346" s="33" t="str">
        <f>IFERROR(__xludf.DUMMYFUNCTION("""COMPUTED_VALUE"""),"Школа 138")</f>
        <v>Школа 138</v>
      </c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117" t="s">
        <v>33</v>
      </c>
      <c r="B347" s="164" t="s">
        <v>2407</v>
      </c>
      <c r="C347" s="83" t="s">
        <v>3820</v>
      </c>
      <c r="D347" s="83" t="s">
        <v>3616</v>
      </c>
      <c r="E347" s="33" t="str">
        <f>IFERROR(__xludf.DUMMYFUNCTION("""COMPUTED_VALUE"""),"Школа 158")</f>
        <v>Школа 158</v>
      </c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117" t="s">
        <v>33</v>
      </c>
      <c r="B348" s="164" t="s">
        <v>2411</v>
      </c>
      <c r="C348" s="83" t="s">
        <v>3821</v>
      </c>
      <c r="D348" s="83" t="s">
        <v>3616</v>
      </c>
      <c r="E348" s="33" t="str">
        <f>IFERROR(__xludf.DUMMYFUNCTION("""COMPUTED_VALUE"""),"Школа 199")</f>
        <v>Школа 199</v>
      </c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117" t="s">
        <v>33</v>
      </c>
      <c r="B349" s="164" t="s">
        <v>2413</v>
      </c>
      <c r="C349" s="83" t="s">
        <v>3822</v>
      </c>
      <c r="D349" s="83" t="s">
        <v>3616</v>
      </c>
      <c r="E349" s="33" t="str">
        <f>IFERROR(__xludf.DUMMYFUNCTION("""COMPUTED_VALUE"""),"Школа 544")</f>
        <v>Школа 544</v>
      </c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117" t="s">
        <v>33</v>
      </c>
      <c r="B350" s="164" t="s">
        <v>2417</v>
      </c>
      <c r="C350" s="83" t="s">
        <v>3823</v>
      </c>
      <c r="D350" s="83" t="s">
        <v>3616</v>
      </c>
      <c r="E350" s="33" t="str">
        <f>IFERROR(__xludf.DUMMYFUNCTION("""COMPUTED_VALUE"""),"Школа 625")</f>
        <v>Школа 625</v>
      </c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117" t="s">
        <v>33</v>
      </c>
      <c r="B351" s="164" t="s">
        <v>2420</v>
      </c>
      <c r="C351" s="83" t="s">
        <v>3621</v>
      </c>
      <c r="D351" s="83" t="s">
        <v>3616</v>
      </c>
      <c r="E351" s="33" t="str">
        <f>IFERROR(__xludf.DUMMYFUNCTION("""COMPUTED_VALUE"""),"Школа 627")</f>
        <v>Школа 627</v>
      </c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117" t="s">
        <v>33</v>
      </c>
      <c r="B352" s="164" t="s">
        <v>2423</v>
      </c>
      <c r="C352" s="83" t="s">
        <v>3824</v>
      </c>
      <c r="D352" s="83" t="s">
        <v>3616</v>
      </c>
      <c r="E352" s="33" t="str">
        <f>IFERROR(__xludf.DUMMYFUNCTION("""COMPUTED_VALUE"""),"Школа 630")</f>
        <v>Школа 630</v>
      </c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117" t="s">
        <v>33</v>
      </c>
      <c r="B353" s="164" t="s">
        <v>2426</v>
      </c>
      <c r="C353" s="83" t="s">
        <v>3825</v>
      </c>
      <c r="D353" s="83" t="s">
        <v>3616</v>
      </c>
      <c r="E353" s="33" t="str">
        <f>IFERROR(__xludf.DUMMYFUNCTION("""COMPUTED_VALUE"""),"Школа 777")</f>
        <v>Школа 777</v>
      </c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117" t="s">
        <v>33</v>
      </c>
      <c r="B354" s="164" t="s">
        <v>2428</v>
      </c>
      <c r="C354" s="83" t="s">
        <v>3826</v>
      </c>
      <c r="D354" s="83" t="s">
        <v>3616</v>
      </c>
      <c r="E354" s="33" t="str">
        <f>IFERROR(__xludf.DUMMYFUNCTION("""COMPUTED_VALUE"""),"Школа 947")</f>
        <v>Школа 947</v>
      </c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117" t="s">
        <v>33</v>
      </c>
      <c r="B355" s="164" t="s">
        <v>2431</v>
      </c>
      <c r="C355" s="83" t="s">
        <v>3827</v>
      </c>
      <c r="D355" s="83" t="s">
        <v>3616</v>
      </c>
      <c r="E355" s="33" t="str">
        <f>IFERROR(__xludf.DUMMYFUNCTION("""COMPUTED_VALUE"""),"Школа 956")</f>
        <v>Школа 956</v>
      </c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117" t="s">
        <v>33</v>
      </c>
      <c r="B356" s="164" t="s">
        <v>2433</v>
      </c>
      <c r="C356" s="83" t="s">
        <v>3828</v>
      </c>
      <c r="D356" s="83" t="s">
        <v>3616</v>
      </c>
      <c r="E356" s="33" t="str">
        <f>IFERROR(__xludf.DUMMYFUNCTION("""COMPUTED_VALUE"""),"Школа 1158")</f>
        <v>Школа 1158</v>
      </c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117" t="s">
        <v>33</v>
      </c>
      <c r="B357" s="164" t="s">
        <v>2436</v>
      </c>
      <c r="C357" s="83" t="s">
        <v>3829</v>
      </c>
      <c r="D357" s="83" t="s">
        <v>3616</v>
      </c>
      <c r="E357" s="33" t="str">
        <f>IFERROR(__xludf.DUMMYFUNCTION("""COMPUTED_VALUE"""),"Школа 1194")</f>
        <v>Школа 1194</v>
      </c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117" t="s">
        <v>33</v>
      </c>
      <c r="B358" s="164" t="s">
        <v>2440</v>
      </c>
      <c r="C358" s="83" t="s">
        <v>3830</v>
      </c>
      <c r="D358" s="83" t="s">
        <v>3616</v>
      </c>
      <c r="E358" s="33" t="str">
        <f>IFERROR(__xludf.DUMMYFUNCTION("""COMPUTED_VALUE"""),"Школа 1207")</f>
        <v>Школа 1207</v>
      </c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117" t="s">
        <v>33</v>
      </c>
      <c r="B359" s="164" t="s">
        <v>2443</v>
      </c>
      <c r="C359" s="83" t="s">
        <v>3385</v>
      </c>
      <c r="D359" s="83" t="s">
        <v>3616</v>
      </c>
      <c r="E359" s="33" t="str">
        <f>IFERROR(__xludf.DUMMYFUNCTION("""COMPUTED_VALUE"""),"Школа 1208")</f>
        <v>Школа 1208</v>
      </c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117" t="s">
        <v>33</v>
      </c>
      <c r="B360" s="164" t="s">
        <v>2447</v>
      </c>
      <c r="C360" s="83" t="s">
        <v>3831</v>
      </c>
      <c r="D360" s="83" t="s">
        <v>3616</v>
      </c>
      <c r="E360" s="33" t="str">
        <f>IFERROR(__xludf.DUMMYFUNCTION("""COMPUTED_VALUE"""),"Школа 1231")</f>
        <v>Школа 1231</v>
      </c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117" t="s">
        <v>33</v>
      </c>
      <c r="B361" s="164" t="s">
        <v>2450</v>
      </c>
      <c r="C361" s="83" t="s">
        <v>3832</v>
      </c>
      <c r="D361" s="83" t="s">
        <v>3616</v>
      </c>
      <c r="E361" s="33" t="str">
        <f>IFERROR(__xludf.DUMMYFUNCTION("""COMPUTED_VALUE"""),"Школа 1238")</f>
        <v>Школа 1238</v>
      </c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117" t="s">
        <v>33</v>
      </c>
      <c r="B362" s="164" t="s">
        <v>2454</v>
      </c>
      <c r="C362" s="83" t="s">
        <v>3833</v>
      </c>
      <c r="D362" s="83" t="s">
        <v>3616</v>
      </c>
      <c r="E362" s="33" t="str">
        <f>IFERROR(__xludf.DUMMYFUNCTION("""COMPUTED_VALUE"""),"Школа 1253")</f>
        <v>Школа 1253</v>
      </c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117" t="s">
        <v>33</v>
      </c>
      <c r="B363" s="164" t="s">
        <v>2457</v>
      </c>
      <c r="C363" s="83" t="s">
        <v>3834</v>
      </c>
      <c r="D363" s="83" t="s">
        <v>3616</v>
      </c>
      <c r="E363" s="33" t="str">
        <f>IFERROR(__xludf.DUMMYFUNCTION("""COMPUTED_VALUE"""),"Школа 1282")</f>
        <v>Школа 1282</v>
      </c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117" t="s">
        <v>33</v>
      </c>
      <c r="B364" s="164" t="s">
        <v>2459</v>
      </c>
      <c r="C364" s="83" t="s">
        <v>3508</v>
      </c>
      <c r="D364" s="83" t="s">
        <v>3616</v>
      </c>
      <c r="E364" s="33" t="str">
        <f>IFERROR(__xludf.DUMMYFUNCTION("""COMPUTED_VALUE"""),"Школа 1287")</f>
        <v>Школа 1287</v>
      </c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117" t="s">
        <v>33</v>
      </c>
      <c r="B365" s="164" t="s">
        <v>2462</v>
      </c>
      <c r="C365" s="83" t="s">
        <v>3835</v>
      </c>
      <c r="D365" s="83" t="s">
        <v>3616</v>
      </c>
      <c r="E365" s="33" t="str">
        <f>IFERROR(__xludf.DUMMYFUNCTION("""COMPUTED_VALUE"""),"Школа 1298")</f>
        <v>Школа 1298</v>
      </c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117" t="s">
        <v>33</v>
      </c>
      <c r="B366" s="164" t="s">
        <v>2465</v>
      </c>
      <c r="C366" s="83" t="s">
        <v>3836</v>
      </c>
      <c r="D366" s="83" t="s">
        <v>3616</v>
      </c>
      <c r="E366" s="33" t="str">
        <f>IFERROR(__xludf.DUMMYFUNCTION("""COMPUTED_VALUE"""),"Школа 1306")</f>
        <v>Школа 1306</v>
      </c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117" t="s">
        <v>33</v>
      </c>
      <c r="B367" s="164" t="s">
        <v>2467</v>
      </c>
      <c r="C367" s="83" t="s">
        <v>3837</v>
      </c>
      <c r="D367" s="83" t="s">
        <v>3616</v>
      </c>
      <c r="E367" s="33" t="str">
        <f>IFERROR(__xludf.DUMMYFUNCTION("""COMPUTED_VALUE"""),"Школа 1317")</f>
        <v>Школа 1317</v>
      </c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117" t="s">
        <v>33</v>
      </c>
      <c r="B368" s="164" t="s">
        <v>2470</v>
      </c>
      <c r="C368" s="83" t="s">
        <v>3838</v>
      </c>
      <c r="D368" s="83" t="s">
        <v>3616</v>
      </c>
      <c r="E368" s="33" t="str">
        <f>IFERROR(__xludf.DUMMYFUNCTION("""COMPUTED_VALUE"""),"Школа 1329")</f>
        <v>Школа 1329</v>
      </c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117" t="s">
        <v>33</v>
      </c>
      <c r="B369" s="164" t="s">
        <v>2472</v>
      </c>
      <c r="C369" s="83" t="s">
        <v>3839</v>
      </c>
      <c r="D369" s="83" t="s">
        <v>3616</v>
      </c>
      <c r="E369" s="33" t="str">
        <f>IFERROR(__xludf.DUMMYFUNCTION("""COMPUTED_VALUE"""),"Школа 1347")</f>
        <v>Школа 1347</v>
      </c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117" t="s">
        <v>33</v>
      </c>
      <c r="B370" s="164" t="s">
        <v>2474</v>
      </c>
      <c r="C370" s="83" t="s">
        <v>3840</v>
      </c>
      <c r="D370" s="83" t="s">
        <v>3616</v>
      </c>
      <c r="E370" s="33" t="str">
        <f>IFERROR(__xludf.DUMMYFUNCTION("""COMPUTED_VALUE"""),"Школа 1359")</f>
        <v>Школа 1359</v>
      </c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117" t="s">
        <v>33</v>
      </c>
      <c r="B371" s="164" t="s">
        <v>2477</v>
      </c>
      <c r="C371" s="83" t="s">
        <v>3841</v>
      </c>
      <c r="D371" s="83" t="s">
        <v>3616</v>
      </c>
      <c r="E371" s="33" t="str">
        <f>IFERROR(__xludf.DUMMYFUNCTION("""COMPUTED_VALUE"""),"Школа 1363")</f>
        <v>Школа 1363</v>
      </c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117" t="s">
        <v>33</v>
      </c>
      <c r="B372" s="164" t="s">
        <v>2478</v>
      </c>
      <c r="C372" s="83" t="s">
        <v>3473</v>
      </c>
      <c r="D372" s="83" t="s">
        <v>3616</v>
      </c>
      <c r="E372" s="33" t="str">
        <f>IFERROR(__xludf.DUMMYFUNCTION("""COMPUTED_VALUE"""),"Школа 1387")</f>
        <v>Школа 1387</v>
      </c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117" t="s">
        <v>33</v>
      </c>
      <c r="B373" s="164" t="s">
        <v>2480</v>
      </c>
      <c r="C373" s="83" t="s">
        <v>3842</v>
      </c>
      <c r="D373" s="83" t="s">
        <v>3616</v>
      </c>
      <c r="E373" s="33" t="str">
        <f>IFERROR(__xludf.DUMMYFUNCTION("""COMPUTED_VALUE"""),"Школа 1400")</f>
        <v>Школа 1400</v>
      </c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117" t="s">
        <v>33</v>
      </c>
      <c r="B374" s="164" t="s">
        <v>2482</v>
      </c>
      <c r="C374" s="83" t="s">
        <v>3843</v>
      </c>
      <c r="D374" s="83" t="s">
        <v>3616</v>
      </c>
      <c r="E374" s="33" t="str">
        <f>IFERROR(__xludf.DUMMYFUNCTION("""COMPUTED_VALUE"""),"Школа 1409")</f>
        <v>Школа 1409</v>
      </c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117" t="s">
        <v>33</v>
      </c>
      <c r="B375" s="164" t="s">
        <v>2484</v>
      </c>
      <c r="C375" s="83" t="s">
        <v>3789</v>
      </c>
      <c r="D375" s="83" t="s">
        <v>3616</v>
      </c>
      <c r="E375" s="33" t="str">
        <f>IFERROR(__xludf.DUMMYFUNCTION("""COMPUTED_VALUE"""),"Школа 1415")</f>
        <v>Школа 1415</v>
      </c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117" t="s">
        <v>33</v>
      </c>
      <c r="B376" s="164" t="s">
        <v>2488</v>
      </c>
      <c r="C376" s="83" t="s">
        <v>3844</v>
      </c>
      <c r="D376" s="83" t="s">
        <v>3616</v>
      </c>
      <c r="E376" s="33" t="str">
        <f>IFERROR(__xludf.DUMMYFUNCTION("""COMPUTED_VALUE"""),"Школа 1416")</f>
        <v>Школа 1416</v>
      </c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117" t="s">
        <v>33</v>
      </c>
      <c r="B377" s="164" t="s">
        <v>2491</v>
      </c>
      <c r="C377" s="83" t="s">
        <v>3511</v>
      </c>
      <c r="D377" s="83" t="s">
        <v>3616</v>
      </c>
      <c r="E377" s="33" t="str">
        <f>IFERROR(__xludf.DUMMYFUNCTION("""COMPUTED_VALUE"""),"Школа 1420")</f>
        <v>Школа 1420</v>
      </c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117" t="s">
        <v>33</v>
      </c>
      <c r="B378" s="164" t="s">
        <v>2494</v>
      </c>
      <c r="C378" s="83" t="s">
        <v>3775</v>
      </c>
      <c r="D378" s="83" t="s">
        <v>3616</v>
      </c>
      <c r="E378" s="33" t="str">
        <f>IFERROR(__xludf.DUMMYFUNCTION("""COMPUTED_VALUE"""),"Школа 1440")</f>
        <v>Школа 1440</v>
      </c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117" t="s">
        <v>33</v>
      </c>
      <c r="B379" s="164" t="s">
        <v>2498</v>
      </c>
      <c r="C379" s="83" t="s">
        <v>3845</v>
      </c>
      <c r="D379" s="83" t="s">
        <v>3616</v>
      </c>
      <c r="E379" s="33" t="str">
        <f>IFERROR(__xludf.DUMMYFUNCTION("""COMPUTED_VALUE"""),"Школа 1448")</f>
        <v>Школа 1448</v>
      </c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117" t="s">
        <v>33</v>
      </c>
      <c r="B380" s="164" t="s">
        <v>2500</v>
      </c>
      <c r="C380" s="83" t="s">
        <v>3443</v>
      </c>
      <c r="D380" s="83" t="s">
        <v>3616</v>
      </c>
      <c r="E380" s="33" t="str">
        <f>IFERROR(__xludf.DUMMYFUNCTION("""COMPUTED_VALUE"""),"Школа 1449")</f>
        <v>Школа 1449</v>
      </c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117" t="s">
        <v>33</v>
      </c>
      <c r="B381" s="164" t="s">
        <v>2503</v>
      </c>
      <c r="C381" s="83" t="s">
        <v>3846</v>
      </c>
      <c r="D381" s="83" t="s">
        <v>3616</v>
      </c>
      <c r="E381" s="33" t="str">
        <f>IFERROR(__xludf.DUMMYFUNCTION("""COMPUTED_VALUE"""),"Школа 1454")</f>
        <v>Школа 1454</v>
      </c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117" t="s">
        <v>33</v>
      </c>
      <c r="B382" s="164" t="s">
        <v>2506</v>
      </c>
      <c r="C382" s="83" t="s">
        <v>3847</v>
      </c>
      <c r="D382" s="83" t="s">
        <v>3616</v>
      </c>
      <c r="E382" s="33" t="str">
        <f>IFERROR(__xludf.DUMMYFUNCTION("""COMPUTED_VALUE"""),"Школа 1466")</f>
        <v>Школа 1466</v>
      </c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117" t="s">
        <v>33</v>
      </c>
      <c r="B383" s="164" t="s">
        <v>2509</v>
      </c>
      <c r="C383" s="83" t="s">
        <v>3848</v>
      </c>
      <c r="D383" s="83" t="s">
        <v>3616</v>
      </c>
      <c r="E383" s="33" t="str">
        <f>IFERROR(__xludf.DUMMYFUNCTION("""COMPUTED_VALUE"""),"Школа 1468")</f>
        <v>Школа 1468</v>
      </c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117" t="s">
        <v>33</v>
      </c>
      <c r="B384" s="164" t="s">
        <v>2512</v>
      </c>
      <c r="C384" s="83" t="s">
        <v>3849</v>
      </c>
      <c r="D384" s="83" t="s">
        <v>3616</v>
      </c>
      <c r="E384" s="33" t="str">
        <f>IFERROR(__xludf.DUMMYFUNCTION("""COMPUTED_VALUE"""),"Школа 1474")</f>
        <v>Школа 1474</v>
      </c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117" t="s">
        <v>33</v>
      </c>
      <c r="B385" s="164" t="s">
        <v>2515</v>
      </c>
      <c r="C385" s="83" t="s">
        <v>3850</v>
      </c>
      <c r="D385" s="83" t="s">
        <v>3616</v>
      </c>
      <c r="E385" s="33" t="str">
        <f>IFERROR(__xludf.DUMMYFUNCTION("""COMPUTED_VALUE"""),"Школа 1498")</f>
        <v>Школа 1498</v>
      </c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117" t="s">
        <v>33</v>
      </c>
      <c r="B386" s="164" t="s">
        <v>2517</v>
      </c>
      <c r="C386" s="83" t="s">
        <v>3851</v>
      </c>
      <c r="D386" s="83" t="s">
        <v>3616</v>
      </c>
      <c r="E386" s="33" t="str">
        <f>IFERROR(__xludf.DUMMYFUNCTION("""COMPUTED_VALUE"""),"Школа 1501")</f>
        <v>Школа 1501</v>
      </c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117" t="s">
        <v>33</v>
      </c>
      <c r="B387" s="164" t="s">
        <v>2520</v>
      </c>
      <c r="C387" s="83" t="s">
        <v>3852</v>
      </c>
      <c r="D387" s="83" t="s">
        <v>3616</v>
      </c>
      <c r="E387" s="33" t="str">
        <f>IFERROR(__xludf.DUMMYFUNCTION("""COMPUTED_VALUE"""),"Школа 1505")</f>
        <v>Школа 1505</v>
      </c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117" t="s">
        <v>33</v>
      </c>
      <c r="B388" s="164" t="s">
        <v>2523</v>
      </c>
      <c r="C388" s="83" t="s">
        <v>3853</v>
      </c>
      <c r="D388" s="83" t="s">
        <v>3616</v>
      </c>
      <c r="E388" s="33" t="str">
        <f>IFERROR(__xludf.DUMMYFUNCTION("""COMPUTED_VALUE"""),"Школа 1508")</f>
        <v>Школа 1508</v>
      </c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117" t="s">
        <v>33</v>
      </c>
      <c r="B389" s="164" t="s">
        <v>2526</v>
      </c>
      <c r="C389" s="83" t="s">
        <v>3854</v>
      </c>
      <c r="D389" s="83" t="s">
        <v>3616</v>
      </c>
      <c r="E389" s="33" t="str">
        <f>IFERROR(__xludf.DUMMYFUNCTION("""COMPUTED_VALUE"""),"Школа 1517")</f>
        <v>Школа 1517</v>
      </c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117" t="s">
        <v>33</v>
      </c>
      <c r="B390" s="164" t="s">
        <v>2529</v>
      </c>
      <c r="C390" s="83" t="s">
        <v>3332</v>
      </c>
      <c r="D390" s="83" t="s">
        <v>3616</v>
      </c>
      <c r="E390" s="33" t="str">
        <f>IFERROR(__xludf.DUMMYFUNCTION("""COMPUTED_VALUE"""),"Школа 1539")</f>
        <v>Школа 1539</v>
      </c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117" t="s">
        <v>33</v>
      </c>
      <c r="B391" s="164" t="s">
        <v>2532</v>
      </c>
      <c r="C391" s="83" t="s">
        <v>3855</v>
      </c>
      <c r="D391" s="83" t="s">
        <v>3616</v>
      </c>
      <c r="E391" s="33" t="str">
        <f>IFERROR(__xludf.DUMMYFUNCTION("""COMPUTED_VALUE"""),"Школа 1541")</f>
        <v>Школа 1541</v>
      </c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117" t="s">
        <v>33</v>
      </c>
      <c r="B392" s="164" t="s">
        <v>2535</v>
      </c>
      <c r="C392" s="83" t="s">
        <v>3856</v>
      </c>
      <c r="D392" s="83" t="s">
        <v>3616</v>
      </c>
      <c r="E392" s="33" t="str">
        <f>IFERROR(__xludf.DUMMYFUNCTION("""COMPUTED_VALUE"""),"Школа 1542")</f>
        <v>Школа 1542</v>
      </c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117" t="s">
        <v>33</v>
      </c>
      <c r="B393" s="164" t="s">
        <v>2538</v>
      </c>
      <c r="C393" s="83" t="s">
        <v>3857</v>
      </c>
      <c r="D393" s="83" t="s">
        <v>3616</v>
      </c>
      <c r="E393" s="33" t="str">
        <f>IFERROR(__xludf.DUMMYFUNCTION("""COMPUTED_VALUE"""),"Школа 1544")</f>
        <v>Школа 1544</v>
      </c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117" t="s">
        <v>33</v>
      </c>
      <c r="B394" s="164" t="s">
        <v>2541</v>
      </c>
      <c r="C394" s="83" t="s">
        <v>3858</v>
      </c>
      <c r="D394" s="83" t="s">
        <v>3616</v>
      </c>
      <c r="E394" s="33" t="str">
        <f>IFERROR(__xludf.DUMMYFUNCTION("""COMPUTED_VALUE"""),"Школа 1547")</f>
        <v>Школа 1547</v>
      </c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117" t="s">
        <v>33</v>
      </c>
      <c r="B395" s="164" t="s">
        <v>2544</v>
      </c>
      <c r="C395" s="83" t="s">
        <v>3859</v>
      </c>
      <c r="D395" s="83" t="s">
        <v>3616</v>
      </c>
      <c r="E395" s="33" t="str">
        <f>IFERROR(__xludf.DUMMYFUNCTION("""COMPUTED_VALUE"""),"Школа 1552")</f>
        <v>Школа 1552</v>
      </c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117" t="s">
        <v>33</v>
      </c>
      <c r="B396" s="164" t="s">
        <v>2545</v>
      </c>
      <c r="C396" s="83" t="s">
        <v>3860</v>
      </c>
      <c r="D396" s="83" t="s">
        <v>3616</v>
      </c>
      <c r="E396" s="33" t="str">
        <f>IFERROR(__xludf.DUMMYFUNCTION("""COMPUTED_VALUE"""),"Школа 1553")</f>
        <v>Школа 1553</v>
      </c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117" t="s">
        <v>33</v>
      </c>
      <c r="B397" s="164" t="s">
        <v>2547</v>
      </c>
      <c r="C397" s="83" t="s">
        <v>3861</v>
      </c>
      <c r="D397" s="83" t="s">
        <v>3616</v>
      </c>
      <c r="E397" s="33" t="str">
        <f>IFERROR(__xludf.DUMMYFUNCTION("""COMPUTED_VALUE"""),"Школа 1557")</f>
        <v>Школа 1557</v>
      </c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117" t="s">
        <v>33</v>
      </c>
      <c r="B398" s="164" t="s">
        <v>2550</v>
      </c>
      <c r="C398" s="83" t="s">
        <v>3862</v>
      </c>
      <c r="D398" s="83" t="s">
        <v>3616</v>
      </c>
      <c r="E398" s="33" t="str">
        <f>IFERROR(__xludf.DUMMYFUNCTION("""COMPUTED_VALUE"""),"Школа 1560")</f>
        <v>Школа 1560</v>
      </c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117" t="s">
        <v>33</v>
      </c>
      <c r="B399" s="164" t="s">
        <v>2552</v>
      </c>
      <c r="C399" s="83" t="s">
        <v>3863</v>
      </c>
      <c r="D399" s="83" t="s">
        <v>3616</v>
      </c>
      <c r="E399" s="33" t="str">
        <f>IFERROR(__xludf.DUMMYFUNCTION("""COMPUTED_VALUE"""),"Школа 1566")</f>
        <v>Школа 1566</v>
      </c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117" t="s">
        <v>33</v>
      </c>
      <c r="B400" s="164" t="s">
        <v>2554</v>
      </c>
      <c r="C400" s="83" t="s">
        <v>3449</v>
      </c>
      <c r="D400" s="83" t="s">
        <v>3616</v>
      </c>
      <c r="E400" s="33" t="str">
        <f>IFERROR(__xludf.DUMMYFUNCTION("""COMPUTED_VALUE"""),"Школа 1570")</f>
        <v>Школа 1570</v>
      </c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117" t="s">
        <v>33</v>
      </c>
      <c r="B401" s="164" t="s">
        <v>2556</v>
      </c>
      <c r="C401" s="83" t="s">
        <v>3864</v>
      </c>
      <c r="D401" s="83" t="s">
        <v>3616</v>
      </c>
      <c r="E401" s="33" t="str">
        <f>IFERROR(__xludf.DUMMYFUNCTION("""COMPUTED_VALUE"""),"Школа 1571")</f>
        <v>Школа 1571</v>
      </c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117" t="s">
        <v>33</v>
      </c>
      <c r="B402" s="164" t="s">
        <v>2559</v>
      </c>
      <c r="C402" s="83" t="s">
        <v>3865</v>
      </c>
      <c r="D402" s="83" t="s">
        <v>3616</v>
      </c>
      <c r="E402" s="33" t="str">
        <f>IFERROR(__xludf.DUMMYFUNCTION("""COMPUTED_VALUE"""),"Школа 1575")</f>
        <v>Школа 1575</v>
      </c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117" t="s">
        <v>33</v>
      </c>
      <c r="B403" s="164" t="s">
        <v>2562</v>
      </c>
      <c r="C403" s="83" t="s">
        <v>3762</v>
      </c>
      <c r="D403" s="83" t="s">
        <v>3616</v>
      </c>
      <c r="E403" s="33" t="str">
        <f>IFERROR(__xludf.DUMMYFUNCTION("""COMPUTED_VALUE"""),"Школа 1579")</f>
        <v>Школа 1579</v>
      </c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117" t="s">
        <v>33</v>
      </c>
      <c r="B404" s="164" t="s">
        <v>2565</v>
      </c>
      <c r="C404" s="83" t="s">
        <v>3866</v>
      </c>
      <c r="D404" s="83" t="s">
        <v>3616</v>
      </c>
      <c r="E404" s="33" t="str">
        <f>IFERROR(__xludf.DUMMYFUNCTION("""COMPUTED_VALUE"""),"Школа 1583")</f>
        <v>Школа 1583</v>
      </c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117" t="s">
        <v>33</v>
      </c>
      <c r="B405" s="164" t="s">
        <v>2567</v>
      </c>
      <c r="C405" s="83" t="s">
        <v>3867</v>
      </c>
      <c r="D405" s="83" t="s">
        <v>3616</v>
      </c>
      <c r="E405" s="33" t="str">
        <f>IFERROR(__xludf.DUMMYFUNCTION("""COMPUTED_VALUE"""),"Школа 1584")</f>
        <v>Школа 1584</v>
      </c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117" t="s">
        <v>33</v>
      </c>
      <c r="B406" s="164" t="s">
        <v>2569</v>
      </c>
      <c r="C406" s="83" t="s">
        <v>3868</v>
      </c>
      <c r="D406" s="83" t="s">
        <v>3616</v>
      </c>
      <c r="E406" s="33" t="str">
        <f>IFERROR(__xludf.DUMMYFUNCTION("""COMPUTED_VALUE"""),"Школа 1636")</f>
        <v>Школа 1636</v>
      </c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117" t="s">
        <v>33</v>
      </c>
      <c r="B407" s="164" t="s">
        <v>2571</v>
      </c>
      <c r="C407" s="83" t="s">
        <v>3869</v>
      </c>
      <c r="D407" s="83" t="s">
        <v>3616</v>
      </c>
      <c r="E407" s="33" t="str">
        <f>IFERROR(__xludf.DUMMYFUNCTION("""COMPUTED_VALUE"""),"Школа 1770")</f>
        <v>Школа 1770</v>
      </c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117" t="s">
        <v>33</v>
      </c>
      <c r="B408" s="164" t="s">
        <v>2574</v>
      </c>
      <c r="C408" s="83" t="s">
        <v>3870</v>
      </c>
      <c r="D408" s="83" t="s">
        <v>3616</v>
      </c>
      <c r="E408" s="33" t="str">
        <f>IFERROR(__xludf.DUMMYFUNCTION("""COMPUTED_VALUE"""),"Школа 1811")</f>
        <v>Школа 1811</v>
      </c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117" t="s">
        <v>33</v>
      </c>
      <c r="B409" s="164" t="s">
        <v>2577</v>
      </c>
      <c r="C409" s="83" t="s">
        <v>3353</v>
      </c>
      <c r="D409" s="83" t="s">
        <v>3616</v>
      </c>
      <c r="E409" s="33" t="str">
        <f>IFERROR(__xludf.DUMMYFUNCTION("""COMPUTED_VALUE"""),"Школа 1861")</f>
        <v>Школа 1861</v>
      </c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117" t="s">
        <v>33</v>
      </c>
      <c r="B410" s="164" t="s">
        <v>2579</v>
      </c>
      <c r="C410" s="83" t="s">
        <v>3354</v>
      </c>
      <c r="D410" s="83" t="s">
        <v>3616</v>
      </c>
      <c r="E410" s="33" t="str">
        <f>IFERROR(__xludf.DUMMYFUNCTION("""COMPUTED_VALUE"""),"Школа 1862")</f>
        <v>Школа 1862</v>
      </c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117" t="s">
        <v>33</v>
      </c>
      <c r="B411" s="164" t="s">
        <v>2581</v>
      </c>
      <c r="C411" s="83" t="s">
        <v>3871</v>
      </c>
      <c r="D411" s="83" t="s">
        <v>3616</v>
      </c>
      <c r="E411" s="33" t="str">
        <f>IFERROR(__xludf.DUMMYFUNCTION("""COMPUTED_VALUE"""),"Школа 1950")</f>
        <v>Школа 1950</v>
      </c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117" t="s">
        <v>33</v>
      </c>
      <c r="B412" s="164" t="s">
        <v>2584</v>
      </c>
      <c r="C412" s="83" t="s">
        <v>3872</v>
      </c>
      <c r="D412" s="83" t="s">
        <v>3616</v>
      </c>
      <c r="E412" s="33" t="str">
        <f>IFERROR(__xludf.DUMMYFUNCTION("""COMPUTED_VALUE"""),"Школа 1980")</f>
        <v>Школа 1980</v>
      </c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117" t="s">
        <v>33</v>
      </c>
      <c r="B413" s="164" t="s">
        <v>2587</v>
      </c>
      <c r="C413" s="83" t="s">
        <v>3873</v>
      </c>
      <c r="D413" s="83" t="s">
        <v>3616</v>
      </c>
      <c r="E413" s="33" t="str">
        <f>IFERROR(__xludf.DUMMYFUNCTION("""COMPUTED_VALUE"""),"Школа 2000")</f>
        <v>Школа 2000</v>
      </c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117" t="s">
        <v>33</v>
      </c>
      <c r="B414" s="164" t="s">
        <v>2590</v>
      </c>
      <c r="C414" s="83" t="s">
        <v>3420</v>
      </c>
      <c r="D414" s="83" t="s">
        <v>3616</v>
      </c>
      <c r="E414" s="33" t="str">
        <f>IFERROR(__xludf.DUMMYFUNCTION("""COMPUTED_VALUE"""),"Школа 2005")</f>
        <v>Школа 2005</v>
      </c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117" t="s">
        <v>33</v>
      </c>
      <c r="B415" s="164" t="s">
        <v>2592</v>
      </c>
      <c r="C415" s="83" t="s">
        <v>3525</v>
      </c>
      <c r="D415" s="83" t="s">
        <v>3616</v>
      </c>
      <c r="E415" s="33" t="str">
        <f>IFERROR(__xludf.DUMMYFUNCTION("""COMPUTED_VALUE"""),"Школа 2031")</f>
        <v>Школа 2031</v>
      </c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117" t="s">
        <v>33</v>
      </c>
      <c r="B416" s="164" t="s">
        <v>2594</v>
      </c>
      <c r="C416" s="83" t="s">
        <v>3874</v>
      </c>
      <c r="D416" s="83" t="s">
        <v>3616</v>
      </c>
      <c r="E416" s="33" t="str">
        <f>IFERROR(__xludf.DUMMYFUNCTION("""COMPUTED_VALUE"""),"Школа 2045")</f>
        <v>Школа 2045</v>
      </c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117" t="s">
        <v>33</v>
      </c>
      <c r="B417" s="164" t="s">
        <v>2596</v>
      </c>
      <c r="C417" s="83" t="s">
        <v>3875</v>
      </c>
      <c r="D417" s="83" t="s">
        <v>3616</v>
      </c>
      <c r="E417" s="33" t="str">
        <f>IFERROR(__xludf.DUMMYFUNCTION("""COMPUTED_VALUE"""),"Школа 2048")</f>
        <v>Школа 2048</v>
      </c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117" t="s">
        <v>33</v>
      </c>
      <c r="B418" s="164" t="s">
        <v>2598</v>
      </c>
      <c r="C418" s="83" t="s">
        <v>3484</v>
      </c>
      <c r="D418" s="83" t="s">
        <v>3616</v>
      </c>
      <c r="E418" s="33" t="str">
        <f>IFERROR(__xludf.DUMMYFUNCTION("""COMPUTED_VALUE"""),"Школа 2065")</f>
        <v>Школа 2065</v>
      </c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117" t="s">
        <v>33</v>
      </c>
      <c r="B419" s="164" t="s">
        <v>2600</v>
      </c>
      <c r="C419" s="83" t="s">
        <v>3876</v>
      </c>
      <c r="D419" s="83" t="s">
        <v>3616</v>
      </c>
      <c r="E419" s="33" t="str">
        <f>IFERROR(__xludf.DUMMYFUNCTION("""COMPUTED_VALUE"""),"Школа 2070")</f>
        <v>Школа 2070</v>
      </c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117" t="s">
        <v>33</v>
      </c>
      <c r="B420" s="164" t="s">
        <v>2603</v>
      </c>
      <c r="C420" s="83" t="s">
        <v>3877</v>
      </c>
      <c r="D420" s="83" t="s">
        <v>3616</v>
      </c>
      <c r="E420" s="33" t="str">
        <f>IFERROR(__xludf.DUMMYFUNCTION("""COMPUTED_VALUE"""),"Школа 2083")</f>
        <v>Школа 2083</v>
      </c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117" t="s">
        <v>33</v>
      </c>
      <c r="B421" s="164" t="s">
        <v>2606</v>
      </c>
      <c r="C421" s="83" t="s">
        <v>3878</v>
      </c>
      <c r="D421" s="83" t="s">
        <v>3616</v>
      </c>
      <c r="E421" s="33" t="str">
        <f>IFERROR(__xludf.DUMMYFUNCTION("""COMPUTED_VALUE"""),"Школа 2087")</f>
        <v>Школа 2087</v>
      </c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117" t="s">
        <v>33</v>
      </c>
      <c r="B422" s="164" t="s">
        <v>2609</v>
      </c>
      <c r="C422" s="83" t="s">
        <v>3879</v>
      </c>
      <c r="D422" s="83" t="s">
        <v>3616</v>
      </c>
      <c r="E422" s="33" t="str">
        <f>IFERROR(__xludf.DUMMYFUNCTION("""COMPUTED_VALUE"""),"Школа 2097")</f>
        <v>Школа 2097</v>
      </c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117" t="s">
        <v>33</v>
      </c>
      <c r="B423" s="164" t="s">
        <v>2612</v>
      </c>
      <c r="C423" s="83" t="s">
        <v>3880</v>
      </c>
      <c r="D423" s="83" t="s">
        <v>3616</v>
      </c>
      <c r="E423" s="33" t="str">
        <f>IFERROR(__xludf.DUMMYFUNCTION("""COMPUTED_VALUE"""),"Школа 2098")</f>
        <v>Школа 2098</v>
      </c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117" t="s">
        <v>33</v>
      </c>
      <c r="B424" s="164" t="s">
        <v>2615</v>
      </c>
      <c r="C424" s="83" t="s">
        <v>3881</v>
      </c>
      <c r="D424" s="83" t="s">
        <v>3616</v>
      </c>
      <c r="E424" s="33" t="str">
        <f>IFERROR(__xludf.DUMMYFUNCTION("""COMPUTED_VALUE"""),"Школа 2100")</f>
        <v>Школа 2100</v>
      </c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117" t="s">
        <v>33</v>
      </c>
      <c r="B425" s="164" t="s">
        <v>2618</v>
      </c>
      <c r="C425" s="83" t="s">
        <v>3362</v>
      </c>
      <c r="D425" s="83" t="s">
        <v>3616</v>
      </c>
      <c r="E425" s="33" t="str">
        <f>IFERROR(__xludf.DUMMYFUNCTION("""COMPUTED_VALUE"""),"Школа 2120")</f>
        <v>Школа 2120</v>
      </c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117" t="s">
        <v>33</v>
      </c>
      <c r="B426" s="164" t="s">
        <v>2620</v>
      </c>
      <c r="C426" s="83" t="s">
        <v>3882</v>
      </c>
      <c r="D426" s="83" t="s">
        <v>3616</v>
      </c>
      <c r="E426" s="33" t="str">
        <f>IFERROR(__xludf.DUMMYFUNCTION("""COMPUTED_VALUE"""),"Школа 2127")</f>
        <v>Школа 2127</v>
      </c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117" t="s">
        <v>33</v>
      </c>
      <c r="B427" s="164" t="s">
        <v>2622</v>
      </c>
      <c r="C427" s="83" t="s">
        <v>3795</v>
      </c>
      <c r="D427" s="83" t="s">
        <v>3616</v>
      </c>
      <c r="E427" s="33" t="str">
        <f>IFERROR(__xludf.DUMMYFUNCTION("""COMPUTED_VALUE"""),"Школа 2129")</f>
        <v>Школа 2129</v>
      </c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117" t="s">
        <v>33</v>
      </c>
      <c r="B428" s="164" t="s">
        <v>2624</v>
      </c>
      <c r="C428" s="83" t="s">
        <v>3883</v>
      </c>
      <c r="D428" s="83" t="s">
        <v>3616</v>
      </c>
      <c r="E428" s="33" t="str">
        <f>IFERROR(__xludf.DUMMYFUNCTION("""COMPUTED_VALUE"""),"Школа 1212")</f>
        <v>Школа 1212</v>
      </c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117" t="s">
        <v>33</v>
      </c>
      <c r="B429" s="164" t="s">
        <v>2625</v>
      </c>
      <c r="C429" s="83" t="s">
        <v>3735</v>
      </c>
      <c r="D429" s="83" t="s">
        <v>3616</v>
      </c>
      <c r="E429" s="33" t="str">
        <f>IFERROR(__xludf.DUMMYFUNCTION("""COMPUTED_VALUE"""),"Школа на проспекте Вернадского")</f>
        <v>Школа на проспекте Вернадского</v>
      </c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117" t="s">
        <v>33</v>
      </c>
      <c r="B430" s="164" t="s">
        <v>2627</v>
      </c>
      <c r="C430" s="83" t="s">
        <v>3529</v>
      </c>
      <c r="D430" s="83" t="s">
        <v>3616</v>
      </c>
      <c r="E430" s="33" t="str">
        <f>IFERROR(__xludf.DUMMYFUNCTION("""COMPUTED_VALUE"""),"Вешняковская школа")</f>
        <v>Вешняковская школа</v>
      </c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117" t="s">
        <v>33</v>
      </c>
      <c r="B431" s="164" t="s">
        <v>2629</v>
      </c>
      <c r="C431" s="83" t="s">
        <v>3734</v>
      </c>
      <c r="D431" s="83" t="s">
        <v>3616</v>
      </c>
      <c r="E431" s="33" t="str">
        <f>IFERROR(__xludf.DUMMYFUNCTION("""COMPUTED_VALUE"""),"Школа Глория")</f>
        <v>Школа Глория</v>
      </c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117" t="s">
        <v>33</v>
      </c>
      <c r="B432" s="164" t="s">
        <v>2631</v>
      </c>
      <c r="C432" s="83" t="s">
        <v>3486</v>
      </c>
      <c r="D432" s="83" t="s">
        <v>3616</v>
      </c>
      <c r="E432" s="33" t="str">
        <f>IFERROR(__xludf.DUMMYFUNCTION("""COMPUTED_VALUE"""),"Школа Дмитровский им. Героя Советского Союза В. П. Кислякова")</f>
        <v>Школа Дмитровский им. Героя Советского Союза В. П. Кислякова</v>
      </c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117" t="s">
        <v>33</v>
      </c>
      <c r="B433" s="164" t="s">
        <v>2633</v>
      </c>
      <c r="C433" s="83" t="s">
        <v>3456</v>
      </c>
      <c r="D433" s="83" t="s">
        <v>3616</v>
      </c>
      <c r="E433" s="33" t="str">
        <f>IFERROR(__xludf.DUMMYFUNCTION("""COMPUTED_VALUE"""),"Школа им. Ф. М. Достоевского")</f>
        <v>Школа им. Ф. М. Достоевского</v>
      </c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117" t="s">
        <v>33</v>
      </c>
      <c r="B434" s="164" t="s">
        <v>2635</v>
      </c>
      <c r="C434" s="83" t="s">
        <v>3673</v>
      </c>
      <c r="D434" s="83" t="s">
        <v>3616</v>
      </c>
      <c r="E434" s="33" t="str">
        <f>IFERROR(__xludf.DUMMYFUNCTION("""COMPUTED_VALUE"""),"Школа Интеграл")</f>
        <v>Школа Интеграл</v>
      </c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117" t="s">
        <v>33</v>
      </c>
      <c r="B435" s="164" t="s">
        <v>2638</v>
      </c>
      <c r="C435" s="83" t="s">
        <v>3667</v>
      </c>
      <c r="D435" s="83" t="s">
        <v>3616</v>
      </c>
      <c r="E435" s="33" t="str">
        <f>IFERROR(__xludf.DUMMYFUNCTION("""COMPUTED_VALUE"""),"Курчатовская школа")</f>
        <v>Курчатовская школа</v>
      </c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117" t="s">
        <v>33</v>
      </c>
      <c r="B436" s="164" t="s">
        <v>2640</v>
      </c>
      <c r="C436" s="83" t="s">
        <v>3672</v>
      </c>
      <c r="D436" s="83" t="s">
        <v>3616</v>
      </c>
      <c r="E436" s="33" t="str">
        <f>IFERROR(__xludf.DUMMYFUNCTION("""COMPUTED_VALUE"""),"Школа Марьина Роща им. В. Ф. Орлова")</f>
        <v>Школа Марьина Роща им. В. Ф. Орлова</v>
      </c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117" t="s">
        <v>33</v>
      </c>
      <c r="B437" s="164" t="s">
        <v>2642</v>
      </c>
      <c r="C437" s="83" t="s">
        <v>3530</v>
      </c>
      <c r="D437" s="83" t="s">
        <v>3616</v>
      </c>
      <c r="E437" s="33" t="str">
        <f>IFERROR(__xludf.DUMMYFUNCTION("""COMPUTED_VALUE"""),"Школа Марьино им. маршала авиации А. Е. Голованова")</f>
        <v>Школа Марьино им. маршала авиации А. Е. Голованова</v>
      </c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117" t="s">
        <v>33</v>
      </c>
      <c r="B438" s="164" t="s">
        <v>2645</v>
      </c>
      <c r="C438" s="83" t="s">
        <v>3367</v>
      </c>
      <c r="D438" s="83" t="s">
        <v>3616</v>
      </c>
      <c r="E438" s="33" t="str">
        <f>IFERROR(__xludf.DUMMYFUNCTION("""COMPUTED_VALUE"""),"Школа им. В. В. Маяковского")</f>
        <v>Школа им. В. В. Маяковского</v>
      </c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117" t="s">
        <v>33</v>
      </c>
      <c r="B439" s="164" t="s">
        <v>2648</v>
      </c>
      <c r="C439" s="83" t="s">
        <v>3668</v>
      </c>
      <c r="D439" s="83" t="s">
        <v>3616</v>
      </c>
      <c r="E439" s="33" t="str">
        <f>IFERROR(__xludf.DUMMYFUNCTION("""COMPUTED_VALUE"""),"Школа в Некрасовке")</f>
        <v>Школа в Некрасовке</v>
      </c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117" t="s">
        <v>33</v>
      </c>
      <c r="B440" s="164" t="s">
        <v>2651</v>
      </c>
      <c r="C440" s="83" t="s">
        <v>3669</v>
      </c>
      <c r="D440" s="83" t="s">
        <v>3616</v>
      </c>
      <c r="E440" s="33" t="str">
        <f>IFERROR(__xludf.DUMMYFUNCTION("""COMPUTED_VALUE"""),"Школа Новокосино им. Героя Советского Союза адмирала А. П. Михайловского")</f>
        <v>Школа Новокосино им. Героя Советского Союза адмирала А. П. Михайловского</v>
      </c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117" t="s">
        <v>33</v>
      </c>
      <c r="B441" s="164" t="s">
        <v>2654</v>
      </c>
      <c r="C441" s="83" t="s">
        <v>3671</v>
      </c>
      <c r="D441" s="83" t="s">
        <v>3616</v>
      </c>
      <c r="E441" s="33" t="str">
        <f>IFERROR(__xludf.DUMMYFUNCTION("""COMPUTED_VALUE"""),"Школа Покровский квартал")</f>
        <v>Школа Покровский квартал</v>
      </c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117" t="s">
        <v>33</v>
      </c>
      <c r="B442" s="164" t="s">
        <v>2656</v>
      </c>
      <c r="C442" s="83" t="s">
        <v>3670</v>
      </c>
      <c r="D442" s="83" t="s">
        <v>3616</v>
      </c>
      <c r="E442" s="33" t="str">
        <f>IFERROR(__xludf.DUMMYFUNCTION("""COMPUTED_VALUE"""),"Образовательный центр Протон")</f>
        <v>Образовательный центр Протон</v>
      </c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117" t="s">
        <v>33</v>
      </c>
      <c r="B443" s="164" t="s">
        <v>2658</v>
      </c>
      <c r="C443" s="83" t="s">
        <v>3576</v>
      </c>
      <c r="D443" s="83" t="s">
        <v>3616</v>
      </c>
      <c r="E443" s="33" t="str">
        <f>IFERROR(__xludf.DUMMYFUNCTION("""COMPUTED_VALUE"""),"Школа Свиблово")</f>
        <v>Школа Свиблово</v>
      </c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117" t="s">
        <v>33</v>
      </c>
      <c r="B444" s="164" t="s">
        <v>2660</v>
      </c>
      <c r="C444" s="83" t="s">
        <v>3455</v>
      </c>
      <c r="D444" s="83" t="s">
        <v>3616</v>
      </c>
      <c r="E444" s="33" t="str">
        <f>IFERROR(__xludf.DUMMYFUNCTION("""COMPUTED_VALUE"""),"Школа Тропарево")</f>
        <v>Школа Тропарево</v>
      </c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117" t="s">
        <v>33</v>
      </c>
      <c r="B445" s="164" t="s">
        <v>2662</v>
      </c>
      <c r="C445" s="83" t="s">
        <v>3884</v>
      </c>
      <c r="D445" s="83" t="s">
        <v>3460</v>
      </c>
      <c r="E445" s="33" t="str">
        <f>IFERROR(__xludf.DUMMYFUNCTION("""COMPUTED_VALUE"""),"Школа 149")</f>
        <v>Школа 149</v>
      </c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117" t="s">
        <v>33</v>
      </c>
      <c r="B446" s="164" t="s">
        <v>2664</v>
      </c>
      <c r="C446" s="83" t="s">
        <v>3885</v>
      </c>
      <c r="D446" s="83" t="s">
        <v>3460</v>
      </c>
      <c r="E446" s="33" t="str">
        <f>IFERROR(__xludf.DUMMYFUNCTION("""COMPUTED_VALUE"""),"Школа 283")</f>
        <v>Школа 283</v>
      </c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117" t="s">
        <v>33</v>
      </c>
      <c r="B447" s="164" t="s">
        <v>2666</v>
      </c>
      <c r="C447" s="83" t="s">
        <v>3886</v>
      </c>
      <c r="D447" s="83" t="s">
        <v>3460</v>
      </c>
      <c r="E447" s="33" t="str">
        <f>IFERROR(__xludf.DUMMYFUNCTION("""COMPUTED_VALUE"""),"Школа 285")</f>
        <v>Школа 285</v>
      </c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117" t="s">
        <v>33</v>
      </c>
      <c r="B448" s="164" t="s">
        <v>2668</v>
      </c>
      <c r="C448" s="83" t="s">
        <v>3887</v>
      </c>
      <c r="D448" s="83" t="s">
        <v>3460</v>
      </c>
      <c r="E448" s="33" t="str">
        <f>IFERROR(__xludf.DUMMYFUNCTION("""COMPUTED_VALUE"""),"Школа 338")</f>
        <v>Школа 338</v>
      </c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117" t="s">
        <v>33</v>
      </c>
      <c r="B449" s="164" t="s">
        <v>2671</v>
      </c>
      <c r="C449" s="83" t="s">
        <v>3888</v>
      </c>
      <c r="D449" s="83" t="s">
        <v>3460</v>
      </c>
      <c r="E449" s="33" t="str">
        <f>IFERROR(__xludf.DUMMYFUNCTION("""COMPUTED_VALUE"""),"Школа 429")</f>
        <v>Школа 429</v>
      </c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117" t="s">
        <v>33</v>
      </c>
      <c r="B450" s="164" t="s">
        <v>2673</v>
      </c>
      <c r="C450" s="83" t="s">
        <v>3889</v>
      </c>
      <c r="D450" s="83" t="s">
        <v>3460</v>
      </c>
      <c r="E450" s="33" t="str">
        <f>IFERROR(__xludf.DUMMYFUNCTION("""COMPUTED_VALUE"""),"Школа 444")</f>
        <v>Школа 444</v>
      </c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117" t="s">
        <v>33</v>
      </c>
      <c r="B451" s="164" t="s">
        <v>2676</v>
      </c>
      <c r="C451" s="83" t="s">
        <v>3890</v>
      </c>
      <c r="D451" s="83" t="s">
        <v>3460</v>
      </c>
      <c r="E451" s="33" t="str">
        <f>IFERROR(__xludf.DUMMYFUNCTION("""COMPUTED_VALUE"""),"Школа 463")</f>
        <v>Школа 463</v>
      </c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117" t="s">
        <v>33</v>
      </c>
      <c r="B452" s="164" t="s">
        <v>2678</v>
      </c>
      <c r="C452" s="83" t="s">
        <v>3436</v>
      </c>
      <c r="D452" s="83" t="s">
        <v>3460</v>
      </c>
      <c r="E452" s="33" t="str">
        <f>IFERROR(__xludf.DUMMYFUNCTION("""COMPUTED_VALUE"""),"Школа 827")</f>
        <v>Школа 827</v>
      </c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117" t="s">
        <v>33</v>
      </c>
      <c r="B453" s="164" t="s">
        <v>2680</v>
      </c>
      <c r="C453" s="83" t="s">
        <v>3891</v>
      </c>
      <c r="D453" s="83" t="s">
        <v>3460</v>
      </c>
      <c r="E453" s="33" t="str">
        <f>IFERROR(__xludf.DUMMYFUNCTION("""COMPUTED_VALUE"""),"Школа 949")</f>
        <v>Школа 949</v>
      </c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117" t="s">
        <v>33</v>
      </c>
      <c r="B454" s="164" t="s">
        <v>2683</v>
      </c>
      <c r="C454" s="83" t="s">
        <v>3557</v>
      </c>
      <c r="D454" s="83" t="s">
        <v>3460</v>
      </c>
      <c r="E454" s="33" t="str">
        <f>IFERROR(__xludf.DUMMYFUNCTION("""COMPUTED_VALUE"""),"Школа 998")</f>
        <v>Школа 998</v>
      </c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117" t="s">
        <v>33</v>
      </c>
      <c r="B455" s="164" t="s">
        <v>2686</v>
      </c>
      <c r="C455" s="83" t="s">
        <v>3685</v>
      </c>
      <c r="D455" s="83" t="s">
        <v>3460</v>
      </c>
      <c r="E455" s="33" t="str">
        <f>IFERROR(__xludf.DUMMYFUNCTION("""COMPUTED_VALUE"""),"Школа 1101")</f>
        <v>Школа 1101</v>
      </c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117" t="s">
        <v>33</v>
      </c>
      <c r="B456" s="164" t="s">
        <v>2688</v>
      </c>
      <c r="C456" s="83" t="s">
        <v>3892</v>
      </c>
      <c r="D456" s="83" t="s">
        <v>3460</v>
      </c>
      <c r="E456" s="33" t="str">
        <f>IFERROR(__xludf.DUMMYFUNCTION("""COMPUTED_VALUE"""),"Школа 1228")</f>
        <v>Школа 1228</v>
      </c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117" t="s">
        <v>33</v>
      </c>
      <c r="B457" s="164" t="s">
        <v>2691</v>
      </c>
      <c r="C457" s="83" t="s">
        <v>3564</v>
      </c>
      <c r="D457" s="83" t="s">
        <v>3460</v>
      </c>
      <c r="E457" s="33" t="str">
        <f>IFERROR(__xludf.DUMMYFUNCTION("""COMPUTED_VALUE"""),"Школа 1252")</f>
        <v>Школа 1252</v>
      </c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117" t="s">
        <v>33</v>
      </c>
      <c r="B458" s="164" t="s">
        <v>2693</v>
      </c>
      <c r="C458" s="83" t="s">
        <v>3893</v>
      </c>
      <c r="D458" s="83" t="s">
        <v>3460</v>
      </c>
      <c r="E458" s="33" t="str">
        <f>IFERROR(__xludf.DUMMYFUNCTION("""COMPUTED_VALUE"""),"Школа 1270")</f>
        <v>Школа 1270</v>
      </c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117" t="s">
        <v>33</v>
      </c>
      <c r="B459" s="164" t="s">
        <v>2695</v>
      </c>
      <c r="C459" s="83" t="s">
        <v>3894</v>
      </c>
      <c r="D459" s="83" t="s">
        <v>3460</v>
      </c>
      <c r="E459" s="33" t="str">
        <f>IFERROR(__xludf.DUMMYFUNCTION("""COMPUTED_VALUE"""),"Школа 1290")</f>
        <v>Школа 1290</v>
      </c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117" t="s">
        <v>33</v>
      </c>
      <c r="B460" s="164" t="s">
        <v>2697</v>
      </c>
      <c r="C460" s="83" t="s">
        <v>3895</v>
      </c>
      <c r="D460" s="83" t="s">
        <v>3460</v>
      </c>
      <c r="E460" s="33" t="str">
        <f>IFERROR(__xludf.DUMMYFUNCTION("""COMPUTED_VALUE"""),"Школа 1293")</f>
        <v>Школа 1293</v>
      </c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117" t="s">
        <v>33</v>
      </c>
      <c r="B461" s="164" t="s">
        <v>2699</v>
      </c>
      <c r="C461" s="83" t="s">
        <v>3896</v>
      </c>
      <c r="D461" s="83" t="s">
        <v>3460</v>
      </c>
      <c r="E461" s="33" t="str">
        <f>IFERROR(__xludf.DUMMYFUNCTION("""COMPUTED_VALUE"""),"Школа 1362")</f>
        <v>Школа 1362</v>
      </c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117" t="s">
        <v>33</v>
      </c>
      <c r="B462" s="164" t="s">
        <v>2701</v>
      </c>
      <c r="C462" s="83" t="s">
        <v>3897</v>
      </c>
      <c r="D462" s="83" t="s">
        <v>3460</v>
      </c>
      <c r="E462" s="33" t="str">
        <f>IFERROR(__xludf.DUMMYFUNCTION("""COMPUTED_VALUE"""),"Школа 1413")</f>
        <v>Школа 1413</v>
      </c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117" t="s">
        <v>33</v>
      </c>
      <c r="B463" s="164" t="s">
        <v>2703</v>
      </c>
      <c r="C463" s="83" t="s">
        <v>3790</v>
      </c>
      <c r="D463" s="83" t="s">
        <v>3460</v>
      </c>
      <c r="E463" s="33" t="str">
        <f>IFERROR(__xludf.DUMMYFUNCTION("""COMPUTED_VALUE"""),"Школа 1430")</f>
        <v>Школа 1430</v>
      </c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117" t="s">
        <v>33</v>
      </c>
      <c r="B464" s="164" t="s">
        <v>2706</v>
      </c>
      <c r="C464" s="83" t="s">
        <v>3898</v>
      </c>
      <c r="D464" s="83" t="s">
        <v>3460</v>
      </c>
      <c r="E464" s="33" t="str">
        <f>IFERROR(__xludf.DUMMYFUNCTION("""COMPUTED_VALUE"""),"Школа 1502")</f>
        <v>Школа 1502</v>
      </c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117" t="s">
        <v>33</v>
      </c>
      <c r="B465" s="164" t="s">
        <v>2708</v>
      </c>
      <c r="C465" s="83" t="s">
        <v>3444</v>
      </c>
      <c r="D465" s="83" t="s">
        <v>3460</v>
      </c>
      <c r="E465" s="33" t="str">
        <f>IFERROR(__xludf.DUMMYFUNCTION("""COMPUTED_VALUE"""),"Школа 1507")</f>
        <v>Школа 1507</v>
      </c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117" t="s">
        <v>33</v>
      </c>
      <c r="B466" s="164" t="s">
        <v>2711</v>
      </c>
      <c r="C466" s="83" t="s">
        <v>3899</v>
      </c>
      <c r="D466" s="83" t="s">
        <v>3460</v>
      </c>
      <c r="E466" s="33" t="str">
        <f>IFERROR(__xludf.DUMMYFUNCTION("""COMPUTED_VALUE"""),"Школа 1518")</f>
        <v>Школа 1518</v>
      </c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117" t="s">
        <v>33</v>
      </c>
      <c r="B467" s="164" t="s">
        <v>2714</v>
      </c>
      <c r="C467" s="83" t="s">
        <v>3900</v>
      </c>
      <c r="D467" s="83" t="s">
        <v>3460</v>
      </c>
      <c r="E467" s="33" t="str">
        <f>IFERROR(__xludf.DUMMYFUNCTION("""COMPUTED_VALUE"""),"Школа 1524")</f>
        <v>Школа 1524</v>
      </c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117" t="s">
        <v>33</v>
      </c>
      <c r="B468" s="164" t="s">
        <v>2717</v>
      </c>
      <c r="C468" s="83" t="s">
        <v>3901</v>
      </c>
      <c r="D468" s="83" t="s">
        <v>3460</v>
      </c>
      <c r="E468" s="33" t="str">
        <f>IFERROR(__xludf.DUMMYFUNCTION("""COMPUTED_VALUE"""),"Школа 1527")</f>
        <v>Школа 1527</v>
      </c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117" t="s">
        <v>33</v>
      </c>
      <c r="B469" s="164" t="s">
        <v>2719</v>
      </c>
      <c r="C469" s="83" t="s">
        <v>3445</v>
      </c>
      <c r="D469" s="83" t="s">
        <v>3460</v>
      </c>
      <c r="E469" s="33" t="str">
        <f>IFERROR(__xludf.DUMMYFUNCTION("""COMPUTED_VALUE"""),"Школа 1537")</f>
        <v>Школа 1537</v>
      </c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117" t="s">
        <v>33</v>
      </c>
      <c r="B470" s="164" t="s">
        <v>2720</v>
      </c>
      <c r="C470" s="83" t="s">
        <v>3902</v>
      </c>
      <c r="D470" s="83" t="s">
        <v>3460</v>
      </c>
      <c r="E470" s="33" t="str">
        <f>IFERROR(__xludf.DUMMYFUNCTION("""COMPUTED_VALUE"""),"Школа 1564")</f>
        <v>Школа 1564</v>
      </c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117" t="s">
        <v>33</v>
      </c>
      <c r="B471" s="164" t="s">
        <v>2722</v>
      </c>
      <c r="C471" s="83" t="s">
        <v>3903</v>
      </c>
      <c r="D471" s="83" t="s">
        <v>3460</v>
      </c>
      <c r="E471" s="33" t="str">
        <f>IFERROR(__xludf.DUMMYFUNCTION("""COMPUTED_VALUE"""),"Школа 1637")</f>
        <v>Школа 1637</v>
      </c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117" t="s">
        <v>33</v>
      </c>
      <c r="B472" s="164" t="s">
        <v>2724</v>
      </c>
      <c r="C472" s="83" t="s">
        <v>3904</v>
      </c>
      <c r="D472" s="83" t="s">
        <v>3460</v>
      </c>
      <c r="E472" s="33" t="str">
        <f>IFERROR(__xludf.DUMMYFUNCTION("""COMPUTED_VALUE"""),"Школа 1799")</f>
        <v>Школа 1799</v>
      </c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117" t="s">
        <v>33</v>
      </c>
      <c r="B473" s="164" t="s">
        <v>2727</v>
      </c>
      <c r="C473" s="83" t="s">
        <v>3905</v>
      </c>
      <c r="D473" s="83" t="s">
        <v>3460</v>
      </c>
      <c r="E473" s="33" t="str">
        <f>IFERROR(__xludf.DUMMYFUNCTION("""COMPUTED_VALUE"""),"Школа 2072")</f>
        <v>Школа 2072</v>
      </c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117" t="s">
        <v>33</v>
      </c>
      <c r="B474" s="164" t="s">
        <v>2729</v>
      </c>
      <c r="C474" s="83" t="s">
        <v>3906</v>
      </c>
      <c r="D474" s="83" t="s">
        <v>3460</v>
      </c>
      <c r="E474" s="33" t="str">
        <f>IFERROR(__xludf.DUMMYFUNCTION("""COMPUTED_VALUE"""),"Школа 2101")</f>
        <v>Школа 2101</v>
      </c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117" t="s">
        <v>33</v>
      </c>
      <c r="B475" s="164" t="s">
        <v>2731</v>
      </c>
      <c r="C475" s="83" t="s">
        <v>3907</v>
      </c>
      <c r="D475" s="83" t="s">
        <v>3460</v>
      </c>
      <c r="E475" s="33" t="str">
        <f>IFERROR(__xludf.DUMMYFUNCTION("""COMPUTED_VALUE"""),"Школа 2123")</f>
        <v>Школа 2123</v>
      </c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117" t="s">
        <v>33</v>
      </c>
      <c r="B476" s="164" t="s">
        <v>2733</v>
      </c>
      <c r="C476" s="83" t="s">
        <v>3908</v>
      </c>
      <c r="D476" s="83" t="s">
        <v>3460</v>
      </c>
      <c r="E476" s="33" t="str">
        <f>IFERROR(__xludf.DUMMYFUNCTION("""COMPUTED_VALUE"""),"Школа 1558")</f>
        <v>Школа 1558</v>
      </c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117" t="s">
        <v>33</v>
      </c>
      <c r="B477" s="164" t="s">
        <v>2735</v>
      </c>
      <c r="C477" s="83" t="s">
        <v>3909</v>
      </c>
      <c r="D477" s="83" t="s">
        <v>3322</v>
      </c>
      <c r="E477" s="33" t="str">
        <f>IFERROR(__xludf.DUMMYFUNCTION("""COMPUTED_VALUE"""),"Школа 86")</f>
        <v>Школа 86</v>
      </c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117" t="s">
        <v>33</v>
      </c>
      <c r="B478" s="164" t="s">
        <v>2738</v>
      </c>
      <c r="C478" s="83" t="s">
        <v>3910</v>
      </c>
      <c r="D478" s="83" t="s">
        <v>3322</v>
      </c>
      <c r="E478" s="33" t="str">
        <f>IFERROR(__xludf.DUMMYFUNCTION("""COMPUTED_VALUE"""),"Школа 324")</f>
        <v>Школа 324</v>
      </c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117" t="s">
        <v>33</v>
      </c>
      <c r="B479" s="164" t="s">
        <v>2740</v>
      </c>
      <c r="C479" s="83" t="s">
        <v>3326</v>
      </c>
      <c r="D479" s="83" t="s">
        <v>3322</v>
      </c>
      <c r="E479" s="33" t="str">
        <f>IFERROR(__xludf.DUMMYFUNCTION("""COMPUTED_VALUE"""),"Школа 491")</f>
        <v>Школа 491</v>
      </c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117" t="s">
        <v>33</v>
      </c>
      <c r="B480" s="164" t="s">
        <v>2742</v>
      </c>
      <c r="C480" s="83" t="s">
        <v>3911</v>
      </c>
      <c r="D480" s="83" t="s">
        <v>3322</v>
      </c>
      <c r="E480" s="33" t="str">
        <f>IFERROR(__xludf.DUMMYFUNCTION("""COMPUTED_VALUE"""),"Школа 498")</f>
        <v>Школа 498</v>
      </c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117" t="s">
        <v>33</v>
      </c>
      <c r="B481" s="164" t="s">
        <v>2744</v>
      </c>
      <c r="C481" s="83" t="s">
        <v>3912</v>
      </c>
      <c r="D481" s="83" t="s">
        <v>3322</v>
      </c>
      <c r="E481" s="33" t="str">
        <f>IFERROR(__xludf.DUMMYFUNCTION("""COMPUTED_VALUE"""),"Школа 727")</f>
        <v>Школа 727</v>
      </c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117" t="s">
        <v>33</v>
      </c>
      <c r="B482" s="164" t="s">
        <v>2746</v>
      </c>
      <c r="C482" s="83" t="s">
        <v>3913</v>
      </c>
      <c r="D482" s="83" t="s">
        <v>3322</v>
      </c>
      <c r="E482" s="33" t="str">
        <f>IFERROR(__xludf.DUMMYFUNCTION("""COMPUTED_VALUE"""),"Школа 760")</f>
        <v>Школа 760</v>
      </c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117" t="s">
        <v>33</v>
      </c>
      <c r="B483" s="164" t="s">
        <v>2748</v>
      </c>
      <c r="C483" s="83" t="s">
        <v>3588</v>
      </c>
      <c r="D483" s="83" t="s">
        <v>3322</v>
      </c>
      <c r="E483" s="33" t="str">
        <f>IFERROR(__xludf.DUMMYFUNCTION("""COMPUTED_VALUE"""),"Школа 853")</f>
        <v>Школа 853</v>
      </c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117" t="s">
        <v>33</v>
      </c>
      <c r="B484" s="164" t="s">
        <v>2750</v>
      </c>
      <c r="C484" s="83" t="s">
        <v>3770</v>
      </c>
      <c r="D484" s="83" t="s">
        <v>3322</v>
      </c>
      <c r="E484" s="33" t="str">
        <f>IFERROR(__xludf.DUMMYFUNCTION("""COMPUTED_VALUE"""),"Школа 902")</f>
        <v>Школа 902</v>
      </c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117" t="s">
        <v>33</v>
      </c>
      <c r="B485" s="164" t="s">
        <v>2752</v>
      </c>
      <c r="C485" s="83" t="s">
        <v>3914</v>
      </c>
      <c r="D485" s="83" t="s">
        <v>3322</v>
      </c>
      <c r="E485" s="33" t="str">
        <f>IFERROR(__xludf.DUMMYFUNCTION("""COMPUTED_VALUE"""),"Школа 1195")</f>
        <v>Школа 1195</v>
      </c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117" t="s">
        <v>33</v>
      </c>
      <c r="B486" s="164" t="s">
        <v>2754</v>
      </c>
      <c r="C486" s="83" t="s">
        <v>3591</v>
      </c>
      <c r="D486" s="83" t="s">
        <v>3322</v>
      </c>
      <c r="E486" s="33" t="str">
        <f>IFERROR(__xludf.DUMMYFUNCTION("""COMPUTED_VALUE"""),"Школа 1210")</f>
        <v>Школа 1210</v>
      </c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117" t="s">
        <v>33</v>
      </c>
      <c r="B487" s="164" t="s">
        <v>2756</v>
      </c>
      <c r="C487" s="83" t="s">
        <v>3915</v>
      </c>
      <c r="D487" s="83" t="s">
        <v>3322</v>
      </c>
      <c r="E487" s="33" t="str">
        <f>IFERROR(__xludf.DUMMYFUNCTION("""COMPUTED_VALUE"""),"Школа 1251")</f>
        <v>Школа 1251</v>
      </c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117" t="s">
        <v>33</v>
      </c>
      <c r="B488" s="164" t="s">
        <v>2757</v>
      </c>
      <c r="C488" s="83" t="s">
        <v>3601</v>
      </c>
      <c r="D488" s="83" t="s">
        <v>3322</v>
      </c>
      <c r="E488" s="33" t="str">
        <f>IFERROR(__xludf.DUMMYFUNCTION("""COMPUTED_VALUE"""),"Школа 1324")</f>
        <v>Школа 1324</v>
      </c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117" t="s">
        <v>33</v>
      </c>
      <c r="B489" s="164" t="s">
        <v>2759</v>
      </c>
      <c r="C489" s="83" t="s">
        <v>3916</v>
      </c>
      <c r="D489" s="83" t="s">
        <v>3322</v>
      </c>
      <c r="E489" s="33" t="str">
        <f>IFERROR(__xludf.DUMMYFUNCTION("""COMPUTED_VALUE"""),"Школа 1353")</f>
        <v>Школа 1353</v>
      </c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117" t="s">
        <v>33</v>
      </c>
      <c r="B490" s="164" t="s">
        <v>2762</v>
      </c>
      <c r="C490" s="83" t="s">
        <v>3917</v>
      </c>
      <c r="D490" s="83" t="s">
        <v>3322</v>
      </c>
      <c r="E490" s="33" t="str">
        <f>IFERROR(__xludf.DUMMYFUNCTION("""COMPUTED_VALUE"""),"Школа 1354")</f>
        <v>Школа 1354</v>
      </c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117" t="s">
        <v>33</v>
      </c>
      <c r="B491" s="164" t="s">
        <v>2764</v>
      </c>
      <c r="C491" s="83" t="s">
        <v>3567</v>
      </c>
      <c r="D491" s="83" t="s">
        <v>3322</v>
      </c>
      <c r="E491" s="33" t="str">
        <f>IFERROR(__xludf.DUMMYFUNCTION("""COMPUTED_VALUE"""),"Школа 1357")</f>
        <v>Школа 1357</v>
      </c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117" t="s">
        <v>33</v>
      </c>
      <c r="B492" s="164" t="s">
        <v>2767</v>
      </c>
      <c r="C492" s="83" t="s">
        <v>3918</v>
      </c>
      <c r="D492" s="83" t="s">
        <v>3322</v>
      </c>
      <c r="E492" s="33" t="str">
        <f>IFERROR(__xludf.DUMMYFUNCTION("""COMPUTED_VALUE"""),"Школа 1370")</f>
        <v>Школа 1370</v>
      </c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117" t="s">
        <v>33</v>
      </c>
      <c r="B493" s="164" t="s">
        <v>2769</v>
      </c>
      <c r="C493" s="83" t="s">
        <v>3919</v>
      </c>
      <c r="D493" s="83" t="s">
        <v>3322</v>
      </c>
      <c r="E493" s="33" t="str">
        <f>IFERROR(__xludf.DUMMYFUNCTION("""COMPUTED_VALUE"""),"Школа 1371")</f>
        <v>Школа 1371</v>
      </c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117" t="s">
        <v>33</v>
      </c>
      <c r="B494" s="164" t="s">
        <v>2771</v>
      </c>
      <c r="C494" s="83" t="s">
        <v>3920</v>
      </c>
      <c r="D494" s="83" t="s">
        <v>3322</v>
      </c>
      <c r="E494" s="33" t="str">
        <f>IFERROR(__xludf.DUMMYFUNCTION("""COMPUTED_VALUE"""),"Школа 1500")</f>
        <v>Школа 1500</v>
      </c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117" t="s">
        <v>33</v>
      </c>
      <c r="B495" s="164" t="s">
        <v>2773</v>
      </c>
      <c r="C495" s="83" t="s">
        <v>3921</v>
      </c>
      <c r="D495" s="83" t="s">
        <v>3322</v>
      </c>
      <c r="E495" s="33" t="str">
        <f>IFERROR(__xludf.DUMMYFUNCTION("""COMPUTED_VALUE"""),"Школа 1793")</f>
        <v>Школа 1793</v>
      </c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117" t="s">
        <v>33</v>
      </c>
      <c r="B496" s="164" t="s">
        <v>2776</v>
      </c>
      <c r="C496" s="83" t="s">
        <v>3922</v>
      </c>
      <c r="D496" s="83" t="s">
        <v>3322</v>
      </c>
      <c r="E496" s="33" t="str">
        <f>IFERROR(__xludf.DUMMYFUNCTION("""COMPUTED_VALUE"""),"Школа 1795")</f>
        <v>Школа 1795</v>
      </c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117" t="s">
        <v>33</v>
      </c>
      <c r="B497" s="164" t="s">
        <v>2778</v>
      </c>
      <c r="C497" s="83" t="s">
        <v>3923</v>
      </c>
      <c r="D497" s="83" t="s">
        <v>3322</v>
      </c>
      <c r="E497" s="33" t="str">
        <f>IFERROR(__xludf.DUMMYFUNCTION("""COMPUTED_VALUE"""),"Школа 2009")</f>
        <v>Школа 2009</v>
      </c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117" t="s">
        <v>33</v>
      </c>
      <c r="B498" s="164" t="s">
        <v>2780</v>
      </c>
      <c r="C498" s="83" t="s">
        <v>3360</v>
      </c>
      <c r="D498" s="83" t="s">
        <v>3322</v>
      </c>
      <c r="E498" s="33" t="str">
        <f>IFERROR(__xludf.DUMMYFUNCTION("""COMPUTED_VALUE"""),"Школа 2094")</f>
        <v>Школа 2094</v>
      </c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7" t="s">
        <v>32</v>
      </c>
      <c r="B499" s="26">
        <v>1.0</v>
      </c>
      <c r="C499" s="83" t="s">
        <v>3430</v>
      </c>
      <c r="D499" s="33"/>
      <c r="E499" s="33" t="str">
        <f>IFERROR(__xludf.DUMMYFUNCTION("""COMPUTED_VALUE"""),"Школа 7")</f>
        <v>Школа 7</v>
      </c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7" t="s">
        <v>32</v>
      </c>
      <c r="B500" s="26">
        <v>2.0</v>
      </c>
      <c r="C500" s="83" t="s">
        <v>3924</v>
      </c>
      <c r="D500" s="33"/>
      <c r="E500" s="33" t="str">
        <f>IFERROR(__xludf.DUMMYFUNCTION("""COMPUTED_VALUE"""),"Школа 14")</f>
        <v>Школа 14</v>
      </c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7" t="s">
        <v>32</v>
      </c>
      <c r="B501" s="26">
        <v>3.0</v>
      </c>
      <c r="C501" s="83" t="s">
        <v>3925</v>
      </c>
      <c r="D501" s="33"/>
      <c r="E501" s="33" t="str">
        <f>IFERROR(__xludf.DUMMYFUNCTION("""COMPUTED_VALUE"""),"Школа 37")</f>
        <v>Школа 37</v>
      </c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7" t="s">
        <v>32</v>
      </c>
      <c r="B502" s="26">
        <v>4.0</v>
      </c>
      <c r="C502" s="83" t="s">
        <v>3340</v>
      </c>
      <c r="D502" s="33"/>
      <c r="E502" s="33" t="str">
        <f>IFERROR(__xludf.DUMMYFUNCTION("""COMPUTED_VALUE"""),"Школа 56")</f>
        <v>Школа 56</v>
      </c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7" t="s">
        <v>32</v>
      </c>
      <c r="B503" s="26">
        <v>5.0</v>
      </c>
      <c r="C503" s="83" t="s">
        <v>3459</v>
      </c>
      <c r="D503" s="33"/>
      <c r="E503" s="33" t="str">
        <f>IFERROR(__xludf.DUMMYFUNCTION("""COMPUTED_VALUE"""),"Школа 138")</f>
        <v>Школа 138</v>
      </c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7" t="s">
        <v>32</v>
      </c>
      <c r="B504" s="26">
        <v>6.0</v>
      </c>
      <c r="C504" s="83" t="s">
        <v>3739</v>
      </c>
      <c r="D504" s="33"/>
      <c r="E504" s="33" t="str">
        <f>IFERROR(__xludf.DUMMYFUNCTION("""COMPUTED_VALUE"""),"Школа 152")</f>
        <v>Школа 152</v>
      </c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7" t="s">
        <v>32</v>
      </c>
      <c r="B505" s="26">
        <v>7.0</v>
      </c>
      <c r="C505" s="83" t="s">
        <v>3371</v>
      </c>
      <c r="D505" s="33"/>
      <c r="E505" s="33" t="str">
        <f>IFERROR(__xludf.DUMMYFUNCTION("""COMPUTED_VALUE"""),"Школа 185")</f>
        <v>Школа 185</v>
      </c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7" t="s">
        <v>32</v>
      </c>
      <c r="B506" s="26">
        <v>8.0</v>
      </c>
      <c r="C506" s="83" t="s">
        <v>3740</v>
      </c>
      <c r="D506" s="33"/>
      <c r="E506" s="33" t="str">
        <f>IFERROR(__xludf.DUMMYFUNCTION("""COMPUTED_VALUE"""),"Школа 338")</f>
        <v>Школа 338</v>
      </c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7" t="s">
        <v>32</v>
      </c>
      <c r="B507" s="26">
        <v>9.0</v>
      </c>
      <c r="C507" s="83" t="s">
        <v>3619</v>
      </c>
      <c r="D507" s="33"/>
      <c r="E507" s="33" t="str">
        <f>IFERROR(__xludf.DUMMYFUNCTION("""COMPUTED_VALUE"""),"Школа 444")</f>
        <v>Школа 444</v>
      </c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7" t="s">
        <v>32</v>
      </c>
      <c r="B508" s="26">
        <v>10.0</v>
      </c>
      <c r="C508" s="83" t="s">
        <v>3807</v>
      </c>
      <c r="D508" s="33"/>
      <c r="E508" s="33" t="str">
        <f>IFERROR(__xludf.DUMMYFUNCTION("""COMPUTED_VALUE"""),"Школа 463")</f>
        <v>Школа 463</v>
      </c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7" t="s">
        <v>32</v>
      </c>
      <c r="B509" s="26">
        <v>11.0</v>
      </c>
      <c r="C509" s="83" t="s">
        <v>3680</v>
      </c>
      <c r="D509" s="33"/>
      <c r="E509" s="33" t="str">
        <f>IFERROR(__xludf.DUMMYFUNCTION("""COMPUTED_VALUE"""),"Школа 627")</f>
        <v>Школа 627</v>
      </c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7" t="s">
        <v>32</v>
      </c>
      <c r="B510" s="26">
        <v>12.0</v>
      </c>
      <c r="C510" s="83" t="s">
        <v>3375</v>
      </c>
      <c r="D510" s="33"/>
      <c r="E510" s="33" t="str">
        <f>IFERROR(__xludf.DUMMYFUNCTION("""COMPUTED_VALUE"""),"Школа 654")</f>
        <v>Школа 654</v>
      </c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7" t="s">
        <v>32</v>
      </c>
      <c r="B511" s="26">
        <v>13.0</v>
      </c>
      <c r="C511" s="83" t="s">
        <v>3554</v>
      </c>
      <c r="D511" s="33"/>
      <c r="E511" s="33" t="str">
        <f>IFERROR(__xludf.DUMMYFUNCTION("""COMPUTED_VALUE"""),"Школа 656")</f>
        <v>Школа 656</v>
      </c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7" t="s">
        <v>32</v>
      </c>
      <c r="B512" s="26">
        <v>14.0</v>
      </c>
      <c r="C512" s="83" t="s">
        <v>3681</v>
      </c>
      <c r="D512" s="33"/>
      <c r="E512" s="33" t="str">
        <f>IFERROR(__xludf.DUMMYFUNCTION("""COMPUTED_VALUE"""),"Школа 667")</f>
        <v>Школа 667</v>
      </c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7" t="s">
        <v>32</v>
      </c>
      <c r="B513" s="26">
        <v>15.0</v>
      </c>
      <c r="C513" s="83" t="s">
        <v>3464</v>
      </c>
      <c r="D513" s="33"/>
      <c r="E513" s="33" t="str">
        <f>IFERROR(__xludf.DUMMYFUNCTION("""COMPUTED_VALUE"""),"Школа 727")</f>
        <v>Школа 727</v>
      </c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7" t="s">
        <v>32</v>
      </c>
      <c r="B514" s="26">
        <v>16.0</v>
      </c>
      <c r="C514" s="83" t="s">
        <v>3377</v>
      </c>
      <c r="D514" s="33"/>
      <c r="E514" s="33" t="str">
        <f>IFERROR(__xludf.DUMMYFUNCTION("""COMPUTED_VALUE"""),"Школа 814")</f>
        <v>Школа 814</v>
      </c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7" t="s">
        <v>32</v>
      </c>
      <c r="B515" s="26">
        <v>17.0</v>
      </c>
      <c r="C515" s="83" t="s">
        <v>3466</v>
      </c>
      <c r="D515" s="33"/>
      <c r="E515" s="33" t="str">
        <f>IFERROR(__xludf.DUMMYFUNCTION("""COMPUTED_VALUE"""),"Школа 853")</f>
        <v>Школа 853</v>
      </c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7" t="s">
        <v>32</v>
      </c>
      <c r="B516" s="26">
        <v>18.0</v>
      </c>
      <c r="C516" s="83" t="s">
        <v>3379</v>
      </c>
      <c r="D516" s="33"/>
      <c r="E516" s="33" t="str">
        <f>IFERROR(__xludf.DUMMYFUNCTION("""COMPUTED_VALUE"""),"Школа 887")</f>
        <v>Школа 887</v>
      </c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7" t="s">
        <v>32</v>
      </c>
      <c r="B517" s="26">
        <v>19.0</v>
      </c>
      <c r="C517" s="83" t="s">
        <v>3380</v>
      </c>
      <c r="D517" s="33"/>
      <c r="E517" s="33" t="str">
        <f>IFERROR(__xludf.DUMMYFUNCTION("""COMPUTED_VALUE"""),"Школа 924")</f>
        <v>Школа 924</v>
      </c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7" t="s">
        <v>32</v>
      </c>
      <c r="B518" s="26">
        <v>20.0</v>
      </c>
      <c r="C518" s="83" t="s">
        <v>3684</v>
      </c>
      <c r="D518" s="33"/>
      <c r="E518" s="33" t="str">
        <f>IFERROR(__xludf.DUMMYFUNCTION("""COMPUTED_VALUE"""),"Школа 953")</f>
        <v>Школа 953</v>
      </c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7" t="s">
        <v>32</v>
      </c>
      <c r="B519" s="26">
        <v>21.0</v>
      </c>
      <c r="C519" s="83" t="s">
        <v>3502</v>
      </c>
      <c r="D519" s="33"/>
      <c r="E519" s="33" t="str">
        <f>IFERROR(__xludf.DUMMYFUNCTION("""COMPUTED_VALUE"""),"Школа 962")</f>
        <v>Школа 962</v>
      </c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7" t="s">
        <v>32</v>
      </c>
      <c r="B520" s="26">
        <v>22.0</v>
      </c>
      <c r="C520" s="83" t="s">
        <v>3747</v>
      </c>
      <c r="D520" s="33"/>
      <c r="E520" s="33" t="str">
        <f>IFERROR(__xludf.DUMMYFUNCTION("""COMPUTED_VALUE"""),"Школа 1000")</f>
        <v>Школа 1000</v>
      </c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7" t="s">
        <v>32</v>
      </c>
      <c r="B521" s="26">
        <v>23.0</v>
      </c>
      <c r="C521" s="83" t="s">
        <v>3503</v>
      </c>
      <c r="D521" s="33"/>
      <c r="E521" s="33" t="str">
        <f>IFERROR(__xludf.DUMMYFUNCTION("""COMPUTED_VALUE"""),"Школа 1018")</f>
        <v>Школа 1018</v>
      </c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7" t="s">
        <v>32</v>
      </c>
      <c r="B522" s="26">
        <v>24.0</v>
      </c>
      <c r="C522" s="83" t="s">
        <v>3321</v>
      </c>
      <c r="D522" s="33"/>
      <c r="E522" s="33" t="str">
        <f>IFERROR(__xludf.DUMMYFUNCTION("""COMPUTED_VALUE"""),"Школа 1034")</f>
        <v>Школа 1034</v>
      </c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7" t="s">
        <v>32</v>
      </c>
      <c r="B523" s="26">
        <v>25.0</v>
      </c>
      <c r="C523" s="83" t="s">
        <v>3383</v>
      </c>
      <c r="D523" s="33"/>
      <c r="E523" s="33" t="str">
        <f>IFERROR(__xludf.DUMMYFUNCTION("""COMPUTED_VALUE"""),"Школа 1095")</f>
        <v>Школа 1095</v>
      </c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7" t="s">
        <v>32</v>
      </c>
      <c r="B524" s="26">
        <v>26.0</v>
      </c>
      <c r="C524" s="83" t="s">
        <v>3623</v>
      </c>
      <c r="D524" s="33"/>
      <c r="E524" s="33" t="str">
        <f>IFERROR(__xludf.DUMMYFUNCTION("""COMPUTED_VALUE"""),"Школа 1158")</f>
        <v>Школа 1158</v>
      </c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7" t="s">
        <v>32</v>
      </c>
      <c r="B525" s="26">
        <v>27.0</v>
      </c>
      <c r="C525" s="83" t="s">
        <v>3771</v>
      </c>
      <c r="D525" s="33"/>
      <c r="E525" s="33" t="str">
        <f>IFERROR(__xludf.DUMMYFUNCTION("""COMPUTED_VALUE"""),"Школа 1173")</f>
        <v>Школа 1173</v>
      </c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7" t="s">
        <v>32</v>
      </c>
      <c r="B526" s="26">
        <v>28.0</v>
      </c>
      <c r="C526" s="83" t="s">
        <v>3624</v>
      </c>
      <c r="D526" s="33"/>
      <c r="E526" s="33" t="str">
        <f>IFERROR(__xludf.DUMMYFUNCTION("""COMPUTED_VALUE"""),"Школа 1194")</f>
        <v>Школа 1194</v>
      </c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7" t="s">
        <v>32</v>
      </c>
      <c r="B527" s="26">
        <v>29.0</v>
      </c>
      <c r="C527" s="83" t="s">
        <v>3345</v>
      </c>
      <c r="D527" s="33"/>
      <c r="E527" s="33" t="str">
        <f>IFERROR(__xludf.DUMMYFUNCTION("""COMPUTED_VALUE"""),"Школа 1195")</f>
        <v>Школа 1195</v>
      </c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7" t="s">
        <v>32</v>
      </c>
      <c r="B528" s="26">
        <v>30.0</v>
      </c>
      <c r="C528" s="83" t="s">
        <v>3689</v>
      </c>
      <c r="D528" s="33"/>
      <c r="E528" s="33" t="str">
        <f>IFERROR(__xludf.DUMMYFUNCTION("""COMPUTED_VALUE"""),"Школа 1205")</f>
        <v>Школа 1205</v>
      </c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7" t="s">
        <v>32</v>
      </c>
      <c r="B529" s="26">
        <v>31.0</v>
      </c>
      <c r="C529" s="83" t="s">
        <v>3384</v>
      </c>
      <c r="D529" s="33"/>
      <c r="E529" s="33" t="str">
        <f>IFERROR(__xludf.DUMMYFUNCTION("""COMPUTED_VALUE"""),"Школа 1206")</f>
        <v>Школа 1206</v>
      </c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7" t="s">
        <v>32</v>
      </c>
      <c r="B530" s="26">
        <v>32.0</v>
      </c>
      <c r="C530" s="83" t="s">
        <v>3385</v>
      </c>
      <c r="D530" s="33"/>
      <c r="E530" s="33" t="str">
        <f>IFERROR(__xludf.DUMMYFUNCTION("""COMPUTED_VALUE"""),"Школа 1208")</f>
        <v>Школа 1208</v>
      </c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7" t="s">
        <v>32</v>
      </c>
      <c r="B531" s="26">
        <v>33.0</v>
      </c>
      <c r="C531" s="83" t="s">
        <v>3469</v>
      </c>
      <c r="D531" s="33"/>
      <c r="E531" s="33" t="str">
        <f>IFERROR(__xludf.DUMMYFUNCTION("""COMPUTED_VALUE"""),"Школа 1210")</f>
        <v>Школа 1210</v>
      </c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7" t="s">
        <v>32</v>
      </c>
      <c r="B532" s="26">
        <v>34.0</v>
      </c>
      <c r="C532" s="83" t="s">
        <v>3593</v>
      </c>
      <c r="D532" s="33"/>
      <c r="E532" s="33" t="str">
        <f>IFERROR(__xludf.DUMMYFUNCTION("""COMPUTED_VALUE"""),"Школа 1223")</f>
        <v>Школа 1223</v>
      </c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7" t="s">
        <v>32</v>
      </c>
      <c r="B533" s="26">
        <v>35.0</v>
      </c>
      <c r="C533" s="83" t="s">
        <v>3386</v>
      </c>
      <c r="D533" s="33"/>
      <c r="E533" s="33" t="str">
        <f>IFERROR(__xludf.DUMMYFUNCTION("""COMPUTED_VALUE"""),"Школа 1231")</f>
        <v>Школа 1231</v>
      </c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7" t="s">
        <v>32</v>
      </c>
      <c r="B534" s="26">
        <v>36.0</v>
      </c>
      <c r="C534" s="83" t="s">
        <v>3387</v>
      </c>
      <c r="D534" s="33"/>
      <c r="E534" s="33" t="str">
        <f>IFERROR(__xludf.DUMMYFUNCTION("""COMPUTED_VALUE"""),"Школа 1238")</f>
        <v>Школа 1238</v>
      </c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7" t="s">
        <v>32</v>
      </c>
      <c r="B535" s="26">
        <v>37.0</v>
      </c>
      <c r="C535" s="83" t="s">
        <v>3596</v>
      </c>
      <c r="D535" s="33"/>
      <c r="E535" s="33" t="str">
        <f>IFERROR(__xludf.DUMMYFUNCTION("""COMPUTED_VALUE"""),"Школа 1245")</f>
        <v>Школа 1245</v>
      </c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7" t="s">
        <v>32</v>
      </c>
      <c r="B536" s="26">
        <v>38.0</v>
      </c>
      <c r="C536" s="83" t="s">
        <v>3598</v>
      </c>
      <c r="D536" s="33"/>
      <c r="E536" s="33" t="str">
        <f>IFERROR(__xludf.DUMMYFUNCTION("""COMPUTED_VALUE"""),"Школа 1250")</f>
        <v>Школа 1250</v>
      </c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7" t="s">
        <v>32</v>
      </c>
      <c r="B537" s="26">
        <v>39.0</v>
      </c>
      <c r="C537" s="83" t="s">
        <v>3389</v>
      </c>
      <c r="D537" s="33"/>
      <c r="E537" s="33" t="str">
        <f>IFERROR(__xludf.DUMMYFUNCTION("""COMPUTED_VALUE"""),"Школа 1251")</f>
        <v>Школа 1251</v>
      </c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7" t="s">
        <v>32</v>
      </c>
      <c r="B538" s="26">
        <v>40.0</v>
      </c>
      <c r="C538" s="83" t="s">
        <v>3749</v>
      </c>
      <c r="D538" s="33"/>
      <c r="E538" s="33" t="str">
        <f>IFERROR(__xludf.DUMMYFUNCTION("""COMPUTED_VALUE"""),"Школа 1252")</f>
        <v>Школа 1252</v>
      </c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7" t="s">
        <v>32</v>
      </c>
      <c r="B539" s="26">
        <v>41.0</v>
      </c>
      <c r="C539" s="83" t="s">
        <v>3346</v>
      </c>
      <c r="D539" s="33"/>
      <c r="E539" s="33" t="str">
        <f>IFERROR(__xludf.DUMMYFUNCTION("""COMPUTED_VALUE"""),"Школа 1273")</f>
        <v>Школа 1273</v>
      </c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7" t="s">
        <v>32</v>
      </c>
      <c r="B540" s="26">
        <v>42.0</v>
      </c>
      <c r="C540" s="83" t="s">
        <v>3600</v>
      </c>
      <c r="D540" s="33"/>
      <c r="E540" s="33" t="str">
        <f>IFERROR(__xludf.DUMMYFUNCTION("""COMPUTED_VALUE"""),"Школа 1279")</f>
        <v>Школа 1279</v>
      </c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7" t="s">
        <v>32</v>
      </c>
      <c r="B541" s="26">
        <v>43.0</v>
      </c>
      <c r="C541" s="83" t="s">
        <v>3926</v>
      </c>
      <c r="D541" s="33"/>
      <c r="E541" s="33" t="str">
        <f>IFERROR(__xludf.DUMMYFUNCTION("""COMPUTED_VALUE"""),"Школа 1284")</f>
        <v>Школа 1284</v>
      </c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7" t="s">
        <v>32</v>
      </c>
      <c r="B542" s="26">
        <v>44.0</v>
      </c>
      <c r="C542" s="83" t="s">
        <v>3391</v>
      </c>
      <c r="D542" s="33"/>
      <c r="E542" s="33" t="str">
        <f>IFERROR(__xludf.DUMMYFUNCTION("""COMPUTED_VALUE"""),"Школа 1286")</f>
        <v>Школа 1286</v>
      </c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7" t="s">
        <v>32</v>
      </c>
      <c r="B543" s="26">
        <v>45.0</v>
      </c>
      <c r="C543" s="83" t="s">
        <v>3541</v>
      </c>
      <c r="D543" s="33"/>
      <c r="E543" s="33" t="str">
        <f>IFERROR(__xludf.DUMMYFUNCTION("""COMPUTED_VALUE"""),"Школа 1287")</f>
        <v>Школа 1287</v>
      </c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7" t="s">
        <v>32</v>
      </c>
      <c r="B544" s="26">
        <v>46.0</v>
      </c>
      <c r="C544" s="83" t="s">
        <v>3392</v>
      </c>
      <c r="D544" s="33"/>
      <c r="E544" s="33" t="str">
        <f>IFERROR(__xludf.DUMMYFUNCTION("""COMPUTED_VALUE"""),"Школа 1288")</f>
        <v>Школа 1288</v>
      </c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7" t="s">
        <v>32</v>
      </c>
      <c r="B545" s="26">
        <v>47.0</v>
      </c>
      <c r="C545" s="83" t="s">
        <v>3472</v>
      </c>
      <c r="D545" s="33"/>
      <c r="E545" s="33" t="str">
        <f>IFERROR(__xludf.DUMMYFUNCTION("""COMPUTED_VALUE"""),"Школа 1293")</f>
        <v>Школа 1293</v>
      </c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7" t="s">
        <v>32</v>
      </c>
      <c r="B546" s="26">
        <v>48.0</v>
      </c>
      <c r="C546" s="83" t="s">
        <v>3927</v>
      </c>
      <c r="D546" s="33"/>
      <c r="E546" s="33" t="str">
        <f>IFERROR(__xludf.DUMMYFUNCTION("""COMPUTED_VALUE"""),"Школа 1296")</f>
        <v>Школа 1296</v>
      </c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7" t="s">
        <v>32</v>
      </c>
      <c r="B547" s="26">
        <v>49.0</v>
      </c>
      <c r="C547" s="83" t="s">
        <v>3394</v>
      </c>
      <c r="D547" s="33"/>
      <c r="E547" s="33" t="str">
        <f>IFERROR(__xludf.DUMMYFUNCTION("""COMPUTED_VALUE"""),"Школа 1298")</f>
        <v>Школа 1298</v>
      </c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7" t="s">
        <v>32</v>
      </c>
      <c r="B548" s="26">
        <v>50.0</v>
      </c>
      <c r="C548" s="83" t="s">
        <v>3542</v>
      </c>
      <c r="D548" s="33"/>
      <c r="E548" s="33" t="str">
        <f>IFERROR(__xludf.DUMMYFUNCTION("""COMPUTED_VALUE"""),"Школа 1324")</f>
        <v>Школа 1324</v>
      </c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7" t="s">
        <v>32</v>
      </c>
      <c r="B549" s="26">
        <v>51.0</v>
      </c>
      <c r="C549" s="83" t="s">
        <v>3397</v>
      </c>
      <c r="D549" s="33"/>
      <c r="E549" s="33" t="str">
        <f>IFERROR(__xludf.DUMMYFUNCTION("""COMPUTED_VALUE"""),"Школа 1347")</f>
        <v>Школа 1347</v>
      </c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7" t="s">
        <v>32</v>
      </c>
      <c r="B550" s="26">
        <v>52.0</v>
      </c>
      <c r="C550" s="83" t="s">
        <v>3398</v>
      </c>
      <c r="D550" s="33"/>
      <c r="E550" s="33" t="str">
        <f>IFERROR(__xludf.DUMMYFUNCTION("""COMPUTED_VALUE"""),"Школа 1353")</f>
        <v>Школа 1353</v>
      </c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7" t="s">
        <v>32</v>
      </c>
      <c r="B551" s="26">
        <v>53.0</v>
      </c>
      <c r="C551" s="83" t="s">
        <v>3347</v>
      </c>
      <c r="D551" s="33"/>
      <c r="E551" s="33" t="str">
        <f>IFERROR(__xludf.DUMMYFUNCTION("""COMPUTED_VALUE"""),"Школа 1355")</f>
        <v>Школа 1355</v>
      </c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7" t="s">
        <v>32</v>
      </c>
      <c r="B552" s="26">
        <v>54.0</v>
      </c>
      <c r="C552" s="83" t="s">
        <v>3399</v>
      </c>
      <c r="D552" s="33"/>
      <c r="E552" s="33" t="str">
        <f>IFERROR(__xludf.DUMMYFUNCTION("""COMPUTED_VALUE"""),"Школа 1359")</f>
        <v>Школа 1359</v>
      </c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7" t="s">
        <v>32</v>
      </c>
      <c r="B553" s="26">
        <v>55.0</v>
      </c>
      <c r="C553" s="83" t="s">
        <v>3628</v>
      </c>
      <c r="D553" s="33"/>
      <c r="E553" s="33" t="str">
        <f>IFERROR(__xludf.DUMMYFUNCTION("""COMPUTED_VALUE"""),"Школа 1363")</f>
        <v>Школа 1363</v>
      </c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7" t="s">
        <v>32</v>
      </c>
      <c r="B554" s="26">
        <v>56.0</v>
      </c>
      <c r="C554" s="83" t="s">
        <v>3629</v>
      </c>
      <c r="D554" s="33"/>
      <c r="E554" s="33" t="str">
        <f>IFERROR(__xludf.DUMMYFUNCTION("""COMPUTED_VALUE"""),"Школа 1367")</f>
        <v>Школа 1367</v>
      </c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7" t="s">
        <v>32</v>
      </c>
      <c r="B555" s="26">
        <v>57.0</v>
      </c>
      <c r="C555" s="83" t="s">
        <v>3630</v>
      </c>
      <c r="D555" s="33"/>
      <c r="E555" s="33" t="str">
        <f>IFERROR(__xludf.DUMMYFUNCTION("""COMPUTED_VALUE"""),"Школа 1375")</f>
        <v>Школа 1375</v>
      </c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7" t="s">
        <v>32</v>
      </c>
      <c r="B556" s="26">
        <v>58.0</v>
      </c>
      <c r="C556" s="83" t="s">
        <v>3810</v>
      </c>
      <c r="D556" s="33"/>
      <c r="E556" s="33" t="str">
        <f>IFERROR(__xludf.DUMMYFUNCTION("""COMPUTED_VALUE"""),"Школа 1381")</f>
        <v>Школа 1381</v>
      </c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7" t="s">
        <v>32</v>
      </c>
      <c r="B557" s="26">
        <v>59.0</v>
      </c>
      <c r="C557" s="83" t="s">
        <v>3401</v>
      </c>
      <c r="D557" s="33"/>
      <c r="E557" s="33" t="str">
        <f>IFERROR(__xludf.DUMMYFUNCTION("""COMPUTED_VALUE"""),"Школа 1391")</f>
        <v>Школа 1391</v>
      </c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7" t="s">
        <v>32</v>
      </c>
      <c r="B558" s="26">
        <v>60.0</v>
      </c>
      <c r="C558" s="83" t="s">
        <v>3329</v>
      </c>
      <c r="D558" s="33"/>
      <c r="E558" s="33" t="str">
        <f>IFERROR(__xludf.DUMMYFUNCTION("""COMPUTED_VALUE"""),"Школа 1392")</f>
        <v>Школа 1392</v>
      </c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7" t="s">
        <v>32</v>
      </c>
      <c r="B559" s="26">
        <v>61.0</v>
      </c>
      <c r="C559" s="83" t="s">
        <v>3474</v>
      </c>
      <c r="D559" s="33"/>
      <c r="E559" s="33" t="str">
        <f>IFERROR(__xludf.DUMMYFUNCTION("""COMPUTED_VALUE"""),"Школа 1400")</f>
        <v>Школа 1400</v>
      </c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7" t="s">
        <v>32</v>
      </c>
      <c r="B560" s="26">
        <v>62.0</v>
      </c>
      <c r="C560" s="83" t="s">
        <v>3631</v>
      </c>
      <c r="D560" s="33"/>
      <c r="E560" s="33" t="str">
        <f>IFERROR(__xludf.DUMMYFUNCTION("""COMPUTED_VALUE"""),"Школа 1409")</f>
        <v>Школа 1409</v>
      </c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7" t="s">
        <v>32</v>
      </c>
      <c r="B561" s="26">
        <v>63.0</v>
      </c>
      <c r="C561" s="83" t="s">
        <v>3632</v>
      </c>
      <c r="D561" s="33"/>
      <c r="E561" s="33" t="str">
        <f>IFERROR(__xludf.DUMMYFUNCTION("""COMPUTED_VALUE"""),"Школа 1420")</f>
        <v>Школа 1420</v>
      </c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7" t="s">
        <v>32</v>
      </c>
      <c r="B562" s="26">
        <v>64.0</v>
      </c>
      <c r="C562" s="83" t="s">
        <v>3695</v>
      </c>
      <c r="D562" s="33"/>
      <c r="E562" s="33" t="str">
        <f>IFERROR(__xludf.DUMMYFUNCTION("""COMPUTED_VALUE"""),"Школа 1440")</f>
        <v>Школа 1440</v>
      </c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7" t="s">
        <v>32</v>
      </c>
      <c r="B563" s="26">
        <v>65.0</v>
      </c>
      <c r="C563" s="83" t="s">
        <v>3754</v>
      </c>
      <c r="D563" s="33"/>
      <c r="E563" s="33" t="str">
        <f>IFERROR(__xludf.DUMMYFUNCTION("""COMPUTED_VALUE"""),"Школа 1448")</f>
        <v>Школа 1448</v>
      </c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7" t="s">
        <v>32</v>
      </c>
      <c r="B564" s="26">
        <v>66.0</v>
      </c>
      <c r="C564" s="83" t="s">
        <v>3635</v>
      </c>
      <c r="D564" s="33"/>
      <c r="E564" s="33" t="str">
        <f>IFERROR(__xludf.DUMMYFUNCTION("""COMPUTED_VALUE"""),"Школа 1474")</f>
        <v>Школа 1474</v>
      </c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7" t="s">
        <v>32</v>
      </c>
      <c r="B565" s="26">
        <v>67.0</v>
      </c>
      <c r="C565" s="83" t="s">
        <v>3404</v>
      </c>
      <c r="D565" s="33"/>
      <c r="E565" s="33" t="str">
        <f>IFERROR(__xludf.DUMMYFUNCTION("""COMPUTED_VALUE"""),"Школа 1494")</f>
        <v>Школа 1494</v>
      </c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7" t="s">
        <v>32</v>
      </c>
      <c r="B566" s="26">
        <v>68.0</v>
      </c>
      <c r="C566" s="83" t="s">
        <v>3348</v>
      </c>
      <c r="D566" s="33"/>
      <c r="E566" s="33" t="str">
        <f>IFERROR(__xludf.DUMMYFUNCTION("""COMPUTED_VALUE"""),"Школа 1498")</f>
        <v>Школа 1498</v>
      </c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7" t="s">
        <v>32</v>
      </c>
      <c r="B567" s="26">
        <v>69.0</v>
      </c>
      <c r="C567" s="83" t="s">
        <v>3638</v>
      </c>
      <c r="D567" s="33"/>
      <c r="E567" s="33" t="str">
        <f>IFERROR(__xludf.DUMMYFUNCTION("""COMPUTED_VALUE"""),"Школа 1506")</f>
        <v>Школа 1506</v>
      </c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7" t="s">
        <v>32</v>
      </c>
      <c r="B568" s="26">
        <v>70.0</v>
      </c>
      <c r="C568" s="83" t="s">
        <v>3405</v>
      </c>
      <c r="D568" s="33"/>
      <c r="E568" s="33" t="str">
        <f>IFERROR(__xludf.DUMMYFUNCTION("""COMPUTED_VALUE"""),"Школа 1508")</f>
        <v>Школа 1508</v>
      </c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7" t="s">
        <v>32</v>
      </c>
      <c r="B569" s="26">
        <v>71.0</v>
      </c>
      <c r="C569" s="83" t="s">
        <v>3640</v>
      </c>
      <c r="D569" s="33"/>
      <c r="E569" s="33" t="str">
        <f>IFERROR(__xludf.DUMMYFUNCTION("""COMPUTED_VALUE"""),"Школа 1517")</f>
        <v>Школа 1517</v>
      </c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7" t="s">
        <v>32</v>
      </c>
      <c r="B570" s="26">
        <v>72.0</v>
      </c>
      <c r="C570" s="83" t="s">
        <v>3758</v>
      </c>
      <c r="D570" s="33"/>
      <c r="E570" s="33" t="str">
        <f>IFERROR(__xludf.DUMMYFUNCTION("""COMPUTED_VALUE"""),"Школа 1518")</f>
        <v>Школа 1518</v>
      </c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7" t="s">
        <v>32</v>
      </c>
      <c r="B571" s="26">
        <v>73.0</v>
      </c>
      <c r="C571" s="83" t="s">
        <v>3702</v>
      </c>
      <c r="D571" s="33"/>
      <c r="E571" s="33" t="str">
        <f>IFERROR(__xludf.DUMMYFUNCTION("""COMPUTED_VALUE"""),"Школа 1519")</f>
        <v>Школа 1519</v>
      </c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7" t="s">
        <v>32</v>
      </c>
      <c r="B572" s="26">
        <v>74.0</v>
      </c>
      <c r="C572" s="83" t="s">
        <v>3641</v>
      </c>
      <c r="D572" s="33"/>
      <c r="E572" s="33" t="str">
        <f>IFERROR(__xludf.DUMMYFUNCTION("""COMPUTED_VALUE"""),"Школа 1527")</f>
        <v>Школа 1527</v>
      </c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7" t="s">
        <v>32</v>
      </c>
      <c r="B573" s="26">
        <v>75.0</v>
      </c>
      <c r="C573" s="83" t="s">
        <v>3704</v>
      </c>
      <c r="D573" s="33"/>
      <c r="E573" s="33" t="str">
        <f>IFERROR(__xludf.DUMMYFUNCTION("""COMPUTED_VALUE"""),"Школа 1530")</f>
        <v>Школа 1530</v>
      </c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7" t="s">
        <v>32</v>
      </c>
      <c r="B574" s="26">
        <v>76.0</v>
      </c>
      <c r="C574" s="83" t="s">
        <v>3928</v>
      </c>
      <c r="D574" s="33"/>
      <c r="E574" s="33" t="str">
        <f>IFERROR(__xludf.DUMMYFUNCTION("""COMPUTED_VALUE"""),"Школа 1531")</f>
        <v>Школа 1531</v>
      </c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7" t="s">
        <v>32</v>
      </c>
      <c r="B575" s="26">
        <v>77.0</v>
      </c>
      <c r="C575" s="83" t="s">
        <v>3643</v>
      </c>
      <c r="D575" s="33"/>
      <c r="E575" s="33" t="str">
        <f>IFERROR(__xludf.DUMMYFUNCTION("""COMPUTED_VALUE"""),"Школа 1534")</f>
        <v>Школа 1534</v>
      </c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7" t="s">
        <v>32</v>
      </c>
      <c r="B576" s="26">
        <v>78.0</v>
      </c>
      <c r="C576" s="83" t="s">
        <v>3644</v>
      </c>
      <c r="D576" s="33"/>
      <c r="E576" s="33" t="str">
        <f>IFERROR(__xludf.DUMMYFUNCTION("""COMPUTED_VALUE"""),"Школа 1535")</f>
        <v>Школа 1535</v>
      </c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7" t="s">
        <v>32</v>
      </c>
      <c r="B577" s="26">
        <v>79.0</v>
      </c>
      <c r="C577" s="83" t="s">
        <v>3706</v>
      </c>
      <c r="D577" s="33"/>
      <c r="E577" s="33" t="str">
        <f>IFERROR(__xludf.DUMMYFUNCTION("""COMPUTED_VALUE"""),"Школа 1537")</f>
        <v>Школа 1537</v>
      </c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7" t="s">
        <v>32</v>
      </c>
      <c r="B578" s="26">
        <v>80.0</v>
      </c>
      <c r="C578" s="83" t="s">
        <v>3645</v>
      </c>
      <c r="D578" s="33"/>
      <c r="E578" s="33" t="str">
        <f>IFERROR(__xludf.DUMMYFUNCTION("""COMPUTED_VALUE"""),"Школа 1538")</f>
        <v>Школа 1538</v>
      </c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7" t="s">
        <v>32</v>
      </c>
      <c r="B579" s="26">
        <v>81.0</v>
      </c>
      <c r="C579" s="83" t="s">
        <v>3446</v>
      </c>
      <c r="D579" s="33"/>
      <c r="E579" s="33" t="str">
        <f>IFERROR(__xludf.DUMMYFUNCTION("""COMPUTED_VALUE"""),"Школа 1539")</f>
        <v>Школа 1539</v>
      </c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7" t="s">
        <v>32</v>
      </c>
      <c r="B580" s="26">
        <v>82.0</v>
      </c>
      <c r="C580" s="83" t="s">
        <v>3447</v>
      </c>
      <c r="D580" s="33"/>
      <c r="E580" s="33" t="str">
        <f>IFERROR(__xludf.DUMMYFUNCTION("""COMPUTED_VALUE"""),"Школа 1542")</f>
        <v>Школа 1542</v>
      </c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7" t="s">
        <v>32</v>
      </c>
      <c r="B581" s="26">
        <v>83.0</v>
      </c>
      <c r="C581" s="83" t="s">
        <v>3479</v>
      </c>
      <c r="D581" s="33"/>
      <c r="E581" s="33" t="str">
        <f>IFERROR(__xludf.DUMMYFUNCTION("""COMPUTED_VALUE"""),"Школа 1544")</f>
        <v>Школа 1544</v>
      </c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7" t="s">
        <v>32</v>
      </c>
      <c r="B582" s="26">
        <v>84.0</v>
      </c>
      <c r="C582" s="83" t="s">
        <v>3707</v>
      </c>
      <c r="D582" s="33"/>
      <c r="E582" s="33" t="str">
        <f>IFERROR(__xludf.DUMMYFUNCTION("""COMPUTED_VALUE"""),"Школа 1547")</f>
        <v>Школа 1547</v>
      </c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7" t="s">
        <v>32</v>
      </c>
      <c r="B583" s="26">
        <v>85.0</v>
      </c>
      <c r="C583" s="83" t="s">
        <v>3448</v>
      </c>
      <c r="D583" s="33"/>
      <c r="E583" s="33" t="str">
        <f>IFERROR(__xludf.DUMMYFUNCTION("""COMPUTED_VALUE"""),"Школа 1552")</f>
        <v>Школа 1552</v>
      </c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7" t="s">
        <v>32</v>
      </c>
      <c r="B584" s="26">
        <v>86.0</v>
      </c>
      <c r="C584" s="83" t="s">
        <v>3647</v>
      </c>
      <c r="D584" s="33"/>
      <c r="E584" s="33" t="str">
        <f>IFERROR(__xludf.DUMMYFUNCTION("""COMPUTED_VALUE"""),"Школа 1557")</f>
        <v>Школа 1557</v>
      </c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7" t="s">
        <v>32</v>
      </c>
      <c r="B585" s="26">
        <v>87.0</v>
      </c>
      <c r="C585" s="83" t="s">
        <v>3648</v>
      </c>
      <c r="D585" s="33"/>
      <c r="E585" s="33" t="str">
        <f>IFERROR(__xludf.DUMMYFUNCTION("""COMPUTED_VALUE"""),"Школа 1560")</f>
        <v>Школа 1560</v>
      </c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7" t="s">
        <v>32</v>
      </c>
      <c r="B586" s="26">
        <v>88.0</v>
      </c>
      <c r="C586" s="83" t="s">
        <v>3351</v>
      </c>
      <c r="D586" s="33"/>
      <c r="E586" s="33" t="str">
        <f>IFERROR(__xludf.DUMMYFUNCTION("""COMPUTED_VALUE"""),"Школа 1566")</f>
        <v>Школа 1566</v>
      </c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7" t="s">
        <v>32</v>
      </c>
      <c r="B587" s="26">
        <v>89.0</v>
      </c>
      <c r="C587" s="83" t="s">
        <v>3409</v>
      </c>
      <c r="D587" s="33"/>
      <c r="E587" s="33" t="str">
        <f>IFERROR(__xludf.DUMMYFUNCTION("""COMPUTED_VALUE"""),"Школа 1569")</f>
        <v>Школа 1569</v>
      </c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7" t="s">
        <v>32</v>
      </c>
      <c r="B588" s="26">
        <v>90.0</v>
      </c>
      <c r="C588" s="83" t="s">
        <v>3410</v>
      </c>
      <c r="D588" s="33"/>
      <c r="E588" s="33" t="str">
        <f>IFERROR(__xludf.DUMMYFUNCTION("""COMPUTED_VALUE"""),"Школа 1570")</f>
        <v>Школа 1570</v>
      </c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7" t="s">
        <v>32</v>
      </c>
      <c r="B589" s="26">
        <v>91.0</v>
      </c>
      <c r="C589" s="83" t="s">
        <v>3711</v>
      </c>
      <c r="D589" s="33"/>
      <c r="E589" s="33" t="str">
        <f>IFERROR(__xludf.DUMMYFUNCTION("""COMPUTED_VALUE"""),"Школа 1575")</f>
        <v>Школа 1575</v>
      </c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7" t="s">
        <v>32</v>
      </c>
      <c r="B590" s="26">
        <v>92.0</v>
      </c>
      <c r="C590" s="83" t="s">
        <v>3518</v>
      </c>
      <c r="D590" s="33"/>
      <c r="E590" s="33" t="str">
        <f>IFERROR(__xludf.DUMMYFUNCTION("""COMPUTED_VALUE"""),"Школа 1579")</f>
        <v>Школа 1579</v>
      </c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7" t="s">
        <v>32</v>
      </c>
      <c r="B591" s="26">
        <v>93.0</v>
      </c>
      <c r="C591" s="83" t="s">
        <v>3412</v>
      </c>
      <c r="D591" s="33"/>
      <c r="E591" s="33" t="str">
        <f>IFERROR(__xludf.DUMMYFUNCTION("""COMPUTED_VALUE"""),"Школа 1582")</f>
        <v>Школа 1582</v>
      </c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7" t="s">
        <v>32</v>
      </c>
      <c r="B592" s="26">
        <v>94.0</v>
      </c>
      <c r="C592" s="83" t="s">
        <v>3652</v>
      </c>
      <c r="D592" s="33"/>
      <c r="E592" s="33" t="str">
        <f>IFERROR(__xludf.DUMMYFUNCTION("""COMPUTED_VALUE"""),"Школа 1584")</f>
        <v>Школа 1584</v>
      </c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7" t="s">
        <v>32</v>
      </c>
      <c r="B593" s="26">
        <v>95.0</v>
      </c>
      <c r="C593" s="83" t="s">
        <v>3781</v>
      </c>
      <c r="D593" s="33"/>
      <c r="E593" s="33" t="str">
        <f>IFERROR(__xludf.DUMMYFUNCTION("""COMPUTED_VALUE"""),"Школа 1590")</f>
        <v>Школа 1590</v>
      </c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7" t="s">
        <v>32</v>
      </c>
      <c r="B594" s="26">
        <v>96.0</v>
      </c>
      <c r="C594" s="83" t="s">
        <v>3715</v>
      </c>
      <c r="D594" s="33"/>
      <c r="E594" s="33" t="str">
        <f>IFERROR(__xludf.DUMMYFUNCTION("""COMPUTED_VALUE"""),"Школа 1591")</f>
        <v>Школа 1591</v>
      </c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7" t="s">
        <v>32</v>
      </c>
      <c r="B595" s="26">
        <v>97.0</v>
      </c>
      <c r="C595" s="83" t="s">
        <v>3480</v>
      </c>
      <c r="D595" s="33"/>
      <c r="E595" s="33" t="str">
        <f>IFERROR(__xludf.DUMMYFUNCTION("""COMPUTED_VALUE"""),"Школа 1601")</f>
        <v>Школа 1601</v>
      </c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7" t="s">
        <v>32</v>
      </c>
      <c r="B596" s="26">
        <v>98.0</v>
      </c>
      <c r="C596" s="83" t="s">
        <v>3653</v>
      </c>
      <c r="D596" s="33"/>
      <c r="E596" s="33" t="str">
        <f>IFERROR(__xludf.DUMMYFUNCTION("""COMPUTED_VALUE"""),"Школа 1636")</f>
        <v>Школа 1636</v>
      </c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7" t="s">
        <v>32</v>
      </c>
      <c r="B597" s="26">
        <v>99.0</v>
      </c>
      <c r="C597" s="83" t="s">
        <v>3654</v>
      </c>
      <c r="D597" s="33"/>
      <c r="E597" s="33" t="str">
        <f>IFERROR(__xludf.DUMMYFUNCTION("""COMPUTED_VALUE"""),"Школа 1747")</f>
        <v>Школа 1747</v>
      </c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7" t="s">
        <v>32</v>
      </c>
      <c r="B598" s="26">
        <v>100.0</v>
      </c>
      <c r="C598" s="83" t="s">
        <v>3929</v>
      </c>
      <c r="D598" s="33"/>
      <c r="E598" s="33" t="str">
        <f>IFERROR(__xludf.DUMMYFUNCTION("""COMPUTED_VALUE"""),"Школа 1786")</f>
        <v>Школа 1786</v>
      </c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7" t="s">
        <v>32</v>
      </c>
      <c r="B599" s="26">
        <v>101.0</v>
      </c>
      <c r="C599" s="83" t="s">
        <v>3334</v>
      </c>
      <c r="D599" s="33"/>
      <c r="E599" s="33" t="str">
        <f>IFERROR(__xludf.DUMMYFUNCTION("""COMPUTED_VALUE"""),"Школа 1788")</f>
        <v>Школа 1788</v>
      </c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7" t="s">
        <v>32</v>
      </c>
      <c r="B600" s="26">
        <v>102.0</v>
      </c>
      <c r="C600" s="83" t="s">
        <v>3458</v>
      </c>
      <c r="D600" s="33"/>
      <c r="E600" s="33" t="str">
        <f>IFERROR(__xludf.DUMMYFUNCTION("""COMPUTED_VALUE"""),"Школа 1793")</f>
        <v>Школа 1793</v>
      </c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7" t="s">
        <v>32</v>
      </c>
      <c r="B601" s="26">
        <v>103.0</v>
      </c>
      <c r="C601" s="83" t="s">
        <v>3656</v>
      </c>
      <c r="D601" s="33"/>
      <c r="E601" s="33" t="str">
        <f>IFERROR(__xludf.DUMMYFUNCTION("""COMPUTED_VALUE"""),"Школа 1799")</f>
        <v>Школа 1799</v>
      </c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7" t="s">
        <v>32</v>
      </c>
      <c r="B602" s="26">
        <v>104.0</v>
      </c>
      <c r="C602" s="83" t="s">
        <v>3657</v>
      </c>
      <c r="D602" s="33"/>
      <c r="E602" s="33" t="str">
        <f>IFERROR(__xludf.DUMMYFUNCTION("""COMPUTED_VALUE"""),"Школа 1811")</f>
        <v>Школа 1811</v>
      </c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7" t="s">
        <v>32</v>
      </c>
      <c r="B603" s="26">
        <v>105.0</v>
      </c>
      <c r="C603" s="83" t="s">
        <v>3415</v>
      </c>
      <c r="D603" s="33"/>
      <c r="E603" s="33" t="str">
        <f>IFERROR(__xludf.DUMMYFUNCTION("""COMPUTED_VALUE"""),"Школа 1861")</f>
        <v>Школа 1861</v>
      </c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7" t="s">
        <v>32</v>
      </c>
      <c r="B604" s="26">
        <v>106.0</v>
      </c>
      <c r="C604" s="83" t="s">
        <v>3450</v>
      </c>
      <c r="D604" s="33"/>
      <c r="E604" s="33" t="str">
        <f>IFERROR(__xludf.DUMMYFUNCTION("""COMPUTED_VALUE"""),"Школа 1862")</f>
        <v>Школа 1862</v>
      </c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7" t="s">
        <v>32</v>
      </c>
      <c r="B605" s="26">
        <v>107.0</v>
      </c>
      <c r="C605" s="83" t="s">
        <v>3416</v>
      </c>
      <c r="D605" s="33"/>
      <c r="E605" s="33" t="str">
        <f>IFERROR(__xludf.DUMMYFUNCTION("""COMPUTED_VALUE"""),"Школа 1883")</f>
        <v>Школа 1883</v>
      </c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7" t="s">
        <v>32</v>
      </c>
      <c r="B606" s="26">
        <v>108.0</v>
      </c>
      <c r="C606" s="83" t="s">
        <v>3418</v>
      </c>
      <c r="D606" s="33"/>
      <c r="E606" s="33" t="str">
        <f>IFERROR(__xludf.DUMMYFUNCTION("""COMPUTED_VALUE"""),"Школа 1945")</f>
        <v>Школа 1945</v>
      </c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7" t="s">
        <v>32</v>
      </c>
      <c r="B607" s="26">
        <v>109.0</v>
      </c>
      <c r="C607" s="83" t="s">
        <v>3783</v>
      </c>
      <c r="D607" s="33"/>
      <c r="E607" s="33" t="str">
        <f>IFERROR(__xludf.DUMMYFUNCTION("""COMPUTED_VALUE"""),"Школа 1948")</f>
        <v>Школа 1948</v>
      </c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7" t="s">
        <v>32</v>
      </c>
      <c r="B608" s="26">
        <v>110.0</v>
      </c>
      <c r="C608" s="83" t="s">
        <v>3930</v>
      </c>
      <c r="D608" s="33"/>
      <c r="E608" s="33" t="str">
        <f>IFERROR(__xludf.DUMMYFUNCTION("""COMPUTED_VALUE"""),"Школа 1985")</f>
        <v>Школа 1985</v>
      </c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7" t="s">
        <v>32</v>
      </c>
      <c r="B609" s="26">
        <v>111.0</v>
      </c>
      <c r="C609" s="83" t="s">
        <v>3483</v>
      </c>
      <c r="D609" s="33"/>
      <c r="E609" s="33" t="str">
        <f>IFERROR(__xludf.DUMMYFUNCTION("""COMPUTED_VALUE"""),"Школа 1995")</f>
        <v>Школа 1995</v>
      </c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7" t="s">
        <v>32</v>
      </c>
      <c r="B610" s="26">
        <v>112.0</v>
      </c>
      <c r="C610" s="83" t="s">
        <v>3659</v>
      </c>
      <c r="D610" s="33"/>
      <c r="E610" s="33" t="str">
        <f>IFERROR(__xludf.DUMMYFUNCTION("""COMPUTED_VALUE"""),"Школа 2005")</f>
        <v>Школа 2005</v>
      </c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7" t="s">
        <v>32</v>
      </c>
      <c r="B611" s="26">
        <v>113.0</v>
      </c>
      <c r="C611" s="83" t="s">
        <v>3421</v>
      </c>
      <c r="D611" s="33"/>
      <c r="E611" s="33" t="str">
        <f>IFERROR(__xludf.DUMMYFUNCTION("""COMPUTED_VALUE"""),"Школа 2006")</f>
        <v>Школа 2006</v>
      </c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7" t="s">
        <v>32</v>
      </c>
      <c r="B612" s="26">
        <v>114.0</v>
      </c>
      <c r="C612" s="83" t="s">
        <v>3610</v>
      </c>
      <c r="D612" s="33"/>
      <c r="E612" s="33" t="str">
        <f>IFERROR(__xludf.DUMMYFUNCTION("""COMPUTED_VALUE"""),"Школа 2009")</f>
        <v>Школа 2009</v>
      </c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7" t="s">
        <v>32</v>
      </c>
      <c r="B613" s="26">
        <v>115.0</v>
      </c>
      <c r="C613" s="83" t="s">
        <v>3725</v>
      </c>
      <c r="D613" s="33"/>
      <c r="E613" s="33" t="str">
        <f>IFERROR(__xludf.DUMMYFUNCTION("""COMPUTED_VALUE"""),"Школа 2025")</f>
        <v>Школа 2025</v>
      </c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7" t="s">
        <v>32</v>
      </c>
      <c r="B614" s="26">
        <v>116.0</v>
      </c>
      <c r="C614" s="83" t="s">
        <v>3524</v>
      </c>
      <c r="D614" s="33"/>
      <c r="E614" s="33" t="str">
        <f>IFERROR(__xludf.DUMMYFUNCTION("""COMPUTED_VALUE"""),"Школа 2030")</f>
        <v>Школа 2030</v>
      </c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7" t="s">
        <v>32</v>
      </c>
      <c r="B615" s="26">
        <v>117.0</v>
      </c>
      <c r="C615" s="83" t="s">
        <v>3793</v>
      </c>
      <c r="D615" s="33"/>
      <c r="E615" s="33" t="str">
        <f>IFERROR(__xludf.DUMMYFUNCTION("""COMPUTED_VALUE"""),"Школа 2031")</f>
        <v>Школа 2031</v>
      </c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7" t="s">
        <v>32</v>
      </c>
      <c r="B616" s="26">
        <v>118.0</v>
      </c>
      <c r="C616" s="83" t="s">
        <v>3358</v>
      </c>
      <c r="D616" s="33"/>
      <c r="E616" s="33" t="str">
        <f>IFERROR(__xludf.DUMMYFUNCTION("""COMPUTED_VALUE"""),"Школа 2045")</f>
        <v>Школа 2045</v>
      </c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7" t="s">
        <v>32</v>
      </c>
      <c r="B617" s="26">
        <v>119.0</v>
      </c>
      <c r="C617" s="83" t="s">
        <v>3663</v>
      </c>
      <c r="D617" s="33"/>
      <c r="E617" s="33" t="str">
        <f>IFERROR(__xludf.DUMMYFUNCTION("""COMPUTED_VALUE"""),"Школа 2070")</f>
        <v>Школа 2070</v>
      </c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7" t="s">
        <v>32</v>
      </c>
      <c r="B618" s="26">
        <v>120.0</v>
      </c>
      <c r="C618" s="83" t="s">
        <v>3612</v>
      </c>
      <c r="D618" s="33"/>
      <c r="E618" s="33" t="str">
        <f>IFERROR(__xludf.DUMMYFUNCTION("""COMPUTED_VALUE"""),"Школа 2086")</f>
        <v>Школа 2086</v>
      </c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7" t="s">
        <v>32</v>
      </c>
      <c r="B619" s="26">
        <v>121.0</v>
      </c>
      <c r="C619" s="83" t="s">
        <v>3664</v>
      </c>
      <c r="D619" s="33"/>
      <c r="E619" s="33" t="str">
        <f>IFERROR(__xludf.DUMMYFUNCTION("""COMPUTED_VALUE"""),"Школа 2087")</f>
        <v>Школа 2087</v>
      </c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7" t="s">
        <v>32</v>
      </c>
      <c r="B620" s="26">
        <v>122.0</v>
      </c>
      <c r="C620" s="83" t="s">
        <v>3665</v>
      </c>
      <c r="D620" s="33"/>
      <c r="E620" s="33" t="str">
        <f>IFERROR(__xludf.DUMMYFUNCTION("""COMPUTED_VALUE"""),"Школа 2097")</f>
        <v>Школа 2097</v>
      </c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7" t="s">
        <v>32</v>
      </c>
      <c r="B621" s="26">
        <v>123.0</v>
      </c>
      <c r="C621" s="83" t="s">
        <v>3666</v>
      </c>
      <c r="D621" s="33"/>
      <c r="E621" s="33" t="str">
        <f>IFERROR(__xludf.DUMMYFUNCTION("""COMPUTED_VALUE"""),"Школа 2098")</f>
        <v>Школа 2098</v>
      </c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7" t="s">
        <v>32</v>
      </c>
      <c r="B622" s="26">
        <v>124.0</v>
      </c>
      <c r="C622" s="83" t="s">
        <v>3485</v>
      </c>
      <c r="D622" s="33"/>
      <c r="E622" s="33" t="str">
        <f>IFERROR(__xludf.DUMMYFUNCTION("""COMPUTED_VALUE"""),"Школа 2101")</f>
        <v>Школа 2101</v>
      </c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7" t="s">
        <v>32</v>
      </c>
      <c r="B623" s="26">
        <v>125.0</v>
      </c>
      <c r="C623" s="83" t="s">
        <v>3931</v>
      </c>
      <c r="D623" s="33"/>
      <c r="E623" s="33" t="str">
        <f>IFERROR(__xludf.DUMMYFUNCTION("""COMPUTED_VALUE"""),"Школа 2104")</f>
        <v>Школа 2104</v>
      </c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7" t="s">
        <v>32</v>
      </c>
      <c r="B624" s="26">
        <v>126.0</v>
      </c>
      <c r="C624" s="83" t="s">
        <v>3614</v>
      </c>
      <c r="D624" s="33"/>
      <c r="E624" s="33" t="str">
        <f>IFERROR(__xludf.DUMMYFUNCTION("""COMPUTED_VALUE"""),"Школа 2107")</f>
        <v>Школа 2107</v>
      </c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7" t="s">
        <v>32</v>
      </c>
      <c r="B625" s="26">
        <v>127.0</v>
      </c>
      <c r="C625" s="83" t="s">
        <v>3731</v>
      </c>
      <c r="D625" s="33"/>
      <c r="E625" s="33" t="str">
        <f>IFERROR(__xludf.DUMMYFUNCTION("""COMPUTED_VALUE"""),"Школа 2114")</f>
        <v>Школа 2114</v>
      </c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7" t="s">
        <v>32</v>
      </c>
      <c r="B626" s="26">
        <v>128.0</v>
      </c>
      <c r="C626" s="83" t="s">
        <v>3733</v>
      </c>
      <c r="D626" s="33"/>
      <c r="E626" s="33" t="str">
        <f>IFERROR(__xludf.DUMMYFUNCTION("""COMPUTED_VALUE"""),"Школа 2121")</f>
        <v>Школа 2121</v>
      </c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7" t="s">
        <v>32</v>
      </c>
      <c r="B627" s="26">
        <v>129.0</v>
      </c>
      <c r="C627" s="83" t="s">
        <v>3453</v>
      </c>
      <c r="D627" s="33"/>
      <c r="E627" s="33" t="str">
        <f>IFERROR(__xludf.DUMMYFUNCTION("""COMPUTED_VALUE"""),"Школа 2127")</f>
        <v>Школа 2127</v>
      </c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7" t="s">
        <v>32</v>
      </c>
      <c r="B628" s="26">
        <v>130.0</v>
      </c>
      <c r="C628" s="83" t="s">
        <v>3427</v>
      </c>
      <c r="D628" s="33"/>
      <c r="E628" s="33" t="str">
        <f>IFERROR(__xludf.DUMMYFUNCTION("""COMPUTED_VALUE"""),"Школа 2200")</f>
        <v>Школа 2200</v>
      </c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7" t="s">
        <v>32</v>
      </c>
      <c r="B629" s="26">
        <v>131.0</v>
      </c>
      <c r="C629" s="83" t="s">
        <v>3428</v>
      </c>
      <c r="D629" s="33"/>
      <c r="E629" s="33" t="str">
        <f>IFERROR(__xludf.DUMMYFUNCTION("""COMPUTED_VALUE"""),"Московская международная школа")</f>
        <v>Московская международная школа</v>
      </c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7" t="s">
        <v>32</v>
      </c>
      <c r="B630" s="26">
        <v>132.0</v>
      </c>
      <c r="C630" s="83" t="s">
        <v>3487</v>
      </c>
      <c r="D630" s="33"/>
      <c r="E630" s="33" t="str">
        <f>IFERROR(__xludf.DUMMYFUNCTION("""COMPUTED_VALUE"""),"Школа Кузьминки")</f>
        <v>Школа Кузьминки</v>
      </c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7" t="s">
        <v>32</v>
      </c>
      <c r="B631" s="26">
        <v>133.0</v>
      </c>
      <c r="C631" s="83" t="s">
        <v>3576</v>
      </c>
      <c r="D631" s="33"/>
      <c r="E631" s="33" t="str">
        <f>IFERROR(__xludf.DUMMYFUNCTION("""COMPUTED_VALUE"""),"Школа Свиблово")</f>
        <v>Школа Свиблово</v>
      </c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7" t="s">
        <v>32</v>
      </c>
      <c r="B632" s="26">
        <v>134.0</v>
      </c>
      <c r="C632" s="83" t="s">
        <v>3668</v>
      </c>
      <c r="D632" s="33"/>
      <c r="E632" s="33" t="str">
        <f>IFERROR(__xludf.DUMMYFUNCTION("""COMPUTED_VALUE"""),"Школа в Некрасовке")</f>
        <v>Школа в Некрасовке</v>
      </c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7" t="s">
        <v>32</v>
      </c>
      <c r="B633" s="26">
        <v>135.0</v>
      </c>
      <c r="C633" s="83" t="s">
        <v>3578</v>
      </c>
      <c r="D633" s="33"/>
      <c r="E633" s="33" t="str">
        <f>IFERROR(__xludf.DUMMYFUNCTION("""COMPUTED_VALUE"""),"Школа им. Артема Боровика")</f>
        <v>Школа им. Артема Боровика</v>
      </c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7" t="s">
        <v>32</v>
      </c>
      <c r="B634" s="26">
        <v>136.0</v>
      </c>
      <c r="C634" s="83" t="s">
        <v>3367</v>
      </c>
      <c r="D634" s="33"/>
      <c r="E634" s="33" t="str">
        <f>IFERROR(__xludf.DUMMYFUNCTION("""COMPUTED_VALUE"""),"Школа им. В. В. Маяковского")</f>
        <v>Школа им. В. В. Маяковского</v>
      </c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7" t="s">
        <v>32</v>
      </c>
      <c r="B635" s="26">
        <v>137.0</v>
      </c>
      <c r="C635" s="83" t="s">
        <v>3672</v>
      </c>
      <c r="D635" s="33"/>
      <c r="E635" s="33" t="str">
        <f>IFERROR(__xludf.DUMMYFUNCTION("""COMPUTED_VALUE"""),"Школа Марьина Роща им. В. Ф. Орлова")</f>
        <v>Школа Марьина Роща им. В. Ф. Орлова</v>
      </c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</sheetData>
  <conditionalFormatting sqref="E1:E635">
    <cfRule type="notContainsBlanks" dxfId="4" priority="1">
      <formula>LEN(TRIM(E1))&gt;0</formula>
    </cfRule>
  </conditionalFormatting>
  <conditionalFormatting sqref="A1:A635">
    <cfRule type="containsText" dxfId="0" priority="2" operator="containsText" text="Инженерный">
      <formula>NOT(ISERROR(SEARCH(("Инженерный"),(A1))))</formula>
    </cfRule>
  </conditionalFormatting>
  <conditionalFormatting sqref="A1:A635">
    <cfRule type="containsText" dxfId="1" priority="3" operator="containsText" text="Медицинский">
      <formula>NOT(ISERROR(SEARCH(("Медицинский"),(A1))))</formula>
    </cfRule>
  </conditionalFormatting>
  <conditionalFormatting sqref="A1:A635">
    <cfRule type="containsText" dxfId="2" priority="4" operator="containsText" text="ИТ">
      <formula>NOT(ISERROR(SEARCH(("ИТ"),(A1))))</formula>
    </cfRule>
  </conditionalFormatting>
  <conditionalFormatting sqref="A1:A635">
    <cfRule type="containsText" dxfId="3" priority="5" operator="containsText" text="Медиа">
      <formula>NOT(ISERROR(SEARCH(("Медиа"),(A1))))</formula>
    </cfRule>
  </conditionalFormatting>
  <conditionalFormatting sqref="A1:A635">
    <cfRule type="containsText" dxfId="4" priority="6" operator="containsText" text="Предпринимательский">
      <formula>NOT(ISERROR(SEARCH(("Предпринимательский"),(A1))))</formula>
    </cfRule>
  </conditionalFormatting>
  <conditionalFormatting sqref="A1:A635">
    <cfRule type="containsText" dxfId="5" priority="7" operator="containsText" text="Педагогический">
      <formula>NOT(ISERROR(SEARCH(("Педагогический"),(A1))))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8.13"/>
    <col customWidth="1" min="3" max="3" width="113.13"/>
    <col customWidth="1" min="4" max="4" width="19.88"/>
    <col customWidth="1" min="5" max="5" width="21.75"/>
    <col customWidth="1" min="6" max="6" width="22.38"/>
    <col customWidth="1" min="7" max="7" width="31.5"/>
    <col customWidth="1" min="8" max="8" width="23.5"/>
    <col customWidth="1" min="9" max="9" width="19.13"/>
    <col customWidth="1" min="10" max="10" width="32.88"/>
    <col customWidth="1" min="12" max="12" width="18.38"/>
    <col customWidth="1" min="14" max="14" width="11.38"/>
    <col customWidth="1" min="15" max="15" width="31.63"/>
    <col customWidth="1" min="18" max="18" width="11.75"/>
    <col customWidth="1" min="19" max="19" width="37.63"/>
    <col customWidth="1" min="20" max="20" width="13.5"/>
    <col customWidth="1" min="23" max="23" width="42.5"/>
    <col customWidth="1" min="24" max="24" width="12.75"/>
    <col customWidth="1" min="28" max="28" width="8.5"/>
    <col customWidth="1" min="29" max="29" width="34.63"/>
    <col customWidth="1" min="30" max="30" width="15.5"/>
  </cols>
  <sheetData>
    <row r="1">
      <c r="A1" s="32" t="s">
        <v>27</v>
      </c>
      <c r="B1" s="19" t="s">
        <v>3319</v>
      </c>
      <c r="C1" s="19" t="s">
        <v>56</v>
      </c>
      <c r="D1" s="19" t="s">
        <v>3320</v>
      </c>
      <c r="E1" s="19" t="s">
        <v>3932</v>
      </c>
      <c r="F1" s="19" t="s">
        <v>3933</v>
      </c>
      <c r="G1" s="19" t="s">
        <v>2392</v>
      </c>
      <c r="H1" s="19" t="s">
        <v>59</v>
      </c>
      <c r="I1" s="61"/>
      <c r="J1" s="61"/>
      <c r="K1" s="61"/>
      <c r="L1" s="61"/>
      <c r="M1" s="33"/>
      <c r="N1" s="61"/>
      <c r="O1" s="61"/>
      <c r="P1" s="61"/>
      <c r="Q1" s="33"/>
      <c r="R1" s="61"/>
      <c r="S1" s="61"/>
      <c r="T1" s="61"/>
      <c r="U1" s="33"/>
      <c r="V1" s="61"/>
      <c r="W1" s="61"/>
      <c r="Y1" s="61"/>
      <c r="Z1" s="61"/>
      <c r="AA1" s="33"/>
      <c r="AB1" s="61"/>
      <c r="AC1" s="61"/>
      <c r="AD1" s="61"/>
    </row>
    <row r="2">
      <c r="A2" s="114" t="s">
        <v>29</v>
      </c>
      <c r="B2" s="83" t="s">
        <v>3934</v>
      </c>
      <c r="C2" s="83" t="s">
        <v>3430</v>
      </c>
      <c r="D2" s="83" t="s">
        <v>3935</v>
      </c>
      <c r="E2" s="33"/>
      <c r="F2" s="61"/>
      <c r="G2" s="61"/>
      <c r="H2" s="33" t="str">
        <f>IFERROR(__xludf.DUMMYFUNCTION("ARRAYFORMULA(IF(C2:C880="""",,MAP(C2:C880,LAMBDA(текст,LET(
  ш1, REGEXREPLACE(текст, ""\n"", "" ""),
  ш2, REGEXREPLACE(ш1, ""(?i)(государственное|бюджетное|автономное|общеобразовательное|учреждение|города\s+москвы|г\.\s*москвы|гбоу|гаоу|сош|ноу|чоу)"", "&amp;"""""),
  ш3, REGEXREPLACE(ш2, ""(?i)(имени|им\.)"", ""им.""),
  ш4, REGEXREPLACE(ш3, ""[«»""""]"", """"),
  ш5, REGEXREPLACE(ш4, ""\([^)]*\)"", """"),
  ш6, REGEXREPLACE(ш5, ""(?i)^школа\s+школа\s+"", ""Школа ""),
  ш7, REGEXREPLACE(ш6, ""\s*\.\s*"", "". "&amp;"""),
  ш8, REGEXREPLACE(ш7, ""\s*,\s*"", "" ""),
  ш9, REGEXREPLACE(ш8, ""\s+"", "" ""),
  ш10, TRIM(SUBSTITUTE(SUBSTITUTE(ш9, ""ё"", ""е""), ""Ё"", ""Е"")),
  номер, IFERROR(REGEXEXTRACT(ш10, ""(?i)(?:^|[^0-9])(?:школа\s*)?(?:№|N|N°)?\s*(\d{1,4})(?:[^0-9"&amp;"]|$)""), """"),
  итог, IF(номер&lt;&gt;"""", ""Школа "" &amp; номер, ш10),
  REGEXREPLACE(итог, ""[\.,\- ]+$"", """")
)))))"),"Школа 7")</f>
        <v>Школа 7</v>
      </c>
      <c r="I2" s="61"/>
      <c r="J2" s="61"/>
      <c r="K2" s="61"/>
      <c r="L2" s="61"/>
      <c r="M2" s="33"/>
      <c r="N2" s="61"/>
      <c r="O2" s="61"/>
      <c r="P2" s="61"/>
      <c r="Q2" s="33"/>
      <c r="R2" s="61"/>
      <c r="S2" s="61"/>
      <c r="T2" s="61"/>
      <c r="U2" s="33"/>
      <c r="V2" s="61"/>
      <c r="W2" s="61"/>
      <c r="X2" s="61"/>
      <c r="Y2" s="61"/>
      <c r="Z2" s="61"/>
      <c r="AA2" s="33"/>
      <c r="AB2" s="61"/>
      <c r="AC2" s="61"/>
      <c r="AD2" s="61"/>
    </row>
    <row r="3">
      <c r="A3" s="114" t="s">
        <v>29</v>
      </c>
      <c r="B3" s="83" t="s">
        <v>3936</v>
      </c>
      <c r="C3" s="83" t="s">
        <v>3548</v>
      </c>
      <c r="D3" s="83" t="s">
        <v>3935</v>
      </c>
      <c r="E3" s="33"/>
      <c r="F3" s="61"/>
      <c r="G3" s="61"/>
      <c r="H3" s="68" t="str">
        <f>IFERROR(__xludf.DUMMYFUNCTION("""COMPUTED_VALUE"""),"Школа 41")</f>
        <v>Школа 41</v>
      </c>
      <c r="I3" s="61"/>
      <c r="J3" s="61"/>
      <c r="K3" s="61"/>
      <c r="L3" s="61"/>
      <c r="M3" s="33"/>
      <c r="N3" s="61"/>
      <c r="O3" s="61"/>
      <c r="P3" s="61"/>
      <c r="Q3" s="33"/>
      <c r="R3" s="61"/>
      <c r="S3" s="61"/>
      <c r="T3" s="61"/>
      <c r="U3" s="33"/>
      <c r="V3" s="61"/>
      <c r="W3" s="61"/>
      <c r="X3" s="61"/>
      <c r="Y3" s="61"/>
      <c r="Z3" s="61"/>
      <c r="AA3" s="33"/>
      <c r="AB3" s="61"/>
      <c r="AC3" s="61"/>
      <c r="AD3" s="61"/>
    </row>
    <row r="4">
      <c r="A4" s="114" t="s">
        <v>29</v>
      </c>
      <c r="B4" s="83" t="s">
        <v>3937</v>
      </c>
      <c r="C4" s="83" t="s">
        <v>3938</v>
      </c>
      <c r="D4" s="83" t="s">
        <v>3939</v>
      </c>
      <c r="E4" s="33"/>
      <c r="F4" s="61"/>
      <c r="G4" s="61"/>
      <c r="H4" s="68" t="str">
        <f>IFERROR(__xludf.DUMMYFUNCTION("""COMPUTED_VALUE"""),"Школа 58")</f>
        <v>Школа 58</v>
      </c>
      <c r="I4" s="61"/>
      <c r="J4" s="61"/>
      <c r="K4" s="61"/>
      <c r="L4" s="61"/>
      <c r="M4" s="33"/>
      <c r="N4" s="61"/>
      <c r="O4" s="61"/>
      <c r="P4" s="61"/>
      <c r="Q4" s="33"/>
      <c r="R4" s="61"/>
      <c r="S4" s="61"/>
      <c r="T4" s="61"/>
      <c r="U4" s="33"/>
      <c r="V4" s="61"/>
      <c r="W4" s="61"/>
      <c r="X4" s="61"/>
      <c r="Y4" s="61"/>
      <c r="Z4" s="61"/>
      <c r="AA4" s="33"/>
      <c r="AB4" s="61"/>
      <c r="AC4" s="61"/>
      <c r="AD4" s="61"/>
    </row>
    <row r="5">
      <c r="A5" s="114" t="s">
        <v>29</v>
      </c>
      <c r="B5" s="83" t="s">
        <v>3940</v>
      </c>
      <c r="C5" s="83" t="s">
        <v>3341</v>
      </c>
      <c r="D5" s="83" t="s">
        <v>3616</v>
      </c>
      <c r="E5" s="33"/>
      <c r="F5" s="61"/>
      <c r="G5" s="61"/>
      <c r="H5" s="68" t="str">
        <f>IFERROR(__xludf.DUMMYFUNCTION("""COMPUTED_VALUE"""),"Школа 67")</f>
        <v>Школа 67</v>
      </c>
      <c r="I5" s="61"/>
      <c r="J5" s="61"/>
      <c r="K5" s="61"/>
      <c r="L5" s="61"/>
      <c r="M5" s="33"/>
      <c r="N5" s="61"/>
      <c r="O5" s="61"/>
      <c r="P5" s="61"/>
      <c r="Q5" s="33"/>
      <c r="R5" s="61"/>
      <c r="S5" s="61"/>
      <c r="T5" s="61"/>
      <c r="U5" s="33"/>
      <c r="V5" s="61"/>
      <c r="W5" s="61"/>
      <c r="X5" s="61"/>
      <c r="Y5" s="61"/>
      <c r="Z5" s="61"/>
      <c r="AA5" s="33"/>
      <c r="AB5" s="61"/>
      <c r="AC5" s="61"/>
      <c r="AD5" s="61"/>
    </row>
    <row r="6">
      <c r="A6" s="114" t="s">
        <v>29</v>
      </c>
      <c r="B6" s="83" t="s">
        <v>3941</v>
      </c>
      <c r="C6" s="83" t="s">
        <v>3942</v>
      </c>
      <c r="D6" s="83" t="s">
        <v>3616</v>
      </c>
      <c r="E6" s="33"/>
      <c r="F6" s="61"/>
      <c r="G6" s="61"/>
      <c r="H6" s="68" t="str">
        <f>IFERROR(__xludf.DUMMYFUNCTION("""COMPUTED_VALUE"""),"Школа 86")</f>
        <v>Школа 86</v>
      </c>
      <c r="I6" s="61"/>
      <c r="J6" s="61"/>
      <c r="K6" s="61"/>
      <c r="L6" s="61"/>
      <c r="M6" s="33"/>
      <c r="N6" s="61"/>
      <c r="O6" s="61"/>
      <c r="P6" s="61"/>
      <c r="Q6" s="33"/>
      <c r="R6" s="165"/>
      <c r="S6" s="165"/>
      <c r="T6" s="165"/>
      <c r="U6" s="33"/>
      <c r="V6" s="61"/>
      <c r="W6" s="61"/>
      <c r="X6" s="61"/>
      <c r="Y6" s="61"/>
      <c r="Z6" s="61"/>
      <c r="AA6" s="33"/>
      <c r="AB6" s="61"/>
      <c r="AC6" s="61"/>
      <c r="AD6" s="61"/>
    </row>
    <row r="7">
      <c r="A7" s="114" t="s">
        <v>29</v>
      </c>
      <c r="B7" s="83" t="s">
        <v>3943</v>
      </c>
      <c r="C7" s="83" t="s">
        <v>3944</v>
      </c>
      <c r="D7" s="83" t="s">
        <v>3939</v>
      </c>
      <c r="E7" s="33"/>
      <c r="F7" s="61"/>
      <c r="G7" s="61"/>
      <c r="H7" s="68" t="str">
        <f>IFERROR(__xludf.DUMMYFUNCTION("""COMPUTED_VALUE"""),"Школа 118")</f>
        <v>Школа 118</v>
      </c>
      <c r="I7" s="61"/>
      <c r="J7" s="61"/>
      <c r="K7" s="61"/>
      <c r="L7" s="61"/>
      <c r="M7" s="33"/>
      <c r="N7" s="61"/>
      <c r="O7" s="61"/>
      <c r="P7" s="61"/>
      <c r="Q7" s="33"/>
      <c r="R7" s="165"/>
      <c r="S7" s="165"/>
      <c r="T7" s="165"/>
      <c r="U7" s="33"/>
      <c r="V7" s="61"/>
      <c r="W7" s="61"/>
      <c r="X7" s="61"/>
      <c r="Y7" s="61"/>
      <c r="Z7" s="61"/>
      <c r="AA7" s="33"/>
      <c r="AB7" s="61"/>
      <c r="AC7" s="61"/>
      <c r="AD7" s="61"/>
    </row>
    <row r="8">
      <c r="A8" s="114" t="s">
        <v>29</v>
      </c>
      <c r="B8" s="83" t="s">
        <v>3945</v>
      </c>
      <c r="C8" s="83" t="s">
        <v>3459</v>
      </c>
      <c r="D8" s="83" t="s">
        <v>3616</v>
      </c>
      <c r="E8" s="33"/>
      <c r="F8" s="61"/>
      <c r="G8" s="61"/>
      <c r="H8" s="68" t="str">
        <f>IFERROR(__xludf.DUMMYFUNCTION("""COMPUTED_VALUE"""),"Школа 138")</f>
        <v>Школа 138</v>
      </c>
      <c r="I8" s="61"/>
      <c r="J8" s="61"/>
      <c r="K8" s="61"/>
      <c r="L8" s="61"/>
      <c r="M8" s="33"/>
      <c r="N8" s="61"/>
      <c r="O8" s="61"/>
      <c r="P8" s="61"/>
      <c r="Q8" s="33"/>
      <c r="R8" s="165"/>
      <c r="S8" s="165"/>
      <c r="T8" s="165"/>
      <c r="U8" s="33"/>
      <c r="V8" s="61"/>
      <c r="W8" s="61"/>
      <c r="X8" s="61"/>
      <c r="Y8" s="61"/>
      <c r="Z8" s="61"/>
      <c r="AA8" s="33"/>
      <c r="AB8" s="61"/>
      <c r="AC8" s="61"/>
      <c r="AD8" s="61"/>
    </row>
    <row r="9">
      <c r="A9" s="114" t="s">
        <v>29</v>
      </c>
      <c r="B9" s="83" t="s">
        <v>3946</v>
      </c>
      <c r="C9" s="83" t="s">
        <v>3550</v>
      </c>
      <c r="D9" s="83" t="s">
        <v>3947</v>
      </c>
      <c r="E9" s="33"/>
      <c r="F9" s="61"/>
      <c r="G9" s="61"/>
      <c r="H9" s="68" t="str">
        <f>IFERROR(__xludf.DUMMYFUNCTION("""COMPUTED_VALUE"""),"Школа 167")</f>
        <v>Школа 167</v>
      </c>
      <c r="I9" s="61"/>
      <c r="J9" s="61"/>
      <c r="K9" s="61"/>
      <c r="L9" s="61"/>
      <c r="M9" s="33"/>
      <c r="N9" s="61"/>
      <c r="O9" s="61"/>
      <c r="P9" s="61"/>
      <c r="Q9" s="33"/>
      <c r="R9" s="165"/>
      <c r="S9" s="165"/>
      <c r="T9" s="165"/>
      <c r="U9" s="33"/>
      <c r="V9" s="61"/>
      <c r="W9" s="61"/>
      <c r="X9" s="61"/>
      <c r="Y9" s="61"/>
      <c r="Z9" s="61"/>
      <c r="AA9" s="33"/>
      <c r="AB9" s="61"/>
      <c r="AC9" s="61"/>
      <c r="AD9" s="61"/>
    </row>
    <row r="10">
      <c r="A10" s="114" t="s">
        <v>29</v>
      </c>
      <c r="B10" s="83" t="s">
        <v>3948</v>
      </c>
      <c r="C10" s="83" t="s">
        <v>3615</v>
      </c>
      <c r="D10" s="83" t="s">
        <v>3616</v>
      </c>
      <c r="E10" s="33"/>
      <c r="F10" s="61"/>
      <c r="G10" s="61"/>
      <c r="H10" s="68" t="str">
        <f>IFERROR(__xludf.DUMMYFUNCTION("""COMPUTED_VALUE"""),"Школа 171")</f>
        <v>Школа 171</v>
      </c>
      <c r="I10" s="61"/>
      <c r="J10" s="61"/>
      <c r="K10" s="61"/>
      <c r="L10" s="61"/>
      <c r="M10" s="33"/>
      <c r="N10" s="61"/>
      <c r="O10" s="61"/>
      <c r="P10" s="61"/>
      <c r="Q10" s="33"/>
      <c r="R10" s="165"/>
      <c r="S10" s="165"/>
      <c r="T10" s="165"/>
      <c r="U10" s="33"/>
      <c r="V10" s="61"/>
      <c r="W10" s="61"/>
      <c r="X10" s="61"/>
      <c r="Y10" s="61"/>
      <c r="Z10" s="61"/>
      <c r="AA10" s="33"/>
      <c r="AB10" s="61"/>
      <c r="AC10" s="61"/>
      <c r="AD10" s="61"/>
    </row>
    <row r="11">
      <c r="A11" s="114" t="s">
        <v>29</v>
      </c>
      <c r="B11" s="83" t="s">
        <v>3949</v>
      </c>
      <c r="C11" s="83" t="s">
        <v>3371</v>
      </c>
      <c r="D11" s="83" t="s">
        <v>3616</v>
      </c>
      <c r="E11" s="33"/>
      <c r="F11" s="61"/>
      <c r="G11" s="61"/>
      <c r="H11" s="68" t="str">
        <f>IFERROR(__xludf.DUMMYFUNCTION("""COMPUTED_VALUE"""),"Школа 185")</f>
        <v>Школа 185</v>
      </c>
      <c r="I11" s="61"/>
      <c r="J11" s="61"/>
      <c r="K11" s="61"/>
      <c r="L11" s="61"/>
      <c r="M11" s="33"/>
      <c r="N11" s="61"/>
      <c r="O11" s="61"/>
      <c r="P11" s="61"/>
      <c r="Q11" s="33"/>
      <c r="R11" s="165"/>
      <c r="S11" s="165"/>
      <c r="T11" s="165"/>
      <c r="U11" s="33"/>
      <c r="V11" s="61"/>
      <c r="W11" s="61"/>
      <c r="X11" s="61"/>
      <c r="Y11" s="61"/>
      <c r="Z11" s="61"/>
      <c r="AA11" s="33"/>
      <c r="AB11" s="61"/>
      <c r="AC11" s="61"/>
      <c r="AD11" s="61"/>
    </row>
    <row r="12">
      <c r="A12" s="114" t="s">
        <v>29</v>
      </c>
      <c r="B12" s="83" t="s">
        <v>3950</v>
      </c>
      <c r="C12" s="83" t="s">
        <v>3798</v>
      </c>
      <c r="D12" s="83" t="s">
        <v>3935</v>
      </c>
      <c r="E12" s="33"/>
      <c r="F12" s="61"/>
      <c r="G12" s="61"/>
      <c r="H12" s="68" t="str">
        <f>IFERROR(__xludf.DUMMYFUNCTION("""COMPUTED_VALUE"""),"Школа 201")</f>
        <v>Школа 201</v>
      </c>
      <c r="I12" s="61"/>
      <c r="J12" s="61"/>
      <c r="K12" s="61"/>
      <c r="L12" s="61"/>
      <c r="M12" s="33"/>
      <c r="N12" s="61"/>
      <c r="O12" s="61"/>
      <c r="P12" s="61"/>
      <c r="Q12" s="33"/>
      <c r="R12" s="165"/>
      <c r="S12" s="165"/>
      <c r="T12" s="165"/>
      <c r="U12" s="33"/>
      <c r="V12" s="61"/>
      <c r="W12" s="61"/>
      <c r="X12" s="61"/>
      <c r="Y12" s="61"/>
      <c r="Z12" s="61"/>
      <c r="AA12" s="33"/>
      <c r="AB12" s="61"/>
      <c r="AC12" s="61"/>
      <c r="AD12" s="61"/>
    </row>
    <row r="13">
      <c r="A13" s="114" t="s">
        <v>29</v>
      </c>
      <c r="B13" s="83" t="s">
        <v>3951</v>
      </c>
      <c r="C13" s="83" t="s">
        <v>3551</v>
      </c>
      <c r="D13" s="83" t="s">
        <v>3616</v>
      </c>
      <c r="E13" s="33"/>
      <c r="F13" s="61"/>
      <c r="G13" s="61"/>
      <c r="H13" s="68" t="str">
        <f>IFERROR(__xludf.DUMMYFUNCTION("""COMPUTED_VALUE"""),"Школа 224")</f>
        <v>Школа 224</v>
      </c>
      <c r="I13" s="61"/>
      <c r="J13" s="61"/>
      <c r="K13" s="61"/>
      <c r="L13" s="61"/>
      <c r="M13" s="33"/>
      <c r="N13" s="61"/>
      <c r="O13" s="61"/>
      <c r="P13" s="61"/>
      <c r="Q13" s="33"/>
      <c r="R13" s="165"/>
      <c r="S13" s="165"/>
      <c r="T13" s="165"/>
      <c r="U13" s="33"/>
      <c r="V13" s="61"/>
      <c r="W13" s="61"/>
      <c r="X13" s="61"/>
      <c r="Y13" s="61"/>
      <c r="Z13" s="61"/>
      <c r="AA13" s="33"/>
      <c r="AB13" s="61"/>
      <c r="AC13" s="61"/>
      <c r="AD13" s="61"/>
    </row>
    <row r="14">
      <c r="A14" s="114" t="s">
        <v>29</v>
      </c>
      <c r="B14" s="83" t="s">
        <v>3952</v>
      </c>
      <c r="C14" s="83" t="s">
        <v>3435</v>
      </c>
      <c r="D14" s="83" t="s">
        <v>3616</v>
      </c>
      <c r="E14" s="33"/>
      <c r="F14" s="61"/>
      <c r="G14" s="61"/>
      <c r="H14" s="68" t="str">
        <f>IFERROR(__xludf.DUMMYFUNCTION("""COMPUTED_VALUE"""),"Школа 283")</f>
        <v>Школа 283</v>
      </c>
      <c r="I14" s="61"/>
      <c r="J14" s="61"/>
      <c r="K14" s="61"/>
      <c r="L14" s="61"/>
      <c r="M14" s="33"/>
      <c r="N14" s="61"/>
      <c r="O14" s="61"/>
      <c r="P14" s="61"/>
      <c r="Q14" s="33"/>
      <c r="R14" s="165"/>
      <c r="S14" s="165"/>
      <c r="T14" s="165"/>
      <c r="U14" s="33"/>
      <c r="V14" s="61"/>
      <c r="W14" s="61"/>
      <c r="X14" s="61"/>
      <c r="Y14" s="61"/>
      <c r="Z14" s="61"/>
      <c r="AA14" s="33"/>
      <c r="AB14" s="61"/>
      <c r="AC14" s="61"/>
      <c r="AD14" s="61"/>
    </row>
    <row r="15">
      <c r="A15" s="114" t="s">
        <v>29</v>
      </c>
      <c r="B15" s="83" t="s">
        <v>3953</v>
      </c>
      <c r="C15" s="83" t="s">
        <v>3740</v>
      </c>
      <c r="D15" s="83" t="s">
        <v>3616</v>
      </c>
      <c r="E15" s="33"/>
      <c r="F15" s="61"/>
      <c r="G15" s="61"/>
      <c r="H15" s="68" t="str">
        <f>IFERROR(__xludf.DUMMYFUNCTION("""COMPUTED_VALUE"""),"Школа 338")</f>
        <v>Школа 338</v>
      </c>
      <c r="I15" s="61"/>
      <c r="J15" s="61"/>
      <c r="K15" s="61"/>
      <c r="L15" s="61"/>
      <c r="M15" s="33"/>
      <c r="N15" s="61"/>
      <c r="O15" s="61"/>
      <c r="P15" s="61"/>
      <c r="Q15" s="33"/>
      <c r="R15" s="165"/>
      <c r="S15" s="165"/>
      <c r="T15" s="165"/>
      <c r="U15" s="33"/>
      <c r="V15" s="61"/>
      <c r="W15" s="61"/>
      <c r="X15" s="61"/>
      <c r="Y15" s="61"/>
      <c r="Z15" s="61"/>
      <c r="AA15" s="33"/>
      <c r="AB15" s="61"/>
      <c r="AC15" s="61"/>
      <c r="AD15" s="61"/>
    </row>
    <row r="16">
      <c r="A16" s="114" t="s">
        <v>29</v>
      </c>
      <c r="B16" s="83" t="s">
        <v>3954</v>
      </c>
      <c r="C16" s="83" t="s">
        <v>3677</v>
      </c>
      <c r="D16" s="83" t="s">
        <v>3616</v>
      </c>
      <c r="E16" s="33"/>
      <c r="F16" s="61"/>
      <c r="G16" s="61"/>
      <c r="H16" s="68" t="str">
        <f>IFERROR(__xludf.DUMMYFUNCTION("""COMPUTED_VALUE"""),"Школа 354")</f>
        <v>Школа 354</v>
      </c>
      <c r="I16" s="61"/>
      <c r="J16" s="61"/>
      <c r="K16" s="61"/>
      <c r="L16" s="61"/>
      <c r="M16" s="33"/>
      <c r="N16" s="61"/>
      <c r="O16" s="61"/>
      <c r="P16" s="61"/>
      <c r="Q16" s="33"/>
      <c r="R16" s="165"/>
      <c r="S16" s="165"/>
      <c r="T16" s="165"/>
      <c r="U16" s="33"/>
      <c r="V16" s="61"/>
      <c r="W16" s="61"/>
      <c r="X16" s="61"/>
      <c r="Y16" s="61"/>
      <c r="Z16" s="61"/>
      <c r="AA16" s="33"/>
      <c r="AB16" s="61"/>
      <c r="AC16" s="61"/>
      <c r="AD16" s="61"/>
    </row>
    <row r="17">
      <c r="A17" s="114" t="s">
        <v>29</v>
      </c>
      <c r="B17" s="83" t="s">
        <v>3955</v>
      </c>
      <c r="C17" s="83" t="s">
        <v>3532</v>
      </c>
      <c r="D17" s="83" t="s">
        <v>3616</v>
      </c>
      <c r="E17" s="33"/>
      <c r="F17" s="61"/>
      <c r="G17" s="61"/>
      <c r="H17" s="68" t="str">
        <f>IFERROR(__xludf.DUMMYFUNCTION("""COMPUTED_VALUE"""),"Школа 429")</f>
        <v>Школа 429</v>
      </c>
      <c r="I17" s="61"/>
      <c r="J17" s="61"/>
      <c r="K17" s="61"/>
      <c r="L17" s="61"/>
      <c r="M17" s="33"/>
      <c r="N17" s="61"/>
      <c r="O17" s="61"/>
      <c r="P17" s="61"/>
      <c r="Q17" s="33"/>
      <c r="R17" s="165"/>
      <c r="S17" s="165"/>
      <c r="T17" s="165"/>
      <c r="U17" s="33"/>
      <c r="V17" s="61"/>
      <c r="W17" s="61"/>
      <c r="X17" s="61"/>
      <c r="Y17" s="61"/>
      <c r="Z17" s="61"/>
      <c r="AA17" s="33"/>
      <c r="AB17" s="61"/>
      <c r="AC17" s="61"/>
      <c r="AD17" s="61"/>
    </row>
    <row r="18">
      <c r="A18" s="114" t="s">
        <v>29</v>
      </c>
      <c r="B18" s="83" t="s">
        <v>3956</v>
      </c>
      <c r="C18" s="83" t="s">
        <v>3619</v>
      </c>
      <c r="D18" s="83" t="s">
        <v>3616</v>
      </c>
      <c r="E18" s="33"/>
      <c r="F18" s="61"/>
      <c r="G18" s="61"/>
      <c r="H18" s="68" t="str">
        <f>IFERROR(__xludf.DUMMYFUNCTION("""COMPUTED_VALUE"""),"Школа 444")</f>
        <v>Школа 444</v>
      </c>
      <c r="I18" s="61"/>
      <c r="J18" s="61"/>
      <c r="K18" s="61"/>
      <c r="L18" s="61"/>
      <c r="M18" s="33"/>
      <c r="N18" s="61"/>
      <c r="O18" s="61"/>
      <c r="P18" s="61"/>
      <c r="Q18" s="33"/>
      <c r="R18" s="165"/>
      <c r="S18" s="165"/>
      <c r="T18" s="165"/>
      <c r="U18" s="33"/>
      <c r="V18" s="61"/>
      <c r="W18" s="61"/>
      <c r="X18" s="61"/>
      <c r="Y18" s="61"/>
      <c r="Z18" s="61"/>
      <c r="AA18" s="33"/>
      <c r="AB18" s="61"/>
      <c r="AC18" s="61"/>
      <c r="AD18" s="61"/>
    </row>
    <row r="19">
      <c r="A19" s="114" t="s">
        <v>29</v>
      </c>
      <c r="B19" s="83" t="s">
        <v>3957</v>
      </c>
      <c r="C19" s="83" t="s">
        <v>3958</v>
      </c>
      <c r="D19" s="83" t="s">
        <v>3935</v>
      </c>
      <c r="E19" s="33"/>
      <c r="F19" s="61"/>
      <c r="G19" s="61"/>
      <c r="H19" s="68" t="str">
        <f>IFERROR(__xludf.DUMMYFUNCTION("""COMPUTED_VALUE"""),"Школа 491")</f>
        <v>Школа 491</v>
      </c>
      <c r="I19" s="61"/>
      <c r="J19" s="61"/>
      <c r="K19" s="61"/>
      <c r="L19" s="61"/>
      <c r="M19" s="33"/>
      <c r="N19" s="61"/>
      <c r="O19" s="61"/>
      <c r="P19" s="61"/>
      <c r="Q19" s="33"/>
      <c r="R19" s="165"/>
      <c r="S19" s="165"/>
      <c r="T19" s="165"/>
      <c r="U19" s="33"/>
      <c r="V19" s="61"/>
      <c r="W19" s="61"/>
      <c r="X19" s="61"/>
      <c r="Y19" s="61"/>
      <c r="Z19" s="61"/>
      <c r="AA19" s="33"/>
      <c r="AB19" s="61"/>
      <c r="AC19" s="61"/>
      <c r="AD19" s="61"/>
    </row>
    <row r="20">
      <c r="A20" s="114" t="s">
        <v>29</v>
      </c>
      <c r="B20" s="83" t="s">
        <v>3959</v>
      </c>
      <c r="C20" s="83" t="s">
        <v>3743</v>
      </c>
      <c r="D20" s="83" t="s">
        <v>3616</v>
      </c>
      <c r="E20" s="33"/>
      <c r="F20" s="61"/>
      <c r="G20" s="61"/>
      <c r="H20" s="68" t="str">
        <f>IFERROR(__xludf.DUMMYFUNCTION("""COMPUTED_VALUE"""),"Школа 498")</f>
        <v>Школа 498</v>
      </c>
      <c r="I20" s="61"/>
      <c r="J20" s="61"/>
      <c r="K20" s="61"/>
      <c r="L20" s="61"/>
      <c r="M20" s="33"/>
      <c r="N20" s="61"/>
      <c r="O20" s="61"/>
      <c r="P20" s="61"/>
      <c r="Q20" s="33"/>
      <c r="R20" s="165"/>
      <c r="S20" s="165"/>
      <c r="T20" s="165"/>
      <c r="U20" s="33"/>
      <c r="V20" s="61"/>
      <c r="W20" s="61"/>
      <c r="X20" s="61"/>
      <c r="Y20" s="61"/>
      <c r="Z20" s="61"/>
      <c r="AA20" s="33"/>
      <c r="AB20" s="61"/>
      <c r="AC20" s="61"/>
      <c r="AD20" s="61"/>
    </row>
    <row r="21">
      <c r="A21" s="114" t="s">
        <v>29</v>
      </c>
      <c r="B21" s="83" t="s">
        <v>3960</v>
      </c>
      <c r="C21" s="83" t="s">
        <v>3373</v>
      </c>
      <c r="D21" s="83" t="s">
        <v>3616</v>
      </c>
      <c r="E21" s="33"/>
      <c r="F21" s="61"/>
      <c r="G21" s="61"/>
      <c r="H21" s="68" t="str">
        <f>IFERROR(__xludf.DUMMYFUNCTION("""COMPUTED_VALUE"""),"Школа 507")</f>
        <v>Школа 507</v>
      </c>
      <c r="I21" s="61"/>
      <c r="J21" s="61"/>
      <c r="K21" s="61"/>
      <c r="L21" s="61"/>
      <c r="M21" s="33"/>
      <c r="N21" s="61"/>
      <c r="O21" s="61"/>
      <c r="P21" s="61"/>
      <c r="Q21" s="33"/>
      <c r="R21" s="165"/>
      <c r="S21" s="165"/>
      <c r="T21" s="165"/>
      <c r="U21" s="33"/>
      <c r="V21" s="61"/>
      <c r="W21" s="61"/>
      <c r="X21" s="61"/>
      <c r="Y21" s="61"/>
      <c r="Z21" s="61"/>
      <c r="AA21" s="33"/>
      <c r="AB21" s="61"/>
      <c r="AC21" s="61"/>
      <c r="AD21" s="61"/>
    </row>
    <row r="22">
      <c r="A22" s="114" t="s">
        <v>29</v>
      </c>
      <c r="B22" s="83" t="s">
        <v>3961</v>
      </c>
      <c r="C22" s="83" t="s">
        <v>3343</v>
      </c>
      <c r="D22" s="83" t="s">
        <v>3616</v>
      </c>
      <c r="E22" s="33"/>
      <c r="F22" s="61"/>
      <c r="G22" s="61"/>
      <c r="H22" s="68" t="str">
        <f>IFERROR(__xludf.DUMMYFUNCTION("""COMPUTED_VALUE"""),"Школа 544")</f>
        <v>Школа 544</v>
      </c>
      <c r="I22" s="61"/>
      <c r="J22" s="61"/>
      <c r="K22" s="61"/>
      <c r="L22" s="61"/>
      <c r="M22" s="33"/>
      <c r="N22" s="61"/>
      <c r="O22" s="61"/>
      <c r="P22" s="61"/>
      <c r="Q22" s="33"/>
      <c r="R22" s="165"/>
      <c r="S22" s="165"/>
      <c r="T22" s="165"/>
      <c r="U22" s="33"/>
      <c r="V22" s="61"/>
      <c r="W22" s="61"/>
      <c r="X22" s="61"/>
      <c r="Y22" s="61"/>
      <c r="Z22" s="61"/>
      <c r="AA22" s="33"/>
      <c r="AB22" s="61"/>
      <c r="AC22" s="61"/>
      <c r="AD22" s="61"/>
    </row>
    <row r="23">
      <c r="A23" s="114" t="s">
        <v>29</v>
      </c>
      <c r="B23" s="83" t="s">
        <v>3962</v>
      </c>
      <c r="C23" s="83" t="s">
        <v>3963</v>
      </c>
      <c r="D23" s="83" t="s">
        <v>3939</v>
      </c>
      <c r="E23" s="33"/>
      <c r="F23" s="61"/>
      <c r="G23" s="61"/>
      <c r="H23" s="68" t="str">
        <f>IFERROR(__xludf.DUMMYFUNCTION("""COMPUTED_VALUE"""),"Школа 547")</f>
        <v>Школа 547</v>
      </c>
      <c r="I23" s="61"/>
      <c r="J23" s="61"/>
      <c r="K23" s="61"/>
      <c r="L23" s="61"/>
      <c r="M23" s="33"/>
      <c r="N23" s="61"/>
      <c r="O23" s="61"/>
      <c r="P23" s="61"/>
      <c r="Q23" s="33"/>
      <c r="R23" s="165"/>
      <c r="S23" s="165"/>
      <c r="T23" s="165"/>
      <c r="U23" s="33"/>
      <c r="V23" s="61"/>
      <c r="W23" s="61"/>
      <c r="X23" s="61"/>
      <c r="Y23" s="61"/>
      <c r="Z23" s="61"/>
      <c r="AA23" s="33"/>
      <c r="AB23" s="61"/>
      <c r="AC23" s="61"/>
      <c r="AD23" s="61"/>
    </row>
    <row r="24">
      <c r="A24" s="114" t="s">
        <v>29</v>
      </c>
      <c r="B24" s="83" t="s">
        <v>3964</v>
      </c>
      <c r="C24" s="83" t="s">
        <v>3620</v>
      </c>
      <c r="D24" s="83" t="s">
        <v>3616</v>
      </c>
      <c r="E24" s="33"/>
      <c r="F24" s="61"/>
      <c r="G24" s="61"/>
      <c r="H24" s="68" t="str">
        <f>IFERROR(__xludf.DUMMYFUNCTION("""COMPUTED_VALUE"""),"Школа 548")</f>
        <v>Школа 548</v>
      </c>
      <c r="I24" s="61"/>
      <c r="J24" s="61"/>
      <c r="K24" s="61"/>
      <c r="L24" s="61"/>
      <c r="M24" s="33"/>
      <c r="N24" s="61"/>
      <c r="O24" s="61"/>
      <c r="P24" s="61"/>
      <c r="Q24" s="33"/>
      <c r="R24" s="165"/>
      <c r="S24" s="165"/>
      <c r="T24" s="165"/>
      <c r="U24" s="33"/>
      <c r="V24" s="61"/>
      <c r="W24" s="61"/>
      <c r="X24" s="61"/>
      <c r="Y24" s="61"/>
      <c r="Z24" s="61"/>
      <c r="AA24" s="33"/>
      <c r="AB24" s="61"/>
      <c r="AC24" s="61"/>
      <c r="AD24" s="61"/>
    </row>
    <row r="25">
      <c r="A25" s="114" t="s">
        <v>29</v>
      </c>
      <c r="B25" s="83" t="s">
        <v>3965</v>
      </c>
      <c r="C25" s="83" t="s">
        <v>3678</v>
      </c>
      <c r="D25" s="83" t="s">
        <v>3616</v>
      </c>
      <c r="E25" s="33"/>
      <c r="F25" s="61"/>
      <c r="G25" s="61"/>
      <c r="H25" s="68" t="str">
        <f>IFERROR(__xludf.DUMMYFUNCTION("""COMPUTED_VALUE"""),"Школа 597")</f>
        <v>Школа 597</v>
      </c>
      <c r="I25" s="61"/>
      <c r="J25" s="61"/>
      <c r="K25" s="61"/>
      <c r="L25" s="61"/>
      <c r="M25" s="33"/>
      <c r="N25" s="61"/>
      <c r="O25" s="61"/>
      <c r="P25" s="61"/>
      <c r="Q25" s="33"/>
      <c r="R25" s="165"/>
      <c r="S25" s="165"/>
      <c r="T25" s="165"/>
      <c r="U25" s="33"/>
      <c r="V25" s="61"/>
      <c r="W25" s="61"/>
      <c r="X25" s="61"/>
      <c r="Y25" s="61"/>
      <c r="Z25" s="61"/>
      <c r="AA25" s="33"/>
      <c r="AB25" s="61"/>
      <c r="AC25" s="61"/>
      <c r="AD25" s="61"/>
    </row>
    <row r="26">
      <c r="A26" s="114" t="s">
        <v>29</v>
      </c>
      <c r="B26" s="83" t="s">
        <v>3966</v>
      </c>
      <c r="C26" s="83" t="s">
        <v>3679</v>
      </c>
      <c r="D26" s="83" t="s">
        <v>3616</v>
      </c>
      <c r="E26" s="33"/>
      <c r="F26" s="61"/>
      <c r="G26" s="61"/>
      <c r="H26" s="68" t="str">
        <f>IFERROR(__xludf.DUMMYFUNCTION("""COMPUTED_VALUE"""),"Школа 618")</f>
        <v>Школа 618</v>
      </c>
      <c r="I26" s="61"/>
      <c r="J26" s="61"/>
      <c r="K26" s="61"/>
      <c r="L26" s="61"/>
      <c r="M26" s="33"/>
      <c r="N26" s="61"/>
      <c r="O26" s="61"/>
      <c r="P26" s="61"/>
      <c r="Q26" s="33"/>
      <c r="R26" s="165"/>
      <c r="S26" s="165"/>
      <c r="T26" s="165"/>
      <c r="U26" s="33"/>
      <c r="V26" s="61"/>
      <c r="W26" s="61"/>
      <c r="X26" s="61"/>
      <c r="Y26" s="61"/>
      <c r="Z26" s="61"/>
      <c r="AA26" s="33"/>
      <c r="AB26" s="61"/>
      <c r="AC26" s="61"/>
      <c r="AD26" s="61"/>
    </row>
    <row r="27">
      <c r="A27" s="114" t="s">
        <v>29</v>
      </c>
      <c r="B27" s="83" t="s">
        <v>3967</v>
      </c>
      <c r="C27" s="83" t="s">
        <v>3680</v>
      </c>
      <c r="D27" s="83" t="s">
        <v>3616</v>
      </c>
      <c r="E27" s="33"/>
      <c r="F27" s="61"/>
      <c r="G27" s="61"/>
      <c r="H27" s="68" t="str">
        <f>IFERROR(__xludf.DUMMYFUNCTION("""COMPUTED_VALUE"""),"Школа 627")</f>
        <v>Школа 627</v>
      </c>
      <c r="I27" s="61"/>
      <c r="J27" s="61"/>
      <c r="K27" s="61"/>
      <c r="L27" s="61"/>
      <c r="M27" s="33"/>
      <c r="N27" s="61"/>
      <c r="O27" s="61"/>
      <c r="P27" s="61"/>
      <c r="Q27" s="33"/>
      <c r="R27" s="165"/>
      <c r="S27" s="165"/>
      <c r="T27" s="165"/>
      <c r="U27" s="33"/>
      <c r="V27" s="61"/>
      <c r="W27" s="61"/>
      <c r="X27" s="61"/>
      <c r="Y27" s="61"/>
      <c r="Z27" s="61"/>
      <c r="AA27" s="33"/>
      <c r="AB27" s="61"/>
      <c r="AC27" s="61"/>
      <c r="AD27" s="61"/>
    </row>
    <row r="28">
      <c r="A28" s="114" t="s">
        <v>29</v>
      </c>
      <c r="B28" s="83" t="s">
        <v>3968</v>
      </c>
      <c r="C28" s="83" t="s">
        <v>3969</v>
      </c>
      <c r="D28" s="83" t="s">
        <v>3616</v>
      </c>
      <c r="E28" s="33"/>
      <c r="F28" s="61"/>
      <c r="G28" s="61"/>
      <c r="H28" s="68" t="str">
        <f>IFERROR(__xludf.DUMMYFUNCTION("""COMPUTED_VALUE"""),"Школа 629")</f>
        <v>Школа 629</v>
      </c>
      <c r="I28" s="61"/>
      <c r="J28" s="61"/>
      <c r="K28" s="61"/>
      <c r="L28" s="61"/>
      <c r="M28" s="33"/>
      <c r="N28" s="61"/>
      <c r="O28" s="61"/>
      <c r="P28" s="61"/>
      <c r="Q28" s="33"/>
      <c r="R28" s="165"/>
      <c r="S28" s="165"/>
      <c r="T28" s="165"/>
      <c r="U28" s="33"/>
      <c r="V28" s="61"/>
      <c r="W28" s="61"/>
      <c r="X28" s="61"/>
      <c r="Y28" s="61"/>
      <c r="Z28" s="61"/>
      <c r="AA28" s="33"/>
      <c r="AB28" s="61"/>
      <c r="AC28" s="61"/>
      <c r="AD28" s="61"/>
    </row>
    <row r="29">
      <c r="A29" s="114" t="s">
        <v>29</v>
      </c>
      <c r="B29" s="83" t="s">
        <v>3970</v>
      </c>
      <c r="C29" s="83" t="s">
        <v>3535</v>
      </c>
      <c r="D29" s="83" t="s">
        <v>3616</v>
      </c>
      <c r="E29" s="33"/>
      <c r="F29" s="61"/>
      <c r="G29" s="61"/>
      <c r="H29" s="68" t="str">
        <f>IFERROR(__xludf.DUMMYFUNCTION("""COMPUTED_VALUE"""),"Школа 641")</f>
        <v>Школа 641</v>
      </c>
      <c r="I29" s="61"/>
      <c r="J29" s="61"/>
      <c r="K29" s="61"/>
      <c r="L29" s="61"/>
      <c r="M29" s="33"/>
      <c r="N29" s="61"/>
      <c r="O29" s="61"/>
      <c r="P29" s="61"/>
      <c r="Q29" s="33"/>
      <c r="R29" s="165"/>
      <c r="S29" s="165"/>
      <c r="T29" s="165"/>
      <c r="U29" s="33"/>
      <c r="V29" s="61"/>
      <c r="W29" s="61"/>
      <c r="X29" s="61"/>
      <c r="Y29" s="61"/>
      <c r="Z29" s="61"/>
      <c r="AA29" s="33"/>
      <c r="AB29" s="61"/>
      <c r="AC29" s="61"/>
      <c r="AD29" s="61"/>
    </row>
    <row r="30">
      <c r="A30" s="114" t="s">
        <v>29</v>
      </c>
      <c r="B30" s="83" t="s">
        <v>3971</v>
      </c>
      <c r="C30" s="83" t="s">
        <v>3374</v>
      </c>
      <c r="D30" s="83" t="s">
        <v>3616</v>
      </c>
      <c r="E30" s="33"/>
      <c r="F30" s="61"/>
      <c r="G30" s="61"/>
      <c r="H30" s="68" t="str">
        <f>IFERROR(__xludf.DUMMYFUNCTION("""COMPUTED_VALUE"""),"Школа 648")</f>
        <v>Школа 648</v>
      </c>
      <c r="I30" s="61"/>
      <c r="J30" s="61"/>
      <c r="K30" s="61"/>
      <c r="L30" s="61"/>
      <c r="M30" s="33"/>
      <c r="N30" s="61"/>
      <c r="O30" s="61"/>
      <c r="P30" s="61"/>
      <c r="Q30" s="33"/>
      <c r="R30" s="165"/>
      <c r="S30" s="165"/>
      <c r="T30" s="165"/>
      <c r="U30" s="33"/>
      <c r="V30" s="61"/>
      <c r="W30" s="61"/>
      <c r="X30" s="61"/>
      <c r="Y30" s="61"/>
      <c r="Z30" s="61"/>
      <c r="AA30" s="33"/>
      <c r="AB30" s="61"/>
      <c r="AC30" s="61"/>
      <c r="AD30" s="61"/>
    </row>
    <row r="31">
      <c r="A31" s="114" t="s">
        <v>29</v>
      </c>
      <c r="B31" s="83" t="s">
        <v>3972</v>
      </c>
      <c r="C31" s="83" t="s">
        <v>3375</v>
      </c>
      <c r="D31" s="83" t="s">
        <v>3616</v>
      </c>
      <c r="E31" s="33"/>
      <c r="F31" s="61"/>
      <c r="G31" s="61"/>
      <c r="H31" s="68" t="str">
        <f>IFERROR(__xludf.DUMMYFUNCTION("""COMPUTED_VALUE"""),"Школа 654")</f>
        <v>Школа 654</v>
      </c>
      <c r="I31" s="61"/>
      <c r="J31" s="61"/>
      <c r="K31" s="61"/>
      <c r="L31" s="61"/>
      <c r="M31" s="33"/>
      <c r="N31" s="61"/>
      <c r="O31" s="61"/>
      <c r="P31" s="61"/>
      <c r="Q31" s="33"/>
      <c r="R31" s="165"/>
      <c r="S31" s="165"/>
      <c r="T31" s="165"/>
      <c r="U31" s="33"/>
      <c r="V31" s="61"/>
      <c r="W31" s="61"/>
      <c r="X31" s="61"/>
      <c r="Y31" s="61"/>
      <c r="Z31" s="61"/>
      <c r="AA31" s="33"/>
      <c r="AB31" s="61"/>
      <c r="AC31" s="61"/>
      <c r="AD31" s="61"/>
    </row>
    <row r="32">
      <c r="A32" s="114" t="s">
        <v>29</v>
      </c>
      <c r="B32" s="83" t="s">
        <v>3973</v>
      </c>
      <c r="C32" s="83" t="s">
        <v>3681</v>
      </c>
      <c r="D32" s="83" t="s">
        <v>3616</v>
      </c>
      <c r="E32" s="33"/>
      <c r="F32" s="61"/>
      <c r="G32" s="61"/>
      <c r="H32" s="68" t="str">
        <f>IFERROR(__xludf.DUMMYFUNCTION("""COMPUTED_VALUE"""),"Школа 667")</f>
        <v>Школа 667</v>
      </c>
      <c r="I32" s="61"/>
      <c r="J32" s="61"/>
      <c r="K32" s="61"/>
      <c r="L32" s="61"/>
      <c r="M32" s="33"/>
      <c r="N32" s="61"/>
      <c r="O32" s="61"/>
      <c r="P32" s="61"/>
      <c r="Q32" s="33"/>
      <c r="R32" s="165"/>
      <c r="S32" s="165"/>
      <c r="T32" s="165"/>
      <c r="U32" s="33"/>
      <c r="V32" s="61"/>
      <c r="W32" s="61"/>
      <c r="X32" s="61"/>
      <c r="Y32" s="61"/>
      <c r="Z32" s="61"/>
      <c r="AA32" s="33"/>
      <c r="AB32" s="61"/>
      <c r="AC32" s="61"/>
      <c r="AD32" s="61"/>
    </row>
    <row r="33">
      <c r="A33" s="114" t="s">
        <v>29</v>
      </c>
      <c r="B33" s="83" t="s">
        <v>3974</v>
      </c>
      <c r="C33" s="83" t="s">
        <v>3799</v>
      </c>
      <c r="D33" s="83" t="s">
        <v>3616</v>
      </c>
      <c r="E33" s="33"/>
      <c r="F33" s="61"/>
      <c r="G33" s="61"/>
      <c r="H33" s="68" t="str">
        <f>IFERROR(__xludf.DUMMYFUNCTION("""COMPUTED_VALUE"""),"Школа 709")</f>
        <v>Школа 709</v>
      </c>
      <c r="I33" s="61"/>
      <c r="J33" s="61"/>
      <c r="K33" s="61"/>
      <c r="L33" s="61"/>
      <c r="M33" s="33"/>
      <c r="N33" s="61"/>
      <c r="O33" s="61"/>
      <c r="P33" s="61"/>
      <c r="Q33" s="33"/>
      <c r="R33" s="165"/>
      <c r="S33" s="165"/>
      <c r="T33" s="165"/>
      <c r="U33" s="33"/>
      <c r="V33" s="61"/>
      <c r="W33" s="61"/>
      <c r="X33" s="61"/>
      <c r="Y33" s="61"/>
      <c r="Z33" s="61"/>
      <c r="AA33" s="33"/>
      <c r="AB33" s="61"/>
      <c r="AC33" s="61"/>
      <c r="AD33" s="61"/>
    </row>
    <row r="34">
      <c r="A34" s="114" t="s">
        <v>29</v>
      </c>
      <c r="B34" s="83" t="s">
        <v>3975</v>
      </c>
      <c r="C34" s="83" t="s">
        <v>3464</v>
      </c>
      <c r="D34" s="83" t="s">
        <v>3616</v>
      </c>
      <c r="E34" s="33"/>
      <c r="F34" s="61"/>
      <c r="G34" s="61"/>
      <c r="H34" s="68" t="str">
        <f>IFERROR(__xludf.DUMMYFUNCTION("""COMPUTED_VALUE"""),"Школа 727")</f>
        <v>Школа 727</v>
      </c>
      <c r="I34" s="61"/>
      <c r="J34" s="61"/>
      <c r="K34" s="61"/>
      <c r="L34" s="61"/>
      <c r="M34" s="33"/>
      <c r="N34" s="61"/>
      <c r="O34" s="61"/>
      <c r="P34" s="61"/>
      <c r="Q34" s="33"/>
      <c r="R34" s="165"/>
      <c r="S34" s="165"/>
      <c r="T34" s="165"/>
      <c r="U34" s="33"/>
      <c r="V34" s="61"/>
      <c r="W34" s="61"/>
      <c r="X34" s="61"/>
      <c r="Y34" s="61"/>
      <c r="Z34" s="61"/>
      <c r="AA34" s="33"/>
      <c r="AB34" s="61"/>
      <c r="AC34" s="61"/>
      <c r="AD34" s="61"/>
    </row>
    <row r="35">
      <c r="A35" s="114" t="s">
        <v>29</v>
      </c>
      <c r="B35" s="83" t="s">
        <v>3976</v>
      </c>
      <c r="C35" s="83" t="s">
        <v>3800</v>
      </c>
      <c r="D35" s="83" t="s">
        <v>3935</v>
      </c>
      <c r="E35" s="33"/>
      <c r="F35" s="61"/>
      <c r="G35" s="61"/>
      <c r="H35" s="68" t="str">
        <f>IFERROR(__xludf.DUMMYFUNCTION("""COMPUTED_VALUE"""),"Школа 806")</f>
        <v>Школа 806</v>
      </c>
      <c r="I35" s="61"/>
      <c r="J35" s="61"/>
      <c r="K35" s="61"/>
      <c r="L35" s="61"/>
      <c r="M35" s="33"/>
      <c r="N35" s="61"/>
      <c r="O35" s="61"/>
      <c r="P35" s="61"/>
      <c r="Q35" s="33"/>
      <c r="R35" s="165"/>
      <c r="S35" s="165"/>
      <c r="T35" s="165"/>
      <c r="U35" s="33"/>
      <c r="V35" s="61"/>
      <c r="W35" s="61"/>
      <c r="X35" s="61"/>
      <c r="Y35" s="61"/>
      <c r="Z35" s="61"/>
      <c r="AA35" s="33"/>
      <c r="AB35" s="61"/>
      <c r="AC35" s="61"/>
      <c r="AD35" s="61"/>
    </row>
    <row r="36">
      <c r="A36" s="114" t="s">
        <v>29</v>
      </c>
      <c r="B36" s="83" t="s">
        <v>3977</v>
      </c>
      <c r="C36" s="83" t="s">
        <v>3500</v>
      </c>
      <c r="D36" s="83" t="s">
        <v>3939</v>
      </c>
      <c r="E36" s="33"/>
      <c r="F36" s="61"/>
      <c r="G36" s="61"/>
      <c r="H36" s="68" t="str">
        <f>IFERROR(__xludf.DUMMYFUNCTION("""COMPUTED_VALUE"""),"Школа 827")</f>
        <v>Школа 827</v>
      </c>
      <c r="I36" s="61"/>
      <c r="J36" s="61"/>
      <c r="K36" s="61"/>
      <c r="L36" s="61"/>
      <c r="M36" s="33"/>
      <c r="N36" s="61"/>
      <c r="O36" s="61"/>
      <c r="P36" s="61"/>
      <c r="Q36" s="33"/>
      <c r="R36" s="165"/>
      <c r="S36" s="165"/>
      <c r="T36" s="165"/>
      <c r="U36" s="33"/>
      <c r="V36" s="61"/>
      <c r="W36" s="61"/>
      <c r="X36" s="61"/>
      <c r="Y36" s="61"/>
      <c r="Z36" s="61"/>
      <c r="AA36" s="33"/>
      <c r="AB36" s="61"/>
      <c r="AC36" s="61"/>
      <c r="AD36" s="61"/>
    </row>
    <row r="37">
      <c r="A37" s="114" t="s">
        <v>29</v>
      </c>
      <c r="B37" s="83" t="s">
        <v>3978</v>
      </c>
      <c r="C37" s="83" t="s">
        <v>3466</v>
      </c>
      <c r="D37" s="83" t="s">
        <v>3616</v>
      </c>
      <c r="E37" s="33"/>
      <c r="F37" s="61"/>
      <c r="G37" s="61"/>
      <c r="H37" s="68" t="str">
        <f>IFERROR(__xludf.DUMMYFUNCTION("""COMPUTED_VALUE"""),"Школа 853")</f>
        <v>Школа 853</v>
      </c>
      <c r="I37" s="61"/>
      <c r="J37" s="61"/>
      <c r="K37" s="61"/>
      <c r="L37" s="61"/>
      <c r="M37" s="33"/>
      <c r="N37" s="61"/>
      <c r="O37" s="61"/>
      <c r="P37" s="61"/>
      <c r="Q37" s="33"/>
      <c r="R37" s="165"/>
      <c r="S37" s="165"/>
      <c r="T37" s="165"/>
      <c r="U37" s="33"/>
      <c r="V37" s="61"/>
      <c r="W37" s="61"/>
      <c r="X37" s="61"/>
      <c r="Y37" s="61"/>
      <c r="Z37" s="61"/>
      <c r="AA37" s="33"/>
      <c r="AB37" s="61"/>
      <c r="AC37" s="61"/>
      <c r="AD37" s="61"/>
    </row>
    <row r="38">
      <c r="A38" s="114" t="s">
        <v>29</v>
      </c>
      <c r="B38" s="83" t="s">
        <v>3979</v>
      </c>
      <c r="C38" s="83" t="s">
        <v>3683</v>
      </c>
      <c r="D38" s="83" t="s">
        <v>3616</v>
      </c>
      <c r="E38" s="33"/>
      <c r="F38" s="61"/>
      <c r="G38" s="61"/>
      <c r="H38" s="68" t="str">
        <f>IFERROR(__xludf.DUMMYFUNCTION("""COMPUTED_VALUE"""),"Школа 878")</f>
        <v>Школа 878</v>
      </c>
      <c r="I38" s="61"/>
      <c r="J38" s="61"/>
      <c r="K38" s="61"/>
      <c r="L38" s="61"/>
      <c r="M38" s="33"/>
      <c r="N38" s="61"/>
      <c r="O38" s="61"/>
      <c r="P38" s="61"/>
      <c r="Q38" s="33"/>
      <c r="R38" s="165"/>
      <c r="S38" s="165"/>
      <c r="T38" s="165"/>
      <c r="U38" s="33"/>
      <c r="V38" s="61"/>
      <c r="W38" s="61"/>
      <c r="X38" s="61"/>
      <c r="Y38" s="61"/>
      <c r="Z38" s="61"/>
      <c r="AA38" s="33"/>
      <c r="AB38" s="61"/>
      <c r="AC38" s="61"/>
      <c r="AD38" s="61"/>
    </row>
    <row r="39">
      <c r="A39" s="114" t="s">
        <v>29</v>
      </c>
      <c r="B39" s="83" t="s">
        <v>3980</v>
      </c>
      <c r="C39" s="83" t="s">
        <v>3501</v>
      </c>
      <c r="D39" s="83" t="s">
        <v>3935</v>
      </c>
      <c r="E39" s="33"/>
      <c r="F39" s="61"/>
      <c r="G39" s="61"/>
      <c r="H39" s="68" t="str">
        <f>IFERROR(__xludf.DUMMYFUNCTION("""COMPUTED_VALUE"""),"Школа 904")</f>
        <v>Школа 904</v>
      </c>
      <c r="I39" s="61"/>
      <c r="J39" s="61"/>
      <c r="K39" s="61"/>
      <c r="L39" s="61"/>
      <c r="M39" s="33"/>
      <c r="N39" s="61"/>
      <c r="O39" s="61"/>
      <c r="P39" s="61"/>
      <c r="Q39" s="33"/>
      <c r="R39" s="165"/>
      <c r="S39" s="165"/>
      <c r="T39" s="165"/>
      <c r="U39" s="33"/>
      <c r="V39" s="61"/>
      <c r="W39" s="61"/>
      <c r="X39" s="61"/>
      <c r="Y39" s="61"/>
      <c r="Z39" s="61"/>
      <c r="AA39" s="33"/>
      <c r="AB39" s="61"/>
      <c r="AC39" s="61"/>
      <c r="AD39" s="61"/>
    </row>
    <row r="40">
      <c r="A40" s="114" t="s">
        <v>29</v>
      </c>
      <c r="B40" s="83" t="s">
        <v>3981</v>
      </c>
      <c r="C40" s="83" t="s">
        <v>3380</v>
      </c>
      <c r="D40" s="83" t="s">
        <v>3616</v>
      </c>
      <c r="E40" s="33"/>
      <c r="F40" s="61"/>
      <c r="G40" s="61"/>
      <c r="H40" s="68" t="str">
        <f>IFERROR(__xludf.DUMMYFUNCTION("""COMPUTED_VALUE"""),"Школа 924")</f>
        <v>Школа 924</v>
      </c>
      <c r="I40" s="61"/>
      <c r="J40" s="61"/>
      <c r="K40" s="61"/>
      <c r="L40" s="61"/>
      <c r="M40" s="33"/>
      <c r="N40" s="61"/>
      <c r="O40" s="61"/>
      <c r="P40" s="61"/>
      <c r="Q40" s="33"/>
      <c r="R40" s="165"/>
      <c r="S40" s="165"/>
      <c r="T40" s="165"/>
      <c r="U40" s="33"/>
      <c r="V40" s="61"/>
      <c r="W40" s="61"/>
      <c r="X40" s="61"/>
      <c r="Y40" s="61"/>
      <c r="Z40" s="61"/>
      <c r="AA40" s="33"/>
      <c r="AB40" s="61"/>
      <c r="AC40" s="61"/>
      <c r="AD40" s="61"/>
    </row>
    <row r="41">
      <c r="A41" s="114" t="s">
        <v>29</v>
      </c>
      <c r="B41" s="83" t="s">
        <v>3982</v>
      </c>
      <c r="C41" s="83" t="s">
        <v>3983</v>
      </c>
      <c r="D41" s="83" t="s">
        <v>3939</v>
      </c>
      <c r="E41" s="33"/>
      <c r="F41" s="61"/>
      <c r="G41" s="61"/>
      <c r="H41" s="68" t="str">
        <f>IFERROR(__xludf.DUMMYFUNCTION("""COMPUTED_VALUE"""),"Школа 937")</f>
        <v>Школа 937</v>
      </c>
      <c r="I41" s="61"/>
      <c r="J41" s="61"/>
      <c r="K41" s="61"/>
      <c r="L41" s="61"/>
      <c r="M41" s="33"/>
      <c r="N41" s="61"/>
      <c r="O41" s="61"/>
      <c r="P41" s="61"/>
      <c r="Q41" s="33"/>
      <c r="R41" s="165"/>
      <c r="S41" s="165"/>
      <c r="T41" s="165"/>
      <c r="U41" s="33"/>
      <c r="V41" s="61"/>
      <c r="W41" s="61"/>
      <c r="X41" s="61"/>
      <c r="Y41" s="61"/>
      <c r="Z41" s="61"/>
      <c r="AA41" s="33"/>
      <c r="AB41" s="61"/>
      <c r="AC41" s="61"/>
      <c r="AD41" s="61"/>
    </row>
    <row r="42">
      <c r="A42" s="114" t="s">
        <v>29</v>
      </c>
      <c r="B42" s="83" t="s">
        <v>3984</v>
      </c>
      <c r="C42" s="83" t="s">
        <v>3684</v>
      </c>
      <c r="D42" s="83" t="s">
        <v>3616</v>
      </c>
      <c r="E42" s="33"/>
      <c r="F42" s="61"/>
      <c r="G42" s="61"/>
      <c r="H42" s="68" t="str">
        <f>IFERROR(__xludf.DUMMYFUNCTION("""COMPUTED_VALUE"""),"Школа 953")</f>
        <v>Школа 953</v>
      </c>
      <c r="I42" s="61"/>
      <c r="J42" s="61"/>
      <c r="K42" s="61"/>
      <c r="L42" s="61"/>
      <c r="M42" s="33"/>
      <c r="N42" s="61"/>
      <c r="O42" s="61"/>
      <c r="P42" s="61"/>
      <c r="Q42" s="33"/>
      <c r="R42" s="165"/>
      <c r="S42" s="165"/>
      <c r="T42" s="165"/>
      <c r="U42" s="33"/>
      <c r="V42" s="61"/>
      <c r="W42" s="61"/>
      <c r="X42" s="61"/>
      <c r="Y42" s="61"/>
      <c r="Z42" s="61"/>
      <c r="AA42" s="33"/>
      <c r="AB42" s="61"/>
      <c r="AC42" s="61"/>
      <c r="AD42" s="61"/>
    </row>
    <row r="43">
      <c r="A43" s="114" t="s">
        <v>29</v>
      </c>
      <c r="B43" s="83" t="s">
        <v>3985</v>
      </c>
      <c r="C43" s="83" t="s">
        <v>3622</v>
      </c>
      <c r="D43" s="83" t="s">
        <v>3616</v>
      </c>
      <c r="E43" s="33"/>
      <c r="F43" s="61"/>
      <c r="G43" s="61"/>
      <c r="H43" s="68" t="str">
        <f>IFERROR(__xludf.DUMMYFUNCTION("""COMPUTED_VALUE"""),"Школа 1002")</f>
        <v>Школа 1002</v>
      </c>
      <c r="I43" s="61"/>
      <c r="J43" s="61"/>
      <c r="K43" s="61"/>
      <c r="L43" s="61"/>
      <c r="M43" s="33"/>
      <c r="N43" s="61"/>
      <c r="O43" s="61"/>
      <c r="P43" s="61"/>
      <c r="Q43" s="33"/>
      <c r="R43" s="165"/>
      <c r="S43" s="165"/>
      <c r="T43" s="165"/>
      <c r="U43" s="33"/>
      <c r="V43" s="61"/>
      <c r="W43" s="61"/>
      <c r="X43" s="61"/>
      <c r="Y43" s="61"/>
      <c r="Z43" s="61"/>
      <c r="AA43" s="33"/>
      <c r="AB43" s="61"/>
      <c r="AC43" s="61"/>
      <c r="AD43" s="61"/>
    </row>
    <row r="44">
      <c r="A44" s="114" t="s">
        <v>29</v>
      </c>
      <c r="B44" s="83" t="s">
        <v>3986</v>
      </c>
      <c r="C44" s="83" t="s">
        <v>3321</v>
      </c>
      <c r="D44" s="83" t="s">
        <v>3616</v>
      </c>
      <c r="E44" s="33"/>
      <c r="F44" s="61"/>
      <c r="G44" s="61"/>
      <c r="H44" s="68" t="str">
        <f>IFERROR(__xludf.DUMMYFUNCTION("""COMPUTED_VALUE"""),"Школа 1034")</f>
        <v>Школа 1034</v>
      </c>
      <c r="I44" s="61"/>
      <c r="J44" s="61"/>
      <c r="K44" s="61"/>
      <c r="L44" s="61"/>
      <c r="M44" s="33"/>
      <c r="N44" s="61"/>
      <c r="O44" s="61"/>
      <c r="P44" s="61"/>
      <c r="Q44" s="33"/>
      <c r="R44" s="165"/>
      <c r="S44" s="165"/>
      <c r="T44" s="165"/>
      <c r="U44" s="33"/>
      <c r="V44" s="61"/>
      <c r="W44" s="61"/>
      <c r="X44" s="61"/>
      <c r="Y44" s="61"/>
      <c r="Z44" s="61"/>
      <c r="AA44" s="33"/>
      <c r="AB44" s="61"/>
      <c r="AC44" s="61"/>
      <c r="AD44" s="61"/>
    </row>
    <row r="45">
      <c r="A45" s="114" t="s">
        <v>29</v>
      </c>
      <c r="B45" s="83" t="s">
        <v>3987</v>
      </c>
      <c r="C45" s="83" t="s">
        <v>3686</v>
      </c>
      <c r="D45" s="83" t="s">
        <v>3616</v>
      </c>
      <c r="E45" s="33"/>
      <c r="F45" s="61"/>
      <c r="G45" s="61"/>
      <c r="H45" s="68" t="str">
        <f>IFERROR(__xludf.DUMMYFUNCTION("""COMPUTED_VALUE"""),"Школа 1150")</f>
        <v>Школа 1150</v>
      </c>
      <c r="I45" s="61"/>
      <c r="J45" s="61"/>
      <c r="K45" s="61"/>
      <c r="L45" s="61"/>
      <c r="M45" s="33"/>
      <c r="N45" s="61"/>
      <c r="O45" s="61"/>
      <c r="P45" s="61"/>
      <c r="Q45" s="33"/>
      <c r="R45" s="165"/>
      <c r="S45" s="165"/>
      <c r="T45" s="165"/>
      <c r="U45" s="33"/>
      <c r="V45" s="61"/>
      <c r="W45" s="61"/>
      <c r="X45" s="61"/>
      <c r="Y45" s="61"/>
      <c r="Z45" s="61"/>
      <c r="AA45" s="33"/>
      <c r="AB45" s="61"/>
      <c r="AC45" s="61"/>
      <c r="AD45" s="61"/>
    </row>
    <row r="46">
      <c r="A46" s="114" t="s">
        <v>29</v>
      </c>
      <c r="B46" s="83" t="s">
        <v>3988</v>
      </c>
      <c r="C46" s="83" t="s">
        <v>3687</v>
      </c>
      <c r="D46" s="83" t="s">
        <v>3616</v>
      </c>
      <c r="E46" s="33"/>
      <c r="F46" s="61"/>
      <c r="G46" s="61"/>
      <c r="H46" s="68" t="str">
        <f>IFERROR(__xludf.DUMMYFUNCTION("""COMPUTED_VALUE"""),"Школа 1151")</f>
        <v>Школа 1151</v>
      </c>
      <c r="I46" s="61"/>
      <c r="J46" s="61"/>
      <c r="K46" s="61"/>
      <c r="L46" s="61"/>
      <c r="M46" s="33"/>
      <c r="N46" s="61"/>
      <c r="O46" s="61"/>
      <c r="P46" s="61"/>
      <c r="Q46" s="33"/>
      <c r="R46" s="165"/>
      <c r="S46" s="165"/>
      <c r="T46" s="165"/>
      <c r="U46" s="33"/>
      <c r="V46" s="61"/>
      <c r="W46" s="61"/>
      <c r="X46" s="61"/>
      <c r="Y46" s="61"/>
      <c r="Z46" s="61"/>
      <c r="AA46" s="33"/>
      <c r="AB46" s="61"/>
      <c r="AC46" s="61"/>
      <c r="AD46" s="61"/>
    </row>
    <row r="47">
      <c r="A47" s="114" t="s">
        <v>29</v>
      </c>
      <c r="B47" s="83" t="s">
        <v>3989</v>
      </c>
      <c r="C47" s="83" t="s">
        <v>3623</v>
      </c>
      <c r="D47" s="83" t="s">
        <v>3616</v>
      </c>
      <c r="E47" s="33"/>
      <c r="F47" s="61"/>
      <c r="G47" s="61"/>
      <c r="H47" s="68" t="str">
        <f>IFERROR(__xludf.DUMMYFUNCTION("""COMPUTED_VALUE"""),"Школа 1158")</f>
        <v>Школа 1158</v>
      </c>
      <c r="I47" s="61"/>
      <c r="J47" s="61"/>
      <c r="K47" s="61"/>
      <c r="L47" s="61"/>
      <c r="M47" s="33"/>
      <c r="N47" s="61"/>
      <c r="O47" s="61"/>
      <c r="P47" s="61"/>
      <c r="Q47" s="33"/>
      <c r="R47" s="165"/>
      <c r="S47" s="165"/>
      <c r="T47" s="165"/>
      <c r="U47" s="33"/>
      <c r="V47" s="61"/>
      <c r="W47" s="61"/>
      <c r="X47" s="61"/>
      <c r="Y47" s="61"/>
      <c r="Z47" s="61"/>
      <c r="AA47" s="33"/>
      <c r="AB47" s="61"/>
      <c r="AC47" s="61"/>
      <c r="AD47" s="61"/>
    </row>
    <row r="48">
      <c r="A48" s="114" t="s">
        <v>29</v>
      </c>
      <c r="B48" s="83" t="s">
        <v>3990</v>
      </c>
      <c r="C48" s="83" t="s">
        <v>3771</v>
      </c>
      <c r="D48" s="83" t="s">
        <v>3939</v>
      </c>
      <c r="E48" s="33"/>
      <c r="F48" s="61"/>
      <c r="G48" s="61"/>
      <c r="H48" s="68" t="str">
        <f>IFERROR(__xludf.DUMMYFUNCTION("""COMPUTED_VALUE"""),"Школа 1173")</f>
        <v>Школа 1173</v>
      </c>
      <c r="I48" s="61"/>
      <c r="J48" s="61"/>
      <c r="K48" s="61"/>
      <c r="L48" s="61"/>
      <c r="M48" s="33"/>
      <c r="N48" s="61"/>
      <c r="O48" s="61"/>
      <c r="P48" s="61"/>
      <c r="Q48" s="33"/>
      <c r="R48" s="165"/>
      <c r="S48" s="165"/>
      <c r="T48" s="165"/>
      <c r="U48" s="33"/>
      <c r="V48" s="61"/>
      <c r="W48" s="61"/>
      <c r="X48" s="61"/>
      <c r="Y48" s="61"/>
      <c r="Z48" s="61"/>
      <c r="AA48" s="33"/>
      <c r="AB48" s="61"/>
      <c r="AC48" s="61"/>
      <c r="AD48" s="61"/>
    </row>
    <row r="49">
      <c r="A49" s="114" t="s">
        <v>29</v>
      </c>
      <c r="B49" s="83" t="s">
        <v>3991</v>
      </c>
      <c r="C49" s="83" t="s">
        <v>3688</v>
      </c>
      <c r="D49" s="83" t="s">
        <v>3616</v>
      </c>
      <c r="E49" s="33"/>
      <c r="F49" s="61"/>
      <c r="G49" s="61"/>
      <c r="H49" s="68" t="str">
        <f>IFERROR(__xludf.DUMMYFUNCTION("""COMPUTED_VALUE"""),"Школа 1191")</f>
        <v>Школа 1191</v>
      </c>
      <c r="I49" s="61"/>
      <c r="J49" s="61"/>
      <c r="K49" s="61"/>
      <c r="L49" s="61"/>
      <c r="M49" s="33"/>
      <c r="N49" s="61"/>
      <c r="O49" s="61"/>
      <c r="P49" s="61"/>
      <c r="Q49" s="33"/>
      <c r="R49" s="165"/>
      <c r="S49" s="165"/>
      <c r="T49" s="165"/>
      <c r="U49" s="33"/>
      <c r="V49" s="61"/>
      <c r="W49" s="61"/>
      <c r="X49" s="61"/>
      <c r="Y49" s="61"/>
      <c r="Z49" s="61"/>
      <c r="AA49" s="33"/>
      <c r="AB49" s="61"/>
      <c r="AC49" s="61"/>
      <c r="AD49" s="61"/>
    </row>
    <row r="50">
      <c r="A50" s="114" t="s">
        <v>29</v>
      </c>
      <c r="B50" s="83" t="s">
        <v>3992</v>
      </c>
      <c r="C50" s="83" t="s">
        <v>3624</v>
      </c>
      <c r="D50" s="83" t="s">
        <v>3616</v>
      </c>
      <c r="E50" s="33"/>
      <c r="F50" s="61"/>
      <c r="G50" s="61"/>
      <c r="H50" s="68" t="str">
        <f>IFERROR(__xludf.DUMMYFUNCTION("""COMPUTED_VALUE"""),"Школа 1194")</f>
        <v>Школа 1194</v>
      </c>
      <c r="I50" s="61"/>
      <c r="J50" s="61"/>
      <c r="K50" s="61"/>
      <c r="L50" s="61"/>
      <c r="M50" s="33"/>
      <c r="N50" s="61"/>
      <c r="O50" s="61"/>
      <c r="P50" s="61"/>
      <c r="Q50" s="33"/>
      <c r="R50" s="165"/>
      <c r="S50" s="165"/>
      <c r="T50" s="165"/>
      <c r="U50" s="33"/>
      <c r="V50" s="61"/>
      <c r="W50" s="61"/>
      <c r="X50" s="61"/>
      <c r="Y50" s="61"/>
      <c r="Z50" s="61"/>
      <c r="AA50" s="33"/>
      <c r="AB50" s="61"/>
      <c r="AC50" s="61"/>
      <c r="AD50" s="61"/>
    </row>
    <row r="51">
      <c r="A51" s="114" t="s">
        <v>29</v>
      </c>
      <c r="B51" s="83" t="s">
        <v>3993</v>
      </c>
      <c r="C51" s="83" t="s">
        <v>3345</v>
      </c>
      <c r="D51" s="83" t="s">
        <v>3616</v>
      </c>
      <c r="E51" s="33"/>
      <c r="F51" s="61"/>
      <c r="G51" s="61"/>
      <c r="H51" s="68" t="str">
        <f>IFERROR(__xludf.DUMMYFUNCTION("""COMPUTED_VALUE"""),"Школа 1195")</f>
        <v>Школа 1195</v>
      </c>
      <c r="I51" s="61"/>
      <c r="J51" s="61"/>
      <c r="K51" s="61"/>
      <c r="L51" s="61"/>
      <c r="M51" s="33"/>
      <c r="N51" s="61"/>
      <c r="O51" s="61"/>
      <c r="P51" s="61"/>
      <c r="Q51" s="33"/>
      <c r="R51" s="165"/>
      <c r="S51" s="165"/>
      <c r="T51" s="165"/>
      <c r="U51" s="33"/>
      <c r="V51" s="61"/>
      <c r="W51" s="61"/>
      <c r="X51" s="61"/>
      <c r="Y51" s="61"/>
      <c r="Z51" s="61"/>
      <c r="AA51" s="33"/>
      <c r="AB51" s="61"/>
      <c r="AC51" s="61"/>
      <c r="AD51" s="61"/>
    </row>
    <row r="52">
      <c r="A52" s="114" t="s">
        <v>29</v>
      </c>
      <c r="B52" s="83" t="s">
        <v>3994</v>
      </c>
      <c r="C52" s="83" t="s">
        <v>3689</v>
      </c>
      <c r="D52" s="83" t="s">
        <v>3616</v>
      </c>
      <c r="E52" s="33"/>
      <c r="F52" s="61"/>
      <c r="G52" s="61"/>
      <c r="H52" s="68" t="str">
        <f>IFERROR(__xludf.DUMMYFUNCTION("""COMPUTED_VALUE"""),"Школа 1205")</f>
        <v>Школа 1205</v>
      </c>
      <c r="I52" s="61"/>
      <c r="J52" s="61"/>
      <c r="K52" s="61"/>
      <c r="L52" s="61"/>
      <c r="M52" s="33"/>
      <c r="N52" s="61"/>
      <c r="O52" s="61"/>
      <c r="P52" s="61"/>
      <c r="Q52" s="33"/>
      <c r="R52" s="165"/>
      <c r="S52" s="165"/>
      <c r="T52" s="165"/>
      <c r="U52" s="33"/>
      <c r="V52" s="61"/>
      <c r="W52" s="61"/>
      <c r="X52" s="61"/>
      <c r="Y52" s="61"/>
      <c r="Z52" s="61"/>
      <c r="AA52" s="33"/>
      <c r="AB52" s="61"/>
      <c r="AC52" s="61"/>
      <c r="AD52" s="61"/>
    </row>
    <row r="53">
      <c r="A53" s="114" t="s">
        <v>29</v>
      </c>
      <c r="B53" s="83" t="s">
        <v>3995</v>
      </c>
      <c r="C53" s="83" t="s">
        <v>3328</v>
      </c>
      <c r="D53" s="83" t="s">
        <v>3947</v>
      </c>
      <c r="E53" s="33"/>
      <c r="F53" s="61"/>
      <c r="G53" s="61"/>
      <c r="H53" s="68" t="str">
        <f>IFERROR(__xludf.DUMMYFUNCTION("""COMPUTED_VALUE"""),"Школа 1207")</f>
        <v>Школа 1207</v>
      </c>
      <c r="I53" s="61"/>
      <c r="J53" s="61"/>
      <c r="K53" s="61"/>
      <c r="L53" s="61"/>
      <c r="M53" s="33"/>
      <c r="N53" s="61"/>
      <c r="O53" s="61"/>
      <c r="P53" s="61"/>
      <c r="Q53" s="33"/>
      <c r="R53" s="165"/>
      <c r="S53" s="165"/>
      <c r="T53" s="165"/>
      <c r="U53" s="33"/>
      <c r="V53" s="61"/>
      <c r="W53" s="61"/>
      <c r="X53" s="61"/>
      <c r="Y53" s="61"/>
      <c r="Z53" s="61"/>
      <c r="AA53" s="33"/>
      <c r="AB53" s="61"/>
      <c r="AC53" s="61"/>
      <c r="AD53" s="61"/>
    </row>
    <row r="54">
      <c r="A54" s="114" t="s">
        <v>29</v>
      </c>
      <c r="B54" s="83" t="s">
        <v>3996</v>
      </c>
      <c r="C54" s="83" t="s">
        <v>3385</v>
      </c>
      <c r="D54" s="83" t="s">
        <v>3935</v>
      </c>
      <c r="E54" s="33"/>
      <c r="F54" s="61"/>
      <c r="G54" s="61"/>
      <c r="H54" s="68" t="str">
        <f>IFERROR(__xludf.DUMMYFUNCTION("""COMPUTED_VALUE"""),"Школа 1208")</f>
        <v>Школа 1208</v>
      </c>
      <c r="I54" s="61"/>
      <c r="J54" s="61"/>
      <c r="K54" s="61"/>
      <c r="L54" s="61"/>
      <c r="M54" s="33"/>
      <c r="N54" s="61"/>
      <c r="O54" s="61"/>
      <c r="P54" s="61"/>
      <c r="Q54" s="33"/>
      <c r="R54" s="165"/>
      <c r="S54" s="165"/>
      <c r="T54" s="165"/>
      <c r="U54" s="33"/>
      <c r="V54" s="61"/>
      <c r="W54" s="61"/>
      <c r="X54" s="61"/>
      <c r="Y54" s="61"/>
      <c r="Z54" s="61"/>
      <c r="AA54" s="33"/>
      <c r="AB54" s="61"/>
      <c r="AC54" s="61"/>
      <c r="AD54" s="61"/>
    </row>
    <row r="55">
      <c r="A55" s="114" t="s">
        <v>29</v>
      </c>
      <c r="B55" s="83" t="s">
        <v>3997</v>
      </c>
      <c r="C55" s="83" t="s">
        <v>3469</v>
      </c>
      <c r="D55" s="83" t="s">
        <v>3616</v>
      </c>
      <c r="E55" s="33"/>
      <c r="F55" s="61"/>
      <c r="G55" s="61"/>
      <c r="H55" s="68" t="str">
        <f>IFERROR(__xludf.DUMMYFUNCTION("""COMPUTED_VALUE"""),"Школа 1210")</f>
        <v>Школа 1210</v>
      </c>
      <c r="I55" s="61"/>
      <c r="J55" s="61"/>
      <c r="K55" s="61"/>
      <c r="L55" s="61"/>
      <c r="M55" s="33"/>
      <c r="N55" s="61"/>
      <c r="O55" s="61"/>
      <c r="P55" s="61"/>
      <c r="Q55" s="33"/>
      <c r="R55" s="165"/>
      <c r="S55" s="165"/>
      <c r="T55" s="165"/>
      <c r="U55" s="33"/>
      <c r="V55" s="61"/>
      <c r="W55" s="61"/>
      <c r="X55" s="61"/>
      <c r="Y55" s="61"/>
      <c r="Z55" s="61"/>
      <c r="AA55" s="33"/>
      <c r="AB55" s="61"/>
      <c r="AC55" s="61"/>
      <c r="AD55" s="61"/>
    </row>
    <row r="56">
      <c r="A56" s="114" t="s">
        <v>29</v>
      </c>
      <c r="B56" s="83" t="s">
        <v>3998</v>
      </c>
      <c r="C56" s="83" t="s">
        <v>3748</v>
      </c>
      <c r="D56" s="83" t="s">
        <v>3935</v>
      </c>
      <c r="E56" s="33"/>
      <c r="F56" s="61"/>
      <c r="G56" s="61"/>
      <c r="H56" s="68" t="str">
        <f>IFERROR(__xludf.DUMMYFUNCTION("""COMPUTED_VALUE"""),"Школа 1212")</f>
        <v>Школа 1212</v>
      </c>
      <c r="I56" s="61"/>
      <c r="J56" s="61"/>
      <c r="K56" s="61"/>
      <c r="L56" s="61"/>
      <c r="M56" s="33"/>
      <c r="N56" s="61"/>
      <c r="O56" s="61"/>
      <c r="P56" s="61"/>
      <c r="Q56" s="33"/>
      <c r="R56" s="165"/>
      <c r="S56" s="165"/>
      <c r="T56" s="165"/>
      <c r="U56" s="33"/>
      <c r="V56" s="61"/>
      <c r="W56" s="61"/>
      <c r="X56" s="61"/>
      <c r="Y56" s="61"/>
      <c r="Z56" s="61"/>
      <c r="AA56" s="33"/>
      <c r="AB56" s="61"/>
      <c r="AC56" s="61"/>
      <c r="AD56" s="61"/>
    </row>
    <row r="57">
      <c r="A57" s="114" t="s">
        <v>29</v>
      </c>
      <c r="B57" s="83" t="s">
        <v>3999</v>
      </c>
      <c r="C57" s="83" t="s">
        <v>3562</v>
      </c>
      <c r="D57" s="83" t="s">
        <v>3616</v>
      </c>
      <c r="E57" s="33"/>
      <c r="F57" s="61"/>
      <c r="G57" s="61"/>
      <c r="H57" s="68" t="str">
        <f>IFERROR(__xludf.DUMMYFUNCTION("""COMPUTED_VALUE"""),"Школа 1220")</f>
        <v>Школа 1220</v>
      </c>
      <c r="I57" s="61"/>
      <c r="J57" s="61"/>
      <c r="K57" s="61"/>
      <c r="L57" s="61"/>
      <c r="M57" s="33"/>
      <c r="N57" s="61"/>
      <c r="O57" s="61"/>
      <c r="P57" s="61"/>
      <c r="Q57" s="33"/>
      <c r="R57" s="165"/>
      <c r="S57" s="165"/>
      <c r="T57" s="165"/>
      <c r="U57" s="33"/>
      <c r="V57" s="61"/>
      <c r="W57" s="61"/>
      <c r="X57" s="61"/>
      <c r="Y57" s="61"/>
      <c r="Z57" s="61"/>
      <c r="AA57" s="33"/>
      <c r="AB57" s="61"/>
      <c r="AC57" s="61"/>
      <c r="AD57" s="61"/>
    </row>
    <row r="58">
      <c r="A58" s="114" t="s">
        <v>29</v>
      </c>
      <c r="B58" s="83" t="s">
        <v>4000</v>
      </c>
      <c r="C58" s="83" t="s">
        <v>3505</v>
      </c>
      <c r="D58" s="83" t="s">
        <v>3616</v>
      </c>
      <c r="E58" s="33"/>
      <c r="F58" s="61"/>
      <c r="G58" s="61"/>
      <c r="H58" s="68" t="str">
        <f>IFERROR(__xludf.DUMMYFUNCTION("""COMPUTED_VALUE"""),"Школа 1228")</f>
        <v>Школа 1228</v>
      </c>
      <c r="I58" s="61"/>
      <c r="J58" s="61"/>
      <c r="K58" s="61"/>
      <c r="L58" s="61"/>
      <c r="M58" s="33"/>
      <c r="N58" s="61"/>
      <c r="O58" s="61"/>
      <c r="P58" s="61"/>
      <c r="Q58" s="33"/>
      <c r="R58" s="165"/>
      <c r="S58" s="165"/>
      <c r="T58" s="165"/>
      <c r="U58" s="33"/>
      <c r="V58" s="61"/>
      <c r="W58" s="61"/>
      <c r="X58" s="61"/>
      <c r="Y58" s="61"/>
      <c r="Z58" s="61"/>
      <c r="AA58" s="33"/>
      <c r="AB58" s="61"/>
      <c r="AC58" s="61"/>
      <c r="AD58" s="61"/>
    </row>
    <row r="59">
      <c r="A59" s="114" t="s">
        <v>29</v>
      </c>
      <c r="B59" s="83" t="s">
        <v>4001</v>
      </c>
      <c r="C59" s="83" t="s">
        <v>3386</v>
      </c>
      <c r="D59" s="83" t="s">
        <v>3616</v>
      </c>
      <c r="E59" s="33"/>
      <c r="F59" s="61"/>
      <c r="G59" s="61"/>
      <c r="H59" s="68" t="str">
        <f>IFERROR(__xludf.DUMMYFUNCTION("""COMPUTED_VALUE"""),"Школа 1231")</f>
        <v>Школа 1231</v>
      </c>
      <c r="I59" s="61"/>
      <c r="J59" s="61"/>
      <c r="K59" s="61"/>
      <c r="L59" s="61"/>
      <c r="M59" s="33"/>
      <c r="N59" s="61"/>
      <c r="O59" s="61"/>
      <c r="P59" s="61"/>
      <c r="Q59" s="33"/>
      <c r="R59" s="165"/>
      <c r="S59" s="165"/>
      <c r="T59" s="165"/>
      <c r="U59" s="33"/>
      <c r="V59" s="61"/>
      <c r="W59" s="61"/>
      <c r="X59" s="61"/>
      <c r="Y59" s="61"/>
      <c r="Z59" s="61"/>
      <c r="AA59" s="33"/>
      <c r="AB59" s="61"/>
      <c r="AC59" s="61"/>
      <c r="AD59" s="61"/>
    </row>
    <row r="60">
      <c r="A60" s="114" t="s">
        <v>29</v>
      </c>
      <c r="B60" s="83" t="s">
        <v>4002</v>
      </c>
      <c r="C60" s="83" t="s">
        <v>3387</v>
      </c>
      <c r="D60" s="83" t="s">
        <v>3939</v>
      </c>
      <c r="E60" s="33"/>
      <c r="F60" s="61"/>
      <c r="G60" s="61"/>
      <c r="H60" s="68" t="str">
        <f>IFERROR(__xludf.DUMMYFUNCTION("""COMPUTED_VALUE"""),"Школа 1238")</f>
        <v>Школа 1238</v>
      </c>
      <c r="I60" s="61"/>
      <c r="J60" s="61"/>
      <c r="K60" s="61"/>
      <c r="L60" s="61"/>
      <c r="M60" s="33"/>
      <c r="N60" s="61"/>
      <c r="O60" s="61"/>
      <c r="P60" s="61"/>
      <c r="Q60" s="33"/>
      <c r="R60" s="165"/>
      <c r="S60" s="165"/>
      <c r="T60" s="165"/>
      <c r="U60" s="33"/>
      <c r="V60" s="61"/>
      <c r="W60" s="61"/>
      <c r="X60" s="61"/>
      <c r="Y60" s="61"/>
      <c r="Z60" s="61"/>
      <c r="AA60" s="33"/>
      <c r="AB60" s="61"/>
      <c r="AC60" s="61"/>
      <c r="AD60" s="61"/>
    </row>
    <row r="61">
      <c r="A61" s="114" t="s">
        <v>29</v>
      </c>
      <c r="B61" s="83" t="s">
        <v>3693</v>
      </c>
      <c r="C61" s="83" t="s">
        <v>3596</v>
      </c>
      <c r="D61" s="83" t="s">
        <v>3616</v>
      </c>
      <c r="E61" s="33"/>
      <c r="F61" s="61"/>
      <c r="G61" s="61"/>
      <c r="H61" s="68" t="str">
        <f>IFERROR(__xludf.DUMMYFUNCTION("""COMPUTED_VALUE"""),"Школа 1245")</f>
        <v>Школа 1245</v>
      </c>
      <c r="I61" s="61"/>
      <c r="J61" s="61"/>
      <c r="K61" s="61"/>
      <c r="L61" s="61"/>
      <c r="M61" s="33"/>
      <c r="N61" s="61"/>
      <c r="O61" s="61"/>
      <c r="P61" s="61"/>
      <c r="Q61" s="33"/>
      <c r="R61" s="165"/>
      <c r="S61" s="165"/>
      <c r="T61" s="165"/>
      <c r="U61" s="33"/>
      <c r="V61" s="61"/>
      <c r="W61" s="61"/>
      <c r="X61" s="61"/>
      <c r="Y61" s="61"/>
      <c r="Z61" s="61"/>
      <c r="AA61" s="33"/>
      <c r="AB61" s="61"/>
      <c r="AC61" s="61"/>
      <c r="AD61" s="61"/>
    </row>
    <row r="62">
      <c r="A62" s="114" t="s">
        <v>29</v>
      </c>
      <c r="B62" s="83" t="s">
        <v>4003</v>
      </c>
      <c r="C62" s="83" t="s">
        <v>3391</v>
      </c>
      <c r="D62" s="83" t="s">
        <v>3616</v>
      </c>
      <c r="E62" s="33"/>
      <c r="F62" s="61"/>
      <c r="G62" s="61"/>
      <c r="H62" s="68" t="str">
        <f>IFERROR(__xludf.DUMMYFUNCTION("""COMPUTED_VALUE"""),"Школа 1286")</f>
        <v>Школа 1286</v>
      </c>
      <c r="I62" s="61"/>
      <c r="J62" s="61"/>
      <c r="K62" s="61"/>
      <c r="L62" s="61"/>
      <c r="M62" s="33"/>
      <c r="N62" s="61"/>
      <c r="O62" s="61"/>
      <c r="P62" s="61"/>
      <c r="Q62" s="33"/>
      <c r="R62" s="165"/>
      <c r="S62" s="165"/>
      <c r="T62" s="165"/>
      <c r="U62" s="33"/>
      <c r="V62" s="61"/>
      <c r="W62" s="61"/>
      <c r="X62" s="61"/>
      <c r="Y62" s="61"/>
      <c r="Z62" s="61"/>
      <c r="AA62" s="33"/>
      <c r="AB62" s="61"/>
      <c r="AC62" s="61"/>
      <c r="AD62" s="61"/>
    </row>
    <row r="63">
      <c r="A63" s="114" t="s">
        <v>29</v>
      </c>
      <c r="B63" s="83" t="s">
        <v>4004</v>
      </c>
      <c r="C63" s="83" t="s">
        <v>3392</v>
      </c>
      <c r="D63" s="83" t="s">
        <v>3616</v>
      </c>
      <c r="E63" s="33"/>
      <c r="F63" s="61"/>
      <c r="G63" s="61"/>
      <c r="H63" s="68" t="str">
        <f>IFERROR(__xludf.DUMMYFUNCTION("""COMPUTED_VALUE"""),"Школа 1288")</f>
        <v>Школа 1288</v>
      </c>
      <c r="I63" s="61"/>
      <c r="J63" s="61"/>
      <c r="K63" s="61"/>
      <c r="L63" s="61"/>
      <c r="M63" s="33"/>
      <c r="N63" s="61"/>
      <c r="O63" s="61"/>
      <c r="P63" s="61"/>
      <c r="Q63" s="33"/>
      <c r="R63" s="165"/>
      <c r="S63" s="165"/>
      <c r="T63" s="165"/>
      <c r="U63" s="33"/>
      <c r="V63" s="61"/>
      <c r="W63" s="61"/>
      <c r="X63" s="61"/>
      <c r="Y63" s="61"/>
      <c r="Z63" s="61"/>
      <c r="AA63" s="33"/>
      <c r="AB63" s="61"/>
      <c r="AC63" s="61"/>
      <c r="AD63" s="61"/>
    </row>
    <row r="64">
      <c r="A64" s="114" t="s">
        <v>29</v>
      </c>
      <c r="B64" s="83" t="s">
        <v>4005</v>
      </c>
      <c r="C64" s="83" t="s">
        <v>3472</v>
      </c>
      <c r="D64" s="83" t="s">
        <v>3616</v>
      </c>
      <c r="E64" s="33"/>
      <c r="F64" s="61"/>
      <c r="G64" s="61"/>
      <c r="H64" s="68" t="str">
        <f>IFERROR(__xludf.DUMMYFUNCTION("""COMPUTED_VALUE"""),"Школа 1293")</f>
        <v>Школа 1293</v>
      </c>
      <c r="I64" s="61"/>
      <c r="J64" s="61"/>
      <c r="K64" s="61"/>
      <c r="L64" s="61"/>
      <c r="M64" s="33"/>
      <c r="N64" s="61"/>
      <c r="O64" s="61"/>
      <c r="P64" s="61"/>
      <c r="Q64" s="33"/>
      <c r="R64" s="165"/>
      <c r="S64" s="165"/>
      <c r="T64" s="165"/>
      <c r="U64" s="33"/>
      <c r="V64" s="61"/>
      <c r="W64" s="61"/>
      <c r="X64" s="61"/>
      <c r="Y64" s="61"/>
      <c r="Z64" s="61"/>
      <c r="AA64" s="33"/>
      <c r="AB64" s="61"/>
      <c r="AC64" s="61"/>
      <c r="AD64" s="61"/>
    </row>
    <row r="65">
      <c r="A65" s="114" t="s">
        <v>29</v>
      </c>
      <c r="B65" s="83" t="s">
        <v>4006</v>
      </c>
      <c r="C65" s="83" t="s">
        <v>3394</v>
      </c>
      <c r="D65" s="83" t="s">
        <v>3616</v>
      </c>
      <c r="E65" s="33"/>
      <c r="F65" s="61"/>
      <c r="G65" s="61"/>
      <c r="H65" s="68" t="str">
        <f>IFERROR(__xludf.DUMMYFUNCTION("""COMPUTED_VALUE"""),"Школа 1298")</f>
        <v>Школа 1298</v>
      </c>
      <c r="I65" s="61"/>
      <c r="J65" s="61"/>
      <c r="K65" s="61"/>
      <c r="L65" s="61"/>
      <c r="M65" s="33"/>
      <c r="N65" s="61"/>
      <c r="O65" s="61"/>
      <c r="P65" s="61"/>
      <c r="Q65" s="33"/>
      <c r="R65" s="165"/>
      <c r="S65" s="165"/>
      <c r="T65" s="165"/>
      <c r="U65" s="33"/>
      <c r="V65" s="61"/>
      <c r="W65" s="61"/>
      <c r="X65" s="61"/>
      <c r="Y65" s="61"/>
      <c r="Z65" s="61"/>
      <c r="AA65" s="33"/>
      <c r="AB65" s="61"/>
      <c r="AC65" s="61"/>
      <c r="AD65" s="61"/>
    </row>
    <row r="66">
      <c r="A66" s="114" t="s">
        <v>29</v>
      </c>
      <c r="B66" s="83" t="s">
        <v>4007</v>
      </c>
      <c r="C66" s="83" t="s">
        <v>3396</v>
      </c>
      <c r="D66" s="83" t="s">
        <v>3616</v>
      </c>
      <c r="E66" s="33"/>
      <c r="F66" s="61"/>
      <c r="G66" s="61"/>
      <c r="H66" s="68" t="str">
        <f>IFERROR(__xludf.DUMMYFUNCTION("""COMPUTED_VALUE"""),"Школа 1315")</f>
        <v>Школа 1315</v>
      </c>
      <c r="I66" s="61"/>
      <c r="J66" s="61"/>
      <c r="K66" s="61"/>
      <c r="L66" s="61"/>
      <c r="M66" s="33"/>
      <c r="N66" s="61"/>
      <c r="O66" s="61"/>
      <c r="P66" s="61"/>
      <c r="Q66" s="33"/>
      <c r="R66" s="165"/>
      <c r="S66" s="165"/>
      <c r="T66" s="165"/>
      <c r="U66" s="33"/>
      <c r="V66" s="61"/>
      <c r="W66" s="61"/>
      <c r="X66" s="61"/>
      <c r="Y66" s="61"/>
      <c r="Z66" s="61"/>
      <c r="AA66" s="33"/>
      <c r="AB66" s="61"/>
      <c r="AC66" s="61"/>
      <c r="AD66" s="61"/>
    </row>
    <row r="67">
      <c r="A67" s="114" t="s">
        <v>29</v>
      </c>
      <c r="B67" s="83" t="s">
        <v>4008</v>
      </c>
      <c r="C67" s="83" t="s">
        <v>3542</v>
      </c>
      <c r="D67" s="83" t="s">
        <v>3616</v>
      </c>
      <c r="E67" s="33"/>
      <c r="F67" s="61"/>
      <c r="G67" s="61"/>
      <c r="H67" s="68" t="str">
        <f>IFERROR(__xludf.DUMMYFUNCTION("""COMPUTED_VALUE"""),"Школа 1324")</f>
        <v>Школа 1324</v>
      </c>
      <c r="I67" s="61"/>
      <c r="J67" s="61"/>
      <c r="K67" s="61"/>
      <c r="L67" s="61"/>
      <c r="M67" s="33"/>
      <c r="N67" s="61"/>
      <c r="O67" s="61"/>
      <c r="P67" s="61"/>
      <c r="Q67" s="33"/>
      <c r="R67" s="165"/>
      <c r="S67" s="165"/>
      <c r="T67" s="165"/>
      <c r="U67" s="33"/>
      <c r="V67" s="61"/>
      <c r="W67" s="61"/>
      <c r="X67" s="61"/>
      <c r="Y67" s="61"/>
      <c r="Z67" s="61"/>
      <c r="AA67" s="33"/>
      <c r="AB67" s="61"/>
      <c r="AC67" s="61"/>
      <c r="AD67" s="61"/>
    </row>
    <row r="68">
      <c r="A68" s="114" t="s">
        <v>29</v>
      </c>
      <c r="B68" s="83" t="s">
        <v>4009</v>
      </c>
      <c r="C68" s="83" t="s">
        <v>3626</v>
      </c>
      <c r="D68" s="83" t="s">
        <v>3616</v>
      </c>
      <c r="E68" s="33"/>
      <c r="F68" s="61"/>
      <c r="G68" s="61"/>
      <c r="H68" s="68" t="str">
        <f>IFERROR(__xludf.DUMMYFUNCTION("""COMPUTED_VALUE"""),"Школа 1329")</f>
        <v>Школа 1329</v>
      </c>
      <c r="I68" s="61"/>
      <c r="J68" s="61"/>
      <c r="K68" s="61"/>
      <c r="L68" s="61"/>
      <c r="M68" s="33"/>
      <c r="N68" s="61"/>
      <c r="O68" s="61"/>
      <c r="P68" s="61"/>
      <c r="Q68" s="33"/>
      <c r="R68" s="165"/>
      <c r="S68" s="165"/>
      <c r="T68" s="165"/>
      <c r="U68" s="33"/>
      <c r="V68" s="61"/>
      <c r="W68" s="61"/>
      <c r="X68" s="61"/>
      <c r="Y68" s="61"/>
      <c r="Z68" s="61"/>
      <c r="AA68" s="33"/>
      <c r="AB68" s="61"/>
      <c r="AC68" s="61"/>
      <c r="AD68" s="61"/>
    </row>
    <row r="69">
      <c r="A69" s="114" t="s">
        <v>29</v>
      </c>
      <c r="B69" s="83" t="s">
        <v>4010</v>
      </c>
      <c r="C69" s="83" t="s">
        <v>3397</v>
      </c>
      <c r="D69" s="83" t="s">
        <v>3616</v>
      </c>
      <c r="E69" s="33"/>
      <c r="F69" s="61"/>
      <c r="G69" s="61"/>
      <c r="H69" s="68" t="str">
        <f>IFERROR(__xludf.DUMMYFUNCTION("""COMPUTED_VALUE"""),"Школа 1347")</f>
        <v>Школа 1347</v>
      </c>
      <c r="I69" s="61"/>
      <c r="J69" s="61"/>
      <c r="K69" s="61"/>
      <c r="L69" s="61"/>
      <c r="M69" s="33"/>
      <c r="N69" s="61"/>
      <c r="O69" s="61"/>
      <c r="P69" s="61"/>
      <c r="Q69" s="33"/>
      <c r="R69" s="165"/>
      <c r="S69" s="165"/>
      <c r="T69" s="165"/>
      <c r="U69" s="33"/>
      <c r="V69" s="61"/>
      <c r="W69" s="61"/>
      <c r="X69" s="61"/>
      <c r="Y69" s="61"/>
      <c r="Z69" s="61"/>
      <c r="AA69" s="33"/>
      <c r="AB69" s="61"/>
      <c r="AC69" s="61"/>
      <c r="AD69" s="61"/>
    </row>
    <row r="70">
      <c r="A70" s="114" t="s">
        <v>29</v>
      </c>
      <c r="B70" s="83" t="s">
        <v>4011</v>
      </c>
      <c r="C70" s="83" t="s">
        <v>3398</v>
      </c>
      <c r="D70" s="83" t="s">
        <v>3616</v>
      </c>
      <c r="E70" s="33"/>
      <c r="F70" s="61"/>
      <c r="G70" s="61"/>
      <c r="H70" s="68" t="str">
        <f>IFERROR(__xludf.DUMMYFUNCTION("""COMPUTED_VALUE"""),"Школа 1353")</f>
        <v>Школа 1353</v>
      </c>
      <c r="I70" s="61"/>
      <c r="J70" s="61"/>
      <c r="K70" s="61"/>
      <c r="L70" s="61"/>
      <c r="M70" s="33"/>
      <c r="N70" s="61"/>
      <c r="O70" s="61"/>
      <c r="P70" s="61"/>
      <c r="Q70" s="33"/>
      <c r="R70" s="165"/>
      <c r="S70" s="165"/>
      <c r="T70" s="165"/>
      <c r="U70" s="33"/>
      <c r="V70" s="61"/>
      <c r="W70" s="61"/>
      <c r="X70" s="61"/>
      <c r="Y70" s="61"/>
      <c r="Z70" s="61"/>
      <c r="AA70" s="33"/>
      <c r="AB70" s="61"/>
      <c r="AC70" s="61"/>
      <c r="AD70" s="61"/>
    </row>
    <row r="71">
      <c r="A71" s="114" t="s">
        <v>29</v>
      </c>
      <c r="B71" s="83" t="s">
        <v>4012</v>
      </c>
      <c r="C71" s="83" t="s">
        <v>3627</v>
      </c>
      <c r="D71" s="83" t="s">
        <v>3616</v>
      </c>
      <c r="E71" s="33"/>
      <c r="F71" s="61"/>
      <c r="G71" s="61"/>
      <c r="H71" s="68" t="str">
        <f>IFERROR(__xludf.DUMMYFUNCTION("""COMPUTED_VALUE"""),"Школа 1354")</f>
        <v>Школа 1354</v>
      </c>
      <c r="I71" s="61"/>
      <c r="J71" s="61"/>
      <c r="K71" s="61"/>
      <c r="L71" s="61"/>
      <c r="M71" s="33"/>
      <c r="N71" s="61"/>
      <c r="O71" s="61"/>
      <c r="P71" s="61"/>
      <c r="Q71" s="33"/>
      <c r="R71" s="165"/>
      <c r="S71" s="165"/>
      <c r="T71" s="165"/>
      <c r="U71" s="33"/>
      <c r="V71" s="61"/>
      <c r="W71" s="61"/>
      <c r="X71" s="61"/>
      <c r="Y71" s="61"/>
      <c r="Z71" s="61"/>
      <c r="AA71" s="33"/>
      <c r="AB71" s="61"/>
      <c r="AC71" s="61"/>
      <c r="AD71" s="61"/>
    </row>
    <row r="72">
      <c r="A72" s="114" t="s">
        <v>29</v>
      </c>
      <c r="B72" s="83" t="s">
        <v>4013</v>
      </c>
      <c r="C72" s="83" t="s">
        <v>3603</v>
      </c>
      <c r="D72" s="83" t="s">
        <v>3616</v>
      </c>
      <c r="E72" s="33"/>
      <c r="F72" s="61"/>
      <c r="G72" s="61"/>
      <c r="H72" s="68" t="str">
        <f>IFERROR(__xludf.DUMMYFUNCTION("""COMPUTED_VALUE"""),"Школа 1357")</f>
        <v>Школа 1357</v>
      </c>
      <c r="I72" s="61"/>
      <c r="J72" s="61"/>
      <c r="K72" s="61"/>
      <c r="L72" s="61"/>
      <c r="M72" s="33"/>
      <c r="N72" s="61"/>
      <c r="O72" s="61"/>
      <c r="P72" s="61"/>
      <c r="Q72" s="33"/>
      <c r="R72" s="165"/>
      <c r="S72" s="165"/>
      <c r="T72" s="165"/>
      <c r="U72" s="33"/>
      <c r="V72" s="61"/>
      <c r="W72" s="61"/>
      <c r="X72" s="61"/>
      <c r="Y72" s="61"/>
      <c r="Z72" s="61"/>
      <c r="AA72" s="33"/>
      <c r="AB72" s="61"/>
      <c r="AC72" s="61"/>
      <c r="AD72" s="61"/>
    </row>
    <row r="73">
      <c r="A73" s="114" t="s">
        <v>29</v>
      </c>
      <c r="B73" s="83" t="s">
        <v>4014</v>
      </c>
      <c r="C73" s="83" t="s">
        <v>3399</v>
      </c>
      <c r="D73" s="83" t="s">
        <v>3616</v>
      </c>
      <c r="E73" s="33"/>
      <c r="F73" s="61"/>
      <c r="G73" s="61"/>
      <c r="H73" s="68" t="str">
        <f>IFERROR(__xludf.DUMMYFUNCTION("""COMPUTED_VALUE"""),"Школа 1359")</f>
        <v>Школа 1359</v>
      </c>
      <c r="I73" s="61"/>
      <c r="J73" s="61"/>
      <c r="K73" s="61"/>
      <c r="L73" s="61"/>
      <c r="M73" s="33"/>
      <c r="N73" s="61"/>
      <c r="O73" s="61"/>
      <c r="P73" s="61"/>
      <c r="Q73" s="33"/>
      <c r="R73" s="165"/>
      <c r="S73" s="165"/>
      <c r="T73" s="165"/>
      <c r="U73" s="33"/>
      <c r="V73" s="61"/>
      <c r="W73" s="61"/>
      <c r="X73" s="61"/>
      <c r="Y73" s="61"/>
      <c r="Z73" s="61"/>
      <c r="AA73" s="33"/>
      <c r="AB73" s="61"/>
      <c r="AC73" s="61"/>
      <c r="AD73" s="61"/>
    </row>
    <row r="74">
      <c r="A74" s="114" t="s">
        <v>29</v>
      </c>
      <c r="B74" s="83" t="s">
        <v>4015</v>
      </c>
      <c r="C74" s="83" t="s">
        <v>3691</v>
      </c>
      <c r="D74" s="83" t="s">
        <v>3616</v>
      </c>
      <c r="E74" s="33"/>
      <c r="F74" s="61"/>
      <c r="G74" s="61"/>
      <c r="H74" s="68" t="str">
        <f>IFERROR(__xludf.DUMMYFUNCTION("""COMPUTED_VALUE"""),"Школа 1360")</f>
        <v>Школа 1360</v>
      </c>
      <c r="I74" s="61"/>
      <c r="J74" s="61"/>
      <c r="K74" s="61"/>
      <c r="L74" s="61"/>
      <c r="M74" s="33"/>
      <c r="N74" s="61"/>
      <c r="O74" s="61"/>
      <c r="P74" s="61"/>
      <c r="Q74" s="33"/>
      <c r="R74" s="165"/>
      <c r="S74" s="165"/>
      <c r="T74" s="165"/>
      <c r="U74" s="33"/>
      <c r="V74" s="61"/>
      <c r="W74" s="61"/>
      <c r="X74" s="61"/>
      <c r="Y74" s="61"/>
      <c r="Z74" s="61"/>
      <c r="AA74" s="33"/>
      <c r="AB74" s="61"/>
      <c r="AC74" s="61"/>
      <c r="AD74" s="61"/>
    </row>
    <row r="75">
      <c r="A75" s="114" t="s">
        <v>29</v>
      </c>
      <c r="B75" s="83" t="s">
        <v>4016</v>
      </c>
      <c r="C75" s="83" t="s">
        <v>3628</v>
      </c>
      <c r="D75" s="83" t="s">
        <v>3616</v>
      </c>
      <c r="E75" s="33"/>
      <c r="F75" s="61"/>
      <c r="G75" s="61"/>
      <c r="H75" s="68" t="str">
        <f>IFERROR(__xludf.DUMMYFUNCTION("""COMPUTED_VALUE"""),"Школа 1363")</f>
        <v>Школа 1363</v>
      </c>
      <c r="I75" s="61"/>
      <c r="J75" s="61"/>
      <c r="K75" s="61"/>
      <c r="L75" s="61"/>
      <c r="M75" s="33"/>
      <c r="N75" s="61"/>
      <c r="O75" s="61"/>
      <c r="P75" s="61"/>
      <c r="Q75" s="33"/>
      <c r="R75" s="165"/>
      <c r="S75" s="165"/>
      <c r="T75" s="165"/>
      <c r="U75" s="33"/>
      <c r="V75" s="61"/>
      <c r="W75" s="61"/>
      <c r="X75" s="61"/>
      <c r="Y75" s="61"/>
      <c r="Z75" s="61"/>
      <c r="AA75" s="33"/>
      <c r="AB75" s="61"/>
      <c r="AC75" s="61"/>
      <c r="AD75" s="61"/>
    </row>
    <row r="76">
      <c r="A76" s="114" t="s">
        <v>29</v>
      </c>
      <c r="B76" s="83" t="s">
        <v>4017</v>
      </c>
      <c r="C76" s="83" t="s">
        <v>3629</v>
      </c>
      <c r="D76" s="83" t="s">
        <v>3616</v>
      </c>
      <c r="E76" s="33"/>
      <c r="F76" s="61"/>
      <c r="G76" s="61"/>
      <c r="H76" s="68" t="str">
        <f>IFERROR(__xludf.DUMMYFUNCTION("""COMPUTED_VALUE"""),"Школа 1367")</f>
        <v>Школа 1367</v>
      </c>
      <c r="I76" s="61"/>
      <c r="J76" s="61"/>
      <c r="K76" s="61"/>
      <c r="L76" s="61"/>
      <c r="M76" s="33"/>
      <c r="N76" s="61"/>
      <c r="O76" s="61"/>
      <c r="P76" s="61"/>
      <c r="Q76" s="33"/>
      <c r="R76" s="165"/>
      <c r="S76" s="165"/>
      <c r="T76" s="165"/>
      <c r="U76" s="33"/>
      <c r="V76" s="61"/>
      <c r="W76" s="61"/>
      <c r="X76" s="61"/>
      <c r="Y76" s="61"/>
      <c r="Z76" s="61"/>
      <c r="AA76" s="33"/>
      <c r="AB76" s="61"/>
      <c r="AC76" s="61"/>
      <c r="AD76" s="61"/>
    </row>
    <row r="77">
      <c r="A77" s="114" t="s">
        <v>29</v>
      </c>
      <c r="B77" s="83" t="s">
        <v>4018</v>
      </c>
      <c r="C77" s="83" t="s">
        <v>3692</v>
      </c>
      <c r="D77" s="83" t="s">
        <v>3616</v>
      </c>
      <c r="E77" s="33"/>
      <c r="F77" s="61"/>
      <c r="G77" s="61"/>
      <c r="H77" s="68" t="str">
        <f>IFERROR(__xludf.DUMMYFUNCTION("""COMPUTED_VALUE"""),"Школа 1368")</f>
        <v>Школа 1368</v>
      </c>
      <c r="I77" s="61"/>
      <c r="J77" s="61"/>
      <c r="K77" s="61"/>
      <c r="L77" s="61"/>
      <c r="M77" s="33"/>
      <c r="N77" s="61"/>
      <c r="O77" s="61"/>
      <c r="P77" s="61"/>
      <c r="Q77" s="33"/>
      <c r="R77" s="165"/>
      <c r="S77" s="165"/>
      <c r="T77" s="165"/>
      <c r="U77" s="33"/>
      <c r="V77" s="61"/>
      <c r="W77" s="61"/>
      <c r="X77" s="61"/>
      <c r="Y77" s="61"/>
      <c r="Z77" s="61"/>
      <c r="AA77" s="33"/>
      <c r="AB77" s="61"/>
      <c r="AC77" s="61"/>
      <c r="AD77" s="61"/>
    </row>
    <row r="78">
      <c r="A78" s="114" t="s">
        <v>29</v>
      </c>
      <c r="B78" s="83" t="s">
        <v>4019</v>
      </c>
      <c r="C78" s="83" t="s">
        <v>4020</v>
      </c>
      <c r="D78" s="83" t="s">
        <v>3939</v>
      </c>
      <c r="E78" s="33"/>
      <c r="F78" s="61"/>
      <c r="G78" s="61"/>
      <c r="H78" s="68" t="str">
        <f>IFERROR(__xludf.DUMMYFUNCTION("""COMPUTED_VALUE"""),"Школа 1374")</f>
        <v>Школа 1374</v>
      </c>
      <c r="I78" s="61"/>
      <c r="J78" s="61"/>
      <c r="K78" s="61"/>
      <c r="L78" s="61"/>
      <c r="M78" s="33"/>
      <c r="N78" s="61"/>
      <c r="O78" s="61"/>
      <c r="P78" s="61"/>
      <c r="Q78" s="33"/>
      <c r="R78" s="165"/>
      <c r="S78" s="165"/>
      <c r="T78" s="165"/>
      <c r="U78" s="33"/>
      <c r="V78" s="61"/>
      <c r="W78" s="61"/>
      <c r="X78" s="61"/>
      <c r="Y78" s="61"/>
      <c r="Z78" s="61"/>
      <c r="AA78" s="33"/>
      <c r="AB78" s="61"/>
      <c r="AC78" s="61"/>
      <c r="AD78" s="61"/>
    </row>
    <row r="79">
      <c r="A79" s="114" t="s">
        <v>29</v>
      </c>
      <c r="B79" s="83" t="s">
        <v>4021</v>
      </c>
      <c r="C79" s="83" t="s">
        <v>3630</v>
      </c>
      <c r="D79" s="83" t="s">
        <v>3616</v>
      </c>
      <c r="E79" s="33"/>
      <c r="F79" s="61"/>
      <c r="G79" s="61"/>
      <c r="H79" s="68" t="str">
        <f>IFERROR(__xludf.DUMMYFUNCTION("""COMPUTED_VALUE"""),"Школа 1375")</f>
        <v>Школа 1375</v>
      </c>
      <c r="I79" s="61"/>
      <c r="J79" s="61"/>
      <c r="K79" s="61"/>
      <c r="L79" s="61"/>
      <c r="M79" s="33"/>
      <c r="N79" s="61"/>
      <c r="O79" s="61"/>
      <c r="P79" s="61"/>
      <c r="Q79" s="33"/>
      <c r="R79" s="165"/>
      <c r="S79" s="165"/>
      <c r="T79" s="165"/>
      <c r="U79" s="33"/>
      <c r="V79" s="61"/>
      <c r="W79" s="61"/>
      <c r="X79" s="61"/>
      <c r="Y79" s="61"/>
      <c r="Z79" s="61"/>
      <c r="AA79" s="33"/>
      <c r="AB79" s="61"/>
      <c r="AC79" s="61"/>
      <c r="AD79" s="61"/>
    </row>
    <row r="80">
      <c r="A80" s="114" t="s">
        <v>29</v>
      </c>
      <c r="B80" s="83" t="s">
        <v>4022</v>
      </c>
      <c r="C80" s="83" t="s">
        <v>3441</v>
      </c>
      <c r="D80" s="83" t="s">
        <v>3616</v>
      </c>
      <c r="E80" s="33"/>
      <c r="F80" s="61"/>
      <c r="G80" s="61"/>
      <c r="H80" s="68" t="str">
        <f>IFERROR(__xludf.DUMMYFUNCTION("""COMPUTED_VALUE"""),"Школа 1387")</f>
        <v>Школа 1387</v>
      </c>
      <c r="I80" s="61"/>
      <c r="J80" s="61"/>
      <c r="K80" s="61"/>
      <c r="L80" s="61"/>
      <c r="M80" s="33"/>
      <c r="N80" s="61"/>
      <c r="O80" s="61"/>
      <c r="P80" s="61"/>
      <c r="Q80" s="33"/>
      <c r="R80" s="165"/>
      <c r="S80" s="165"/>
      <c r="T80" s="165"/>
      <c r="U80" s="33"/>
      <c r="V80" s="61"/>
      <c r="W80" s="61"/>
      <c r="X80" s="61"/>
      <c r="Y80" s="61"/>
      <c r="Z80" s="61"/>
      <c r="AA80" s="33"/>
      <c r="AB80" s="61"/>
      <c r="AC80" s="61"/>
      <c r="AD80" s="61"/>
    </row>
    <row r="81">
      <c r="A81" s="114" t="s">
        <v>29</v>
      </c>
      <c r="B81" s="83" t="s">
        <v>4023</v>
      </c>
      <c r="C81" s="83" t="s">
        <v>3401</v>
      </c>
      <c r="D81" s="83" t="s">
        <v>3616</v>
      </c>
      <c r="E81" s="33"/>
      <c r="F81" s="61"/>
      <c r="G81" s="61"/>
      <c r="H81" s="68" t="str">
        <f>IFERROR(__xludf.DUMMYFUNCTION("""COMPUTED_VALUE"""),"Школа 1391")</f>
        <v>Школа 1391</v>
      </c>
      <c r="I81" s="61"/>
      <c r="J81" s="61"/>
      <c r="K81" s="61"/>
      <c r="L81" s="61"/>
      <c r="M81" s="33"/>
      <c r="N81" s="61"/>
      <c r="O81" s="61"/>
      <c r="P81" s="61"/>
      <c r="Q81" s="33"/>
      <c r="R81" s="165"/>
      <c r="S81" s="165"/>
      <c r="T81" s="165"/>
      <c r="U81" s="33"/>
      <c r="V81" s="61"/>
      <c r="W81" s="61"/>
      <c r="X81" s="61"/>
      <c r="Y81" s="61"/>
      <c r="Z81" s="61"/>
      <c r="AA81" s="33"/>
      <c r="AB81" s="61"/>
      <c r="AC81" s="61"/>
      <c r="AD81" s="61"/>
    </row>
    <row r="82">
      <c r="A82" s="114" t="s">
        <v>29</v>
      </c>
      <c r="B82" s="83" t="s">
        <v>4024</v>
      </c>
      <c r="C82" s="83" t="s">
        <v>3329</v>
      </c>
      <c r="D82" s="83" t="s">
        <v>3616</v>
      </c>
      <c r="E82" s="33"/>
      <c r="F82" s="61"/>
      <c r="G82" s="61"/>
      <c r="H82" s="68" t="str">
        <f>IFERROR(__xludf.DUMMYFUNCTION("""COMPUTED_VALUE"""),"Школа 1392")</f>
        <v>Школа 1392</v>
      </c>
      <c r="I82" s="61"/>
      <c r="J82" s="61"/>
      <c r="K82" s="61"/>
      <c r="L82" s="61"/>
      <c r="M82" s="33"/>
      <c r="N82" s="61"/>
      <c r="O82" s="61"/>
      <c r="P82" s="61"/>
      <c r="Q82" s="33"/>
      <c r="R82" s="165"/>
      <c r="S82" s="165"/>
      <c r="T82" s="165"/>
      <c r="U82" s="33"/>
      <c r="V82" s="61"/>
      <c r="W82" s="61"/>
      <c r="X82" s="61"/>
      <c r="Y82" s="61"/>
      <c r="Z82" s="61"/>
      <c r="AA82" s="33"/>
      <c r="AB82" s="61"/>
      <c r="AC82" s="61"/>
      <c r="AD82" s="61"/>
    </row>
    <row r="83">
      <c r="A83" s="114" t="s">
        <v>29</v>
      </c>
      <c r="B83" s="83" t="s">
        <v>4025</v>
      </c>
      <c r="C83" s="83" t="s">
        <v>3474</v>
      </c>
      <c r="D83" s="83" t="s">
        <v>3616</v>
      </c>
      <c r="E83" s="33"/>
      <c r="F83" s="61"/>
      <c r="G83" s="61"/>
      <c r="H83" s="68" t="str">
        <f>IFERROR(__xludf.DUMMYFUNCTION("""COMPUTED_VALUE"""),"Школа 1400")</f>
        <v>Школа 1400</v>
      </c>
      <c r="I83" s="61"/>
      <c r="J83" s="61"/>
      <c r="K83" s="61"/>
      <c r="L83" s="61"/>
      <c r="M83" s="33"/>
      <c r="N83" s="61"/>
      <c r="O83" s="61"/>
      <c r="P83" s="61"/>
      <c r="Q83" s="33"/>
      <c r="R83" s="165"/>
      <c r="S83" s="165"/>
      <c r="T83" s="165"/>
      <c r="U83" s="33"/>
      <c r="V83" s="61"/>
      <c r="W83" s="61"/>
      <c r="X83" s="61"/>
      <c r="Y83" s="61"/>
      <c r="Z83" s="61"/>
      <c r="AA83" s="33"/>
      <c r="AB83" s="61"/>
      <c r="AC83" s="61"/>
      <c r="AD83" s="61"/>
    </row>
    <row r="84">
      <c r="A84" s="114" t="s">
        <v>29</v>
      </c>
      <c r="B84" s="83" t="s">
        <v>4026</v>
      </c>
      <c r="C84" s="83" t="s">
        <v>3631</v>
      </c>
      <c r="D84" s="83" t="s">
        <v>3616</v>
      </c>
      <c r="E84" s="33"/>
      <c r="F84" s="61"/>
      <c r="G84" s="61"/>
      <c r="H84" s="68" t="str">
        <f>IFERROR(__xludf.DUMMYFUNCTION("""COMPUTED_VALUE"""),"Школа 1409")</f>
        <v>Школа 1409</v>
      </c>
      <c r="I84" s="61"/>
      <c r="J84" s="61"/>
      <c r="K84" s="61"/>
      <c r="L84" s="61"/>
      <c r="M84" s="33"/>
      <c r="N84" s="61"/>
      <c r="O84" s="61"/>
      <c r="P84" s="61"/>
      <c r="Q84" s="33"/>
      <c r="R84" s="165"/>
      <c r="S84" s="165"/>
      <c r="T84" s="165"/>
      <c r="U84" s="33"/>
      <c r="V84" s="61"/>
      <c r="W84" s="61"/>
      <c r="X84" s="61"/>
      <c r="Y84" s="61"/>
      <c r="Z84" s="61"/>
      <c r="AA84" s="33"/>
      <c r="AB84" s="61"/>
      <c r="AC84" s="61"/>
      <c r="AD84" s="61"/>
    </row>
    <row r="85">
      <c r="A85" s="114" t="s">
        <v>29</v>
      </c>
      <c r="B85" s="83" t="s">
        <v>4027</v>
      </c>
      <c r="C85" s="83" t="s">
        <v>3694</v>
      </c>
      <c r="D85" s="83" t="s">
        <v>3616</v>
      </c>
      <c r="E85" s="33"/>
      <c r="F85" s="61"/>
      <c r="G85" s="61"/>
      <c r="H85" s="68" t="str">
        <f>IFERROR(__xludf.DUMMYFUNCTION("""COMPUTED_VALUE"""),"Школа 1411")</f>
        <v>Школа 1411</v>
      </c>
      <c r="I85" s="61"/>
      <c r="J85" s="61"/>
      <c r="K85" s="61"/>
      <c r="L85" s="61"/>
      <c r="M85" s="33"/>
      <c r="N85" s="61"/>
      <c r="O85" s="61"/>
      <c r="P85" s="61"/>
      <c r="Q85" s="33"/>
      <c r="R85" s="165"/>
      <c r="S85" s="165"/>
      <c r="T85" s="165"/>
      <c r="U85" s="33"/>
      <c r="V85" s="61"/>
      <c r="W85" s="61"/>
      <c r="X85" s="61"/>
      <c r="Y85" s="61"/>
      <c r="Z85" s="61"/>
      <c r="AA85" s="33"/>
      <c r="AB85" s="61"/>
      <c r="AC85" s="61"/>
      <c r="AD85" s="61"/>
    </row>
    <row r="86">
      <c r="A86" s="114" t="s">
        <v>29</v>
      </c>
      <c r="B86" s="83" t="s">
        <v>4028</v>
      </c>
      <c r="C86" s="83" t="s">
        <v>3509</v>
      </c>
      <c r="D86" s="83" t="s">
        <v>3616</v>
      </c>
      <c r="E86" s="33"/>
      <c r="F86" s="61"/>
      <c r="G86" s="61"/>
      <c r="H86" s="68" t="str">
        <f>IFERROR(__xludf.DUMMYFUNCTION("""COMPUTED_VALUE"""),"Школа 1412")</f>
        <v>Школа 1412</v>
      </c>
      <c r="I86" s="61"/>
      <c r="J86" s="61"/>
      <c r="K86" s="61"/>
      <c r="L86" s="61"/>
      <c r="M86" s="33"/>
      <c r="N86" s="61"/>
      <c r="O86" s="61"/>
      <c r="P86" s="61"/>
      <c r="Q86" s="33"/>
      <c r="R86" s="165"/>
      <c r="S86" s="165"/>
      <c r="T86" s="165"/>
      <c r="U86" s="33"/>
      <c r="V86" s="61"/>
      <c r="W86" s="61"/>
      <c r="X86" s="61"/>
      <c r="Y86" s="61"/>
      <c r="Z86" s="61"/>
      <c r="AA86" s="33"/>
      <c r="AB86" s="61"/>
      <c r="AC86" s="61"/>
      <c r="AD86" s="61"/>
    </row>
    <row r="87">
      <c r="A87" s="114" t="s">
        <v>29</v>
      </c>
      <c r="B87" s="83" t="s">
        <v>4029</v>
      </c>
      <c r="C87" s="83" t="s">
        <v>3632</v>
      </c>
      <c r="D87" s="83" t="s">
        <v>3939</v>
      </c>
      <c r="E87" s="33"/>
      <c r="F87" s="61"/>
      <c r="G87" s="61"/>
      <c r="H87" s="68" t="str">
        <f>IFERROR(__xludf.DUMMYFUNCTION("""COMPUTED_VALUE"""),"Школа 1420")</f>
        <v>Школа 1420</v>
      </c>
      <c r="I87" s="61"/>
      <c r="J87" s="61"/>
      <c r="K87" s="61"/>
      <c r="L87" s="61"/>
      <c r="M87" s="33"/>
      <c r="N87" s="61"/>
      <c r="O87" s="61"/>
      <c r="P87" s="61"/>
      <c r="Q87" s="33"/>
      <c r="R87" s="165"/>
      <c r="S87" s="165"/>
      <c r="T87" s="165"/>
      <c r="U87" s="33"/>
      <c r="V87" s="61"/>
      <c r="W87" s="61"/>
      <c r="X87" s="61"/>
      <c r="Y87" s="61"/>
      <c r="Z87" s="61"/>
      <c r="AA87" s="33"/>
      <c r="AB87" s="61"/>
      <c r="AC87" s="61"/>
      <c r="AD87" s="61"/>
    </row>
    <row r="88">
      <c r="A88" s="114" t="s">
        <v>29</v>
      </c>
      <c r="B88" s="83" t="s">
        <v>4030</v>
      </c>
      <c r="C88" s="83" t="s">
        <v>3330</v>
      </c>
      <c r="D88" s="83" t="s">
        <v>3616</v>
      </c>
      <c r="E88" s="33"/>
      <c r="F88" s="61"/>
      <c r="G88" s="61"/>
      <c r="H88" s="68" t="str">
        <f>IFERROR(__xludf.DUMMYFUNCTION("""COMPUTED_VALUE"""),"Школа 1430")</f>
        <v>Школа 1430</v>
      </c>
      <c r="I88" s="61"/>
      <c r="J88" s="61"/>
      <c r="K88" s="61"/>
      <c r="L88" s="61"/>
      <c r="M88" s="33"/>
      <c r="N88" s="61"/>
      <c r="O88" s="61"/>
      <c r="P88" s="61"/>
      <c r="Q88" s="33"/>
      <c r="R88" s="165"/>
      <c r="S88" s="165"/>
      <c r="T88" s="165"/>
      <c r="U88" s="33"/>
      <c r="V88" s="61"/>
      <c r="W88" s="61"/>
      <c r="X88" s="61"/>
      <c r="Y88" s="61"/>
      <c r="Z88" s="61"/>
      <c r="AA88" s="33"/>
      <c r="AB88" s="61"/>
      <c r="AC88" s="61"/>
      <c r="AD88" s="61"/>
    </row>
    <row r="89">
      <c r="A89" s="114" t="s">
        <v>29</v>
      </c>
      <c r="B89" s="83" t="s">
        <v>4031</v>
      </c>
      <c r="C89" s="83" t="s">
        <v>3633</v>
      </c>
      <c r="D89" s="83" t="s">
        <v>3616</v>
      </c>
      <c r="E89" s="33"/>
      <c r="F89" s="61"/>
      <c r="G89" s="61"/>
      <c r="H89" s="68" t="str">
        <f>IFERROR(__xludf.DUMMYFUNCTION("""COMPUTED_VALUE"""),"Школа 1434")</f>
        <v>Школа 1434</v>
      </c>
      <c r="I89" s="61"/>
      <c r="J89" s="61"/>
      <c r="K89" s="61"/>
      <c r="L89" s="61"/>
      <c r="M89" s="33"/>
      <c r="N89" s="61"/>
      <c r="O89" s="61"/>
      <c r="P89" s="61"/>
      <c r="Q89" s="33"/>
      <c r="R89" s="165"/>
      <c r="S89" s="165"/>
      <c r="T89" s="165"/>
      <c r="U89" s="33"/>
      <c r="V89" s="61"/>
      <c r="W89" s="61"/>
      <c r="X89" s="61"/>
      <c r="Y89" s="61"/>
      <c r="Z89" s="61"/>
      <c r="AA89" s="33"/>
      <c r="AB89" s="61"/>
      <c r="AC89" s="61"/>
      <c r="AD89" s="61"/>
    </row>
    <row r="90">
      <c r="A90" s="114" t="s">
        <v>29</v>
      </c>
      <c r="B90" s="83" t="s">
        <v>4032</v>
      </c>
      <c r="C90" s="83" t="s">
        <v>3695</v>
      </c>
      <c r="D90" s="83" t="s">
        <v>3616</v>
      </c>
      <c r="E90" s="33"/>
      <c r="F90" s="61"/>
      <c r="G90" s="61"/>
      <c r="H90" s="68" t="str">
        <f>IFERROR(__xludf.DUMMYFUNCTION("""COMPUTED_VALUE"""),"Школа 1440")</f>
        <v>Школа 1440</v>
      </c>
      <c r="I90" s="61"/>
      <c r="J90" s="61"/>
      <c r="K90" s="61"/>
      <c r="L90" s="61"/>
      <c r="M90" s="33"/>
      <c r="N90" s="61"/>
      <c r="O90" s="61"/>
      <c r="P90" s="61"/>
      <c r="Q90" s="33"/>
      <c r="R90" s="165"/>
      <c r="S90" s="165"/>
      <c r="T90" s="165"/>
      <c r="U90" s="33"/>
      <c r="V90" s="61"/>
      <c r="W90" s="61"/>
      <c r="X90" s="61"/>
      <c r="Y90" s="61"/>
      <c r="Z90" s="61"/>
      <c r="AA90" s="33"/>
      <c r="AB90" s="61"/>
      <c r="AC90" s="61"/>
      <c r="AD90" s="61"/>
    </row>
    <row r="91">
      <c r="A91" s="114" t="s">
        <v>29</v>
      </c>
      <c r="B91" s="83" t="s">
        <v>4033</v>
      </c>
      <c r="C91" s="83" t="s">
        <v>3443</v>
      </c>
      <c r="D91" s="83" t="s">
        <v>3616</v>
      </c>
      <c r="E91" s="33"/>
      <c r="F91" s="61"/>
      <c r="G91" s="61"/>
      <c r="H91" s="68" t="str">
        <f>IFERROR(__xludf.DUMMYFUNCTION("""COMPUTED_VALUE"""),"Школа 1449")</f>
        <v>Школа 1449</v>
      </c>
      <c r="I91" s="61"/>
      <c r="J91" s="61"/>
      <c r="K91" s="61"/>
      <c r="L91" s="61"/>
      <c r="M91" s="33"/>
      <c r="N91" s="61"/>
      <c r="O91" s="61"/>
      <c r="P91" s="61"/>
      <c r="Q91" s="33"/>
      <c r="R91" s="165"/>
      <c r="S91" s="165"/>
      <c r="T91" s="165"/>
      <c r="U91" s="33"/>
      <c r="V91" s="61"/>
      <c r="W91" s="61"/>
      <c r="X91" s="61"/>
      <c r="Y91" s="61"/>
      <c r="Z91" s="61"/>
      <c r="AA91" s="33"/>
      <c r="AB91" s="61"/>
      <c r="AC91" s="61"/>
      <c r="AD91" s="61"/>
    </row>
    <row r="92">
      <c r="A92" s="114" t="s">
        <v>29</v>
      </c>
      <c r="B92" s="83" t="s">
        <v>4034</v>
      </c>
      <c r="C92" s="83" t="s">
        <v>3696</v>
      </c>
      <c r="D92" s="83" t="s">
        <v>3616</v>
      </c>
      <c r="E92" s="33"/>
      <c r="F92" s="61"/>
      <c r="G92" s="61"/>
      <c r="H92" s="68" t="str">
        <f>IFERROR(__xludf.DUMMYFUNCTION("""COMPUTED_VALUE"""),"Школа 1467")</f>
        <v>Школа 1467</v>
      </c>
      <c r="I92" s="61"/>
      <c r="J92" s="61"/>
      <c r="K92" s="61"/>
      <c r="L92" s="61"/>
      <c r="M92" s="33"/>
      <c r="N92" s="61"/>
      <c r="O92" s="61"/>
      <c r="P92" s="61"/>
      <c r="Q92" s="33"/>
      <c r="R92" s="165"/>
      <c r="S92" s="165"/>
      <c r="T92" s="165"/>
      <c r="U92" s="33"/>
      <c r="V92" s="61"/>
      <c r="W92" s="61"/>
      <c r="X92" s="61"/>
      <c r="Y92" s="61"/>
      <c r="Z92" s="61"/>
      <c r="AA92" s="33"/>
      <c r="AB92" s="61"/>
      <c r="AC92" s="61"/>
      <c r="AD92" s="61"/>
    </row>
    <row r="93">
      <c r="A93" s="114" t="s">
        <v>29</v>
      </c>
      <c r="B93" s="83" t="s">
        <v>4035</v>
      </c>
      <c r="C93" s="83" t="s">
        <v>3403</v>
      </c>
      <c r="D93" s="83" t="s">
        <v>3616</v>
      </c>
      <c r="E93" s="33"/>
      <c r="F93" s="61"/>
      <c r="G93" s="61"/>
      <c r="H93" s="68" t="str">
        <f>IFERROR(__xludf.DUMMYFUNCTION("""COMPUTED_VALUE"""),"Школа 1468")</f>
        <v>Школа 1468</v>
      </c>
      <c r="I93" s="61"/>
      <c r="J93" s="61"/>
      <c r="K93" s="61"/>
      <c r="L93" s="61"/>
      <c r="M93" s="33"/>
      <c r="N93" s="61"/>
      <c r="O93" s="61"/>
      <c r="P93" s="61"/>
      <c r="Q93" s="33"/>
      <c r="R93" s="165"/>
      <c r="S93" s="165"/>
      <c r="T93" s="165"/>
      <c r="U93" s="33"/>
      <c r="V93" s="61"/>
      <c r="W93" s="61"/>
      <c r="X93" s="61"/>
      <c r="Y93" s="61"/>
      <c r="Z93" s="61"/>
      <c r="AA93" s="33"/>
      <c r="AB93" s="61"/>
      <c r="AC93" s="61"/>
      <c r="AD93" s="61"/>
    </row>
    <row r="94">
      <c r="A94" s="114" t="s">
        <v>29</v>
      </c>
      <c r="B94" s="83" t="s">
        <v>4036</v>
      </c>
      <c r="C94" s="83" t="s">
        <v>3635</v>
      </c>
      <c r="D94" s="83" t="s">
        <v>3616</v>
      </c>
      <c r="E94" s="33"/>
      <c r="F94" s="61"/>
      <c r="G94" s="61"/>
      <c r="H94" s="68" t="str">
        <f>IFERROR(__xludf.DUMMYFUNCTION("""COMPUTED_VALUE"""),"Школа 1474")</f>
        <v>Школа 1474</v>
      </c>
      <c r="I94" s="61"/>
      <c r="J94" s="61"/>
      <c r="K94" s="61"/>
      <c r="L94" s="61"/>
      <c r="M94" s="33"/>
      <c r="N94" s="61"/>
      <c r="O94" s="61"/>
      <c r="P94" s="61"/>
      <c r="Q94" s="33"/>
      <c r="R94" s="165"/>
      <c r="S94" s="165"/>
      <c r="T94" s="165"/>
      <c r="U94" s="33"/>
      <c r="V94" s="61"/>
      <c r="W94" s="61"/>
      <c r="X94" s="61"/>
      <c r="Y94" s="61"/>
      <c r="Z94" s="61"/>
      <c r="AA94" s="33"/>
      <c r="AB94" s="61"/>
      <c r="AC94" s="61"/>
      <c r="AD94" s="61"/>
    </row>
    <row r="95">
      <c r="A95" s="114" t="s">
        <v>29</v>
      </c>
      <c r="B95" s="83" t="s">
        <v>4037</v>
      </c>
      <c r="C95" s="83" t="s">
        <v>3697</v>
      </c>
      <c r="D95" s="83" t="s">
        <v>3616</v>
      </c>
      <c r="E95" s="33"/>
      <c r="F95" s="61"/>
      <c r="G95" s="61"/>
      <c r="H95" s="68" t="str">
        <f>IFERROR(__xludf.DUMMYFUNCTION("""COMPUTED_VALUE"""),"Школа 1492")</f>
        <v>Школа 1492</v>
      </c>
      <c r="I95" s="61"/>
      <c r="J95" s="61"/>
      <c r="K95" s="61"/>
      <c r="L95" s="61"/>
      <c r="M95" s="33"/>
      <c r="N95" s="61"/>
      <c r="O95" s="61"/>
      <c r="P95" s="61"/>
      <c r="Q95" s="33"/>
      <c r="R95" s="165"/>
      <c r="S95" s="165"/>
      <c r="T95" s="165"/>
      <c r="U95" s="33"/>
      <c r="V95" s="61"/>
      <c r="W95" s="61"/>
      <c r="X95" s="61"/>
      <c r="Y95" s="61"/>
      <c r="Z95" s="61"/>
      <c r="AA95" s="33"/>
      <c r="AB95" s="61"/>
      <c r="AC95" s="61"/>
      <c r="AD95" s="61"/>
    </row>
    <row r="96">
      <c r="A96" s="114" t="s">
        <v>29</v>
      </c>
      <c r="B96" s="83" t="s">
        <v>4038</v>
      </c>
      <c r="C96" s="83" t="s">
        <v>3331</v>
      </c>
      <c r="D96" s="83" t="s">
        <v>3616</v>
      </c>
      <c r="E96" s="33"/>
      <c r="F96" s="61"/>
      <c r="G96" s="61"/>
      <c r="H96" s="68" t="str">
        <f>IFERROR(__xludf.DUMMYFUNCTION("""COMPUTED_VALUE"""),"Школа 1500")</f>
        <v>Школа 1500</v>
      </c>
      <c r="I96" s="61"/>
      <c r="J96" s="61"/>
      <c r="K96" s="61"/>
      <c r="L96" s="61"/>
      <c r="M96" s="33"/>
      <c r="N96" s="61"/>
      <c r="O96" s="61"/>
      <c r="P96" s="61"/>
      <c r="Q96" s="33"/>
      <c r="R96" s="165"/>
      <c r="S96" s="165"/>
      <c r="T96" s="165"/>
      <c r="U96" s="33"/>
      <c r="V96" s="61"/>
      <c r="W96" s="61"/>
      <c r="X96" s="61"/>
      <c r="Y96" s="61"/>
      <c r="Z96" s="61"/>
      <c r="AA96" s="33"/>
      <c r="AB96" s="61"/>
      <c r="AC96" s="61"/>
      <c r="AD96" s="61"/>
    </row>
    <row r="97">
      <c r="A97" s="114" t="s">
        <v>29</v>
      </c>
      <c r="B97" s="83" t="s">
        <v>4039</v>
      </c>
      <c r="C97" s="83" t="s">
        <v>3636</v>
      </c>
      <c r="D97" s="83" t="s">
        <v>3616</v>
      </c>
      <c r="E97" s="33"/>
      <c r="F97" s="61"/>
      <c r="G97" s="61"/>
      <c r="H97" s="68" t="str">
        <f>IFERROR(__xludf.DUMMYFUNCTION("""COMPUTED_VALUE"""),"Школа 1501")</f>
        <v>Школа 1501</v>
      </c>
      <c r="I97" s="61"/>
      <c r="J97" s="61"/>
      <c r="K97" s="61"/>
      <c r="L97" s="61"/>
      <c r="M97" s="33"/>
      <c r="N97" s="61"/>
      <c r="O97" s="61"/>
      <c r="P97" s="61"/>
      <c r="Q97" s="33"/>
      <c r="R97" s="165"/>
      <c r="S97" s="165"/>
      <c r="T97" s="165"/>
      <c r="U97" s="33"/>
      <c r="V97" s="61"/>
      <c r="W97" s="61"/>
      <c r="X97" s="61"/>
      <c r="Y97" s="61"/>
      <c r="Z97" s="61"/>
      <c r="AA97" s="33"/>
      <c r="AB97" s="61"/>
      <c r="AC97" s="61"/>
      <c r="AD97" s="61"/>
    </row>
    <row r="98">
      <c r="A98" s="114" t="s">
        <v>29</v>
      </c>
      <c r="B98" s="83" t="s">
        <v>4040</v>
      </c>
      <c r="C98" s="83" t="s">
        <v>3637</v>
      </c>
      <c r="D98" s="83" t="s">
        <v>3616</v>
      </c>
      <c r="E98" s="33"/>
      <c r="F98" s="61"/>
      <c r="G98" s="61"/>
      <c r="H98" s="68" t="str">
        <f>IFERROR(__xludf.DUMMYFUNCTION("""COMPUTED_VALUE"""),"Школа 1502")</f>
        <v>Школа 1502</v>
      </c>
      <c r="I98" s="61"/>
      <c r="J98" s="61"/>
      <c r="K98" s="61"/>
      <c r="L98" s="61"/>
      <c r="M98" s="33"/>
      <c r="N98" s="61"/>
      <c r="O98" s="61"/>
      <c r="P98" s="61"/>
      <c r="Q98" s="33"/>
      <c r="R98" s="165"/>
      <c r="S98" s="165"/>
      <c r="T98" s="165"/>
      <c r="U98" s="33"/>
      <c r="V98" s="61"/>
      <c r="W98" s="61"/>
      <c r="X98" s="61"/>
      <c r="Y98" s="61"/>
      <c r="Z98" s="61"/>
      <c r="AA98" s="33"/>
      <c r="AB98" s="61"/>
      <c r="AC98" s="61"/>
      <c r="AD98" s="61"/>
    </row>
    <row r="99">
      <c r="A99" s="114" t="s">
        <v>29</v>
      </c>
      <c r="B99" s="83" t="s">
        <v>4041</v>
      </c>
      <c r="C99" s="83" t="s">
        <v>3323</v>
      </c>
      <c r="D99" s="83" t="s">
        <v>3616</v>
      </c>
      <c r="E99" s="33"/>
      <c r="F99" s="61"/>
      <c r="G99" s="61"/>
      <c r="H99" s="68" t="str">
        <f>IFERROR(__xludf.DUMMYFUNCTION("""COMPUTED_VALUE"""),"Школа 1505")</f>
        <v>Школа 1505</v>
      </c>
      <c r="I99" s="61"/>
      <c r="J99" s="61"/>
      <c r="K99" s="61"/>
      <c r="L99" s="61"/>
      <c r="M99" s="33"/>
      <c r="N99" s="61"/>
      <c r="O99" s="61"/>
      <c r="P99" s="61"/>
      <c r="Q99" s="33"/>
      <c r="R99" s="165"/>
      <c r="S99" s="165"/>
      <c r="T99" s="165"/>
      <c r="U99" s="33"/>
      <c r="V99" s="61"/>
      <c r="W99" s="61"/>
      <c r="X99" s="61"/>
      <c r="Y99" s="61"/>
      <c r="Z99" s="61"/>
      <c r="AA99" s="33"/>
      <c r="AB99" s="61"/>
      <c r="AC99" s="61"/>
      <c r="AD99" s="61"/>
    </row>
    <row r="100">
      <c r="A100" s="114" t="s">
        <v>29</v>
      </c>
      <c r="B100" s="83" t="s">
        <v>4042</v>
      </c>
      <c r="C100" s="83" t="s">
        <v>3638</v>
      </c>
      <c r="D100" s="83" t="s">
        <v>3616</v>
      </c>
      <c r="E100" s="33"/>
      <c r="F100" s="61"/>
      <c r="G100" s="61"/>
      <c r="H100" s="68" t="str">
        <f>IFERROR(__xludf.DUMMYFUNCTION("""COMPUTED_VALUE"""),"Школа 1506")</f>
        <v>Школа 1506</v>
      </c>
      <c r="I100" s="61"/>
      <c r="J100" s="61"/>
      <c r="K100" s="61"/>
      <c r="L100" s="61"/>
      <c r="M100" s="33"/>
      <c r="N100" s="61"/>
      <c r="O100" s="61"/>
      <c r="P100" s="61"/>
      <c r="Q100" s="33"/>
      <c r="R100" s="165"/>
      <c r="S100" s="165"/>
      <c r="T100" s="165"/>
      <c r="U100" s="33"/>
      <c r="V100" s="61"/>
      <c r="W100" s="61"/>
      <c r="X100" s="61"/>
      <c r="Y100" s="61"/>
      <c r="Z100" s="61"/>
      <c r="AA100" s="33"/>
      <c r="AB100" s="61"/>
      <c r="AC100" s="61"/>
      <c r="AD100" s="61"/>
    </row>
    <row r="101">
      <c r="A101" s="114" t="s">
        <v>29</v>
      </c>
      <c r="B101" s="83" t="s">
        <v>4043</v>
      </c>
      <c r="C101" s="83" t="s">
        <v>3698</v>
      </c>
      <c r="D101" s="83" t="s">
        <v>3939</v>
      </c>
      <c r="E101" s="33"/>
      <c r="F101" s="61"/>
      <c r="G101" s="61"/>
      <c r="H101" s="68" t="str">
        <f>IFERROR(__xludf.DUMMYFUNCTION("""COMPUTED_VALUE"""),"Школа 1507")</f>
        <v>Школа 1507</v>
      </c>
      <c r="I101" s="61"/>
      <c r="J101" s="61"/>
      <c r="K101" s="61"/>
      <c r="L101" s="61"/>
      <c r="M101" s="33"/>
      <c r="N101" s="61"/>
      <c r="O101" s="61"/>
      <c r="P101" s="61"/>
      <c r="Q101" s="33"/>
      <c r="R101" s="165"/>
      <c r="S101" s="165"/>
      <c r="T101" s="165"/>
      <c r="U101" s="33"/>
      <c r="V101" s="61"/>
      <c r="W101" s="61"/>
      <c r="X101" s="61"/>
      <c r="Y101" s="61"/>
      <c r="Z101" s="61"/>
      <c r="AA101" s="33"/>
      <c r="AB101" s="61"/>
      <c r="AC101" s="61"/>
      <c r="AD101" s="61"/>
    </row>
    <row r="102">
      <c r="A102" s="114" t="s">
        <v>29</v>
      </c>
      <c r="B102" s="83" t="s">
        <v>4044</v>
      </c>
      <c r="C102" s="83" t="s">
        <v>3699</v>
      </c>
      <c r="D102" s="83" t="s">
        <v>3616</v>
      </c>
      <c r="E102" s="33"/>
      <c r="F102" s="61"/>
      <c r="G102" s="61"/>
      <c r="H102" s="68" t="str">
        <f>IFERROR(__xludf.DUMMYFUNCTION("""COMPUTED_VALUE"""),"Школа 1512")</f>
        <v>Школа 1512</v>
      </c>
      <c r="I102" s="61"/>
      <c r="J102" s="61"/>
      <c r="K102" s="61"/>
      <c r="L102" s="61"/>
      <c r="M102" s="33"/>
      <c r="N102" s="61"/>
      <c r="O102" s="61"/>
      <c r="P102" s="61"/>
      <c r="Q102" s="33"/>
      <c r="R102" s="165"/>
      <c r="S102" s="165"/>
      <c r="T102" s="165"/>
      <c r="U102" s="33"/>
      <c r="V102" s="61"/>
      <c r="W102" s="61"/>
      <c r="X102" s="61"/>
      <c r="Y102" s="61"/>
      <c r="Z102" s="61"/>
      <c r="AA102" s="33"/>
      <c r="AB102" s="61"/>
      <c r="AC102" s="61"/>
      <c r="AD102" s="61"/>
    </row>
    <row r="103">
      <c r="A103" s="114" t="s">
        <v>29</v>
      </c>
      <c r="B103" s="83" t="s">
        <v>4045</v>
      </c>
      <c r="C103" s="83" t="s">
        <v>3701</v>
      </c>
      <c r="D103" s="83" t="s">
        <v>3616</v>
      </c>
      <c r="E103" s="33"/>
      <c r="F103" s="61"/>
      <c r="G103" s="61"/>
      <c r="H103" s="68" t="str">
        <f>IFERROR(__xludf.DUMMYFUNCTION("""COMPUTED_VALUE"""),"Школа 1516")</f>
        <v>Школа 1516</v>
      </c>
      <c r="I103" s="61"/>
      <c r="J103" s="61"/>
      <c r="K103" s="61"/>
      <c r="L103" s="61"/>
      <c r="M103" s="33"/>
      <c r="N103" s="61"/>
      <c r="O103" s="61"/>
      <c r="P103" s="61"/>
      <c r="Q103" s="33"/>
      <c r="R103" s="165"/>
      <c r="S103" s="165"/>
      <c r="T103" s="165"/>
      <c r="U103" s="33"/>
      <c r="V103" s="61"/>
      <c r="W103" s="61"/>
      <c r="X103" s="61"/>
      <c r="Y103" s="61"/>
      <c r="Z103" s="61"/>
      <c r="AA103" s="33"/>
      <c r="AB103" s="61"/>
      <c r="AC103" s="61"/>
      <c r="AD103" s="61"/>
    </row>
    <row r="104">
      <c r="A104" s="114" t="s">
        <v>29</v>
      </c>
      <c r="B104" s="83" t="s">
        <v>4046</v>
      </c>
      <c r="C104" s="83" t="s">
        <v>3640</v>
      </c>
      <c r="D104" s="83" t="s">
        <v>3616</v>
      </c>
      <c r="E104" s="33"/>
      <c r="F104" s="61"/>
      <c r="G104" s="61"/>
      <c r="H104" s="68" t="str">
        <f>IFERROR(__xludf.DUMMYFUNCTION("""COMPUTED_VALUE"""),"Школа 1517")</f>
        <v>Школа 1517</v>
      </c>
      <c r="I104" s="61"/>
      <c r="J104" s="61"/>
      <c r="K104" s="61"/>
      <c r="L104" s="61"/>
      <c r="M104" s="33"/>
      <c r="N104" s="61"/>
      <c r="O104" s="61"/>
      <c r="P104" s="61"/>
      <c r="Q104" s="33"/>
      <c r="R104" s="165"/>
      <c r="S104" s="165"/>
      <c r="T104" s="165"/>
      <c r="U104" s="33"/>
      <c r="V104" s="61"/>
      <c r="W104" s="61"/>
      <c r="X104" s="61"/>
      <c r="Y104" s="61"/>
      <c r="Z104" s="61"/>
      <c r="AA104" s="33"/>
      <c r="AB104" s="61"/>
      <c r="AC104" s="61"/>
      <c r="AD104" s="61"/>
    </row>
    <row r="105">
      <c r="A105" s="114" t="s">
        <v>29</v>
      </c>
      <c r="B105" s="83" t="s">
        <v>4047</v>
      </c>
      <c r="C105" s="83" t="s">
        <v>3702</v>
      </c>
      <c r="D105" s="83" t="s">
        <v>3616</v>
      </c>
      <c r="E105" s="33"/>
      <c r="F105" s="61"/>
      <c r="G105" s="61"/>
      <c r="H105" s="68" t="str">
        <f>IFERROR(__xludf.DUMMYFUNCTION("""COMPUTED_VALUE"""),"Школа 1519")</f>
        <v>Школа 1519</v>
      </c>
      <c r="I105" s="61"/>
      <c r="J105" s="61"/>
      <c r="K105" s="61"/>
      <c r="L105" s="61"/>
      <c r="M105" s="33"/>
      <c r="N105" s="61"/>
      <c r="O105" s="61"/>
      <c r="P105" s="61"/>
      <c r="Q105" s="33"/>
      <c r="R105" s="165"/>
      <c r="S105" s="165"/>
      <c r="T105" s="165"/>
      <c r="U105" s="33"/>
      <c r="V105" s="61"/>
      <c r="W105" s="61"/>
      <c r="X105" s="61"/>
      <c r="Y105" s="61"/>
      <c r="Z105" s="61"/>
      <c r="AA105" s="33"/>
      <c r="AB105" s="61"/>
      <c r="AC105" s="61"/>
      <c r="AD105" s="61"/>
    </row>
    <row r="106">
      <c r="A106" s="114" t="s">
        <v>29</v>
      </c>
      <c r="B106" s="83" t="s">
        <v>4048</v>
      </c>
      <c r="C106" s="83" t="s">
        <v>3703</v>
      </c>
      <c r="D106" s="83" t="s">
        <v>3935</v>
      </c>
      <c r="E106" s="33"/>
      <c r="F106" s="61"/>
      <c r="G106" s="61"/>
      <c r="H106" s="68" t="str">
        <f>IFERROR(__xludf.DUMMYFUNCTION("""COMPUTED_VALUE"""),"Школа 1524")</f>
        <v>Школа 1524</v>
      </c>
      <c r="I106" s="61"/>
      <c r="J106" s="61"/>
      <c r="K106" s="61"/>
      <c r="L106" s="61"/>
      <c r="M106" s="33"/>
      <c r="N106" s="61"/>
      <c r="O106" s="61"/>
      <c r="P106" s="61"/>
      <c r="Q106" s="33"/>
      <c r="R106" s="165"/>
      <c r="S106" s="165"/>
      <c r="T106" s="165"/>
      <c r="U106" s="33"/>
      <c r="V106" s="61"/>
      <c r="W106" s="61"/>
      <c r="X106" s="61"/>
      <c r="Y106" s="61"/>
      <c r="Z106" s="61"/>
      <c r="AA106" s="33"/>
      <c r="AB106" s="61"/>
      <c r="AC106" s="61"/>
      <c r="AD106" s="61"/>
    </row>
    <row r="107">
      <c r="A107" s="114" t="s">
        <v>29</v>
      </c>
      <c r="B107" s="83" t="s">
        <v>4049</v>
      </c>
      <c r="C107" s="83" t="s">
        <v>3607</v>
      </c>
      <c r="D107" s="83" t="s">
        <v>3616</v>
      </c>
      <c r="E107" s="33"/>
      <c r="F107" s="61"/>
      <c r="G107" s="61"/>
      <c r="H107" s="68" t="str">
        <f>IFERROR(__xludf.DUMMYFUNCTION("""COMPUTED_VALUE"""),"Школа 1528")</f>
        <v>Школа 1528</v>
      </c>
      <c r="I107" s="61"/>
      <c r="J107" s="61"/>
      <c r="K107" s="61"/>
      <c r="L107" s="61"/>
      <c r="M107" s="33"/>
      <c r="N107" s="61"/>
      <c r="O107" s="61"/>
      <c r="P107" s="61"/>
      <c r="Q107" s="33"/>
      <c r="R107" s="165"/>
      <c r="S107" s="165"/>
      <c r="T107" s="165"/>
      <c r="U107" s="33"/>
      <c r="V107" s="61"/>
      <c r="W107" s="61"/>
      <c r="X107" s="61"/>
      <c r="Y107" s="61"/>
      <c r="Z107" s="61"/>
      <c r="AA107" s="33"/>
      <c r="AB107" s="61"/>
      <c r="AC107" s="61"/>
      <c r="AD107" s="61"/>
    </row>
    <row r="108">
      <c r="A108" s="114" t="s">
        <v>29</v>
      </c>
      <c r="B108" s="83" t="s">
        <v>4050</v>
      </c>
      <c r="C108" s="83" t="s">
        <v>3705</v>
      </c>
      <c r="D108" s="83" t="s">
        <v>3939</v>
      </c>
      <c r="E108" s="33"/>
      <c r="F108" s="61"/>
      <c r="G108" s="61"/>
      <c r="H108" s="68" t="str">
        <f>IFERROR(__xludf.DUMMYFUNCTION("""COMPUTED_VALUE"""),"Школа 1532")</f>
        <v>Школа 1532</v>
      </c>
      <c r="I108" s="61"/>
      <c r="J108" s="61"/>
      <c r="K108" s="61"/>
      <c r="L108" s="61"/>
      <c r="M108" s="33"/>
      <c r="N108" s="61"/>
      <c r="O108" s="61"/>
      <c r="P108" s="61"/>
      <c r="Q108" s="33"/>
      <c r="R108" s="165"/>
      <c r="S108" s="165"/>
      <c r="T108" s="165"/>
      <c r="U108" s="33"/>
      <c r="V108" s="61"/>
      <c r="W108" s="61"/>
      <c r="X108" s="61"/>
      <c r="Y108" s="61"/>
      <c r="Z108" s="61"/>
      <c r="AA108" s="33"/>
      <c r="AB108" s="61"/>
      <c r="AC108" s="61"/>
      <c r="AD108" s="61"/>
    </row>
    <row r="109">
      <c r="A109" s="114" t="s">
        <v>29</v>
      </c>
      <c r="B109" s="83" t="s">
        <v>4051</v>
      </c>
      <c r="C109" s="83" t="s">
        <v>3643</v>
      </c>
      <c r="D109" s="83" t="s">
        <v>3616</v>
      </c>
      <c r="E109" s="33"/>
      <c r="F109" s="61"/>
      <c r="G109" s="61"/>
      <c r="H109" s="68" t="str">
        <f>IFERROR(__xludf.DUMMYFUNCTION("""COMPUTED_VALUE"""),"Школа 1534")</f>
        <v>Школа 1534</v>
      </c>
      <c r="I109" s="61"/>
      <c r="J109" s="61"/>
      <c r="K109" s="61"/>
      <c r="L109" s="61"/>
      <c r="M109" s="33"/>
      <c r="N109" s="61"/>
      <c r="O109" s="61"/>
      <c r="P109" s="61"/>
      <c r="Q109" s="33"/>
      <c r="R109" s="165"/>
      <c r="S109" s="165"/>
      <c r="T109" s="165"/>
      <c r="U109" s="33"/>
      <c r="V109" s="61"/>
      <c r="W109" s="61"/>
      <c r="X109" s="61"/>
      <c r="Y109" s="61"/>
      <c r="Z109" s="61"/>
      <c r="AA109" s="33"/>
      <c r="AB109" s="61"/>
      <c r="AC109" s="61"/>
      <c r="AD109" s="61"/>
    </row>
    <row r="110">
      <c r="A110" s="114" t="s">
        <v>29</v>
      </c>
      <c r="B110" s="83" t="s">
        <v>4052</v>
      </c>
      <c r="C110" s="83" t="s">
        <v>3706</v>
      </c>
      <c r="D110" s="83" t="s">
        <v>3616</v>
      </c>
      <c r="E110" s="33"/>
      <c r="F110" s="61"/>
      <c r="G110" s="61"/>
      <c r="H110" s="68" t="str">
        <f>IFERROR(__xludf.DUMMYFUNCTION("""COMPUTED_VALUE"""),"Школа 1537")</f>
        <v>Школа 1537</v>
      </c>
      <c r="I110" s="61"/>
      <c r="J110" s="61"/>
      <c r="K110" s="61"/>
      <c r="L110" s="61"/>
      <c r="M110" s="33"/>
      <c r="N110" s="61"/>
      <c r="O110" s="61"/>
      <c r="P110" s="61"/>
      <c r="Q110" s="33"/>
      <c r="R110" s="165"/>
      <c r="S110" s="165"/>
      <c r="T110" s="165"/>
      <c r="U110" s="33"/>
      <c r="V110" s="61"/>
      <c r="W110" s="61"/>
      <c r="X110" s="61"/>
      <c r="Y110" s="61"/>
      <c r="Z110" s="61"/>
      <c r="AA110" s="33"/>
      <c r="AB110" s="61"/>
      <c r="AC110" s="61"/>
      <c r="AD110" s="61"/>
    </row>
    <row r="111">
      <c r="A111" s="114" t="s">
        <v>29</v>
      </c>
      <c r="B111" s="83" t="s">
        <v>4053</v>
      </c>
      <c r="C111" s="83" t="s">
        <v>3645</v>
      </c>
      <c r="D111" s="83" t="s">
        <v>3616</v>
      </c>
      <c r="E111" s="33"/>
      <c r="F111" s="61"/>
      <c r="G111" s="61"/>
      <c r="H111" s="68" t="str">
        <f>IFERROR(__xludf.DUMMYFUNCTION("""COMPUTED_VALUE"""),"Школа 1538")</f>
        <v>Школа 1538</v>
      </c>
      <c r="I111" s="61"/>
      <c r="J111" s="61"/>
      <c r="K111" s="61"/>
      <c r="L111" s="61"/>
      <c r="M111" s="33"/>
      <c r="N111" s="61"/>
      <c r="O111" s="61"/>
      <c r="P111" s="61"/>
      <c r="Q111" s="33"/>
      <c r="R111" s="165"/>
      <c r="S111" s="165"/>
      <c r="T111" s="165"/>
      <c r="U111" s="33"/>
      <c r="V111" s="61"/>
      <c r="W111" s="61"/>
      <c r="X111" s="61"/>
      <c r="Y111" s="61"/>
      <c r="Z111" s="61"/>
      <c r="AA111" s="33"/>
      <c r="AB111" s="61"/>
      <c r="AC111" s="61"/>
      <c r="AD111" s="61"/>
    </row>
    <row r="112">
      <c r="A112" s="114" t="s">
        <v>29</v>
      </c>
      <c r="B112" s="83" t="s">
        <v>4054</v>
      </c>
      <c r="C112" s="83" t="s">
        <v>3407</v>
      </c>
      <c r="D112" s="83" t="s">
        <v>3939</v>
      </c>
      <c r="E112" s="33"/>
      <c r="F112" s="61"/>
      <c r="G112" s="61"/>
      <c r="H112" s="68" t="str">
        <f>IFERROR(__xludf.DUMMYFUNCTION("""COMPUTED_VALUE"""),"Школа 1541")</f>
        <v>Школа 1541</v>
      </c>
      <c r="I112" s="61"/>
      <c r="J112" s="61"/>
      <c r="K112" s="61"/>
      <c r="L112" s="61"/>
      <c r="M112" s="33"/>
      <c r="N112" s="61"/>
      <c r="O112" s="61"/>
      <c r="P112" s="61"/>
      <c r="Q112" s="33"/>
      <c r="R112" s="165"/>
      <c r="S112" s="165"/>
      <c r="T112" s="165"/>
      <c r="U112" s="33"/>
      <c r="V112" s="61"/>
      <c r="W112" s="61"/>
      <c r="X112" s="61"/>
      <c r="Y112" s="61"/>
      <c r="Z112" s="61"/>
      <c r="AA112" s="33"/>
      <c r="AB112" s="61"/>
      <c r="AC112" s="61"/>
      <c r="AD112" s="61"/>
    </row>
    <row r="113">
      <c r="A113" s="114" t="s">
        <v>29</v>
      </c>
      <c r="B113" s="83" t="s">
        <v>4055</v>
      </c>
      <c r="C113" s="83" t="s">
        <v>3447</v>
      </c>
      <c r="D113" s="83" t="s">
        <v>3616</v>
      </c>
      <c r="E113" s="33"/>
      <c r="F113" s="61"/>
      <c r="G113" s="61"/>
      <c r="H113" s="68" t="str">
        <f>IFERROR(__xludf.DUMMYFUNCTION("""COMPUTED_VALUE"""),"Школа 1542")</f>
        <v>Школа 1542</v>
      </c>
      <c r="I113" s="61"/>
      <c r="J113" s="61"/>
      <c r="K113" s="61"/>
      <c r="L113" s="61"/>
      <c r="M113" s="33"/>
      <c r="N113" s="61"/>
      <c r="O113" s="61"/>
      <c r="P113" s="61"/>
      <c r="Q113" s="33"/>
      <c r="R113" s="165"/>
      <c r="S113" s="165"/>
      <c r="T113" s="165"/>
      <c r="U113" s="33"/>
      <c r="V113" s="61"/>
      <c r="W113" s="61"/>
      <c r="X113" s="61"/>
      <c r="Y113" s="61"/>
      <c r="Z113" s="61"/>
      <c r="AA113" s="33"/>
      <c r="AB113" s="61"/>
      <c r="AC113" s="61"/>
      <c r="AD113" s="61"/>
    </row>
    <row r="114">
      <c r="A114" s="114" t="s">
        <v>29</v>
      </c>
      <c r="B114" s="83" t="s">
        <v>4056</v>
      </c>
      <c r="C114" s="83" t="s">
        <v>3479</v>
      </c>
      <c r="D114" s="83" t="s">
        <v>3939</v>
      </c>
      <c r="E114" s="33"/>
      <c r="F114" s="61"/>
      <c r="G114" s="61"/>
      <c r="H114" s="68" t="str">
        <f>IFERROR(__xludf.DUMMYFUNCTION("""COMPUTED_VALUE"""),"Школа 1544")</f>
        <v>Школа 1544</v>
      </c>
      <c r="I114" s="61"/>
      <c r="J114" s="61"/>
      <c r="K114" s="61"/>
      <c r="L114" s="61"/>
      <c r="M114" s="33"/>
      <c r="N114" s="61"/>
      <c r="O114" s="61"/>
      <c r="P114" s="61"/>
      <c r="Q114" s="33"/>
      <c r="R114" s="165"/>
      <c r="S114" s="165"/>
      <c r="T114" s="165"/>
      <c r="U114" s="33"/>
      <c r="V114" s="61"/>
      <c r="W114" s="61"/>
      <c r="X114" s="61"/>
      <c r="Y114" s="61"/>
      <c r="Z114" s="61"/>
      <c r="AA114" s="33"/>
      <c r="AB114" s="61"/>
      <c r="AC114" s="61"/>
      <c r="AD114" s="61"/>
    </row>
    <row r="115">
      <c r="A115" s="114" t="s">
        <v>29</v>
      </c>
      <c r="B115" s="83" t="s">
        <v>4057</v>
      </c>
      <c r="C115" s="83" t="s">
        <v>3707</v>
      </c>
      <c r="D115" s="83" t="s">
        <v>3616</v>
      </c>
      <c r="E115" s="33"/>
      <c r="F115" s="61"/>
      <c r="G115" s="61"/>
      <c r="H115" s="68" t="str">
        <f>IFERROR(__xludf.DUMMYFUNCTION("""COMPUTED_VALUE"""),"Школа 1547")</f>
        <v>Школа 1547</v>
      </c>
      <c r="I115" s="61"/>
      <c r="J115" s="61"/>
      <c r="K115" s="61"/>
      <c r="L115" s="61"/>
      <c r="M115" s="33"/>
      <c r="N115" s="61"/>
      <c r="O115" s="61"/>
      <c r="P115" s="61"/>
      <c r="Q115" s="33"/>
      <c r="R115" s="165"/>
      <c r="S115" s="165"/>
      <c r="T115" s="165"/>
      <c r="U115" s="33"/>
      <c r="V115" s="61"/>
      <c r="W115" s="61"/>
      <c r="X115" s="61"/>
      <c r="Y115" s="61"/>
      <c r="Z115" s="61"/>
      <c r="AA115" s="33"/>
      <c r="AB115" s="61"/>
      <c r="AC115" s="61"/>
      <c r="AD115" s="61"/>
    </row>
    <row r="116">
      <c r="A116" s="114" t="s">
        <v>29</v>
      </c>
      <c r="B116" s="83" t="s">
        <v>4058</v>
      </c>
      <c r="C116" s="83" t="s">
        <v>3513</v>
      </c>
      <c r="D116" s="83" t="s">
        <v>3935</v>
      </c>
      <c r="E116" s="33"/>
      <c r="F116" s="61"/>
      <c r="G116" s="61"/>
      <c r="H116" s="68" t="str">
        <f>IFERROR(__xludf.DUMMYFUNCTION("""COMPUTED_VALUE"""),"Школа 1551")</f>
        <v>Школа 1551</v>
      </c>
      <c r="I116" s="61"/>
      <c r="J116" s="61"/>
      <c r="K116" s="61"/>
      <c r="L116" s="61"/>
      <c r="M116" s="33"/>
      <c r="N116" s="61"/>
      <c r="O116" s="61"/>
      <c r="P116" s="61"/>
      <c r="Q116" s="33"/>
      <c r="R116" s="165"/>
      <c r="S116" s="165"/>
      <c r="T116" s="165"/>
      <c r="U116" s="33"/>
      <c r="V116" s="61"/>
      <c r="W116" s="61"/>
      <c r="X116" s="61"/>
      <c r="Y116" s="61"/>
      <c r="Z116" s="61"/>
      <c r="AA116" s="33"/>
      <c r="AB116" s="61"/>
      <c r="AC116" s="61"/>
      <c r="AD116" s="61"/>
    </row>
    <row r="117">
      <c r="A117" s="114" t="s">
        <v>29</v>
      </c>
      <c r="B117" s="83" t="s">
        <v>4059</v>
      </c>
      <c r="C117" s="83" t="s">
        <v>3448</v>
      </c>
      <c r="D117" s="83" t="s">
        <v>3616</v>
      </c>
      <c r="E117" s="33"/>
      <c r="F117" s="61"/>
      <c r="G117" s="61"/>
      <c r="H117" s="68" t="str">
        <f>IFERROR(__xludf.DUMMYFUNCTION("""COMPUTED_VALUE"""),"Школа 1552")</f>
        <v>Школа 1552</v>
      </c>
      <c r="I117" s="61"/>
      <c r="J117" s="61"/>
      <c r="K117" s="61"/>
      <c r="L117" s="61"/>
      <c r="M117" s="33"/>
      <c r="N117" s="61"/>
      <c r="O117" s="61"/>
      <c r="P117" s="61"/>
      <c r="Q117" s="33"/>
      <c r="R117" s="165"/>
      <c r="S117" s="165"/>
      <c r="T117" s="165"/>
      <c r="U117" s="33"/>
      <c r="V117" s="61"/>
      <c r="W117" s="61"/>
      <c r="X117" s="61"/>
      <c r="Y117" s="61"/>
      <c r="Z117" s="61"/>
      <c r="AA117" s="33"/>
      <c r="AB117" s="61"/>
      <c r="AC117" s="61"/>
      <c r="AD117" s="61"/>
    </row>
    <row r="118">
      <c r="A118" s="114" t="s">
        <v>29</v>
      </c>
      <c r="B118" s="83" t="s">
        <v>4060</v>
      </c>
      <c r="C118" s="83" t="s">
        <v>3647</v>
      </c>
      <c r="D118" s="83" t="s">
        <v>3616</v>
      </c>
      <c r="E118" s="33"/>
      <c r="F118" s="61"/>
      <c r="G118" s="61"/>
      <c r="H118" s="68" t="str">
        <f>IFERROR(__xludf.DUMMYFUNCTION("""COMPUTED_VALUE"""),"Школа 1557")</f>
        <v>Школа 1557</v>
      </c>
      <c r="I118" s="61"/>
      <c r="J118" s="61"/>
      <c r="K118" s="61"/>
      <c r="L118" s="61"/>
      <c r="M118" s="33"/>
      <c r="N118" s="61"/>
      <c r="O118" s="61"/>
      <c r="P118" s="61"/>
      <c r="Q118" s="33"/>
      <c r="R118" s="165"/>
      <c r="S118" s="165"/>
      <c r="T118" s="165"/>
      <c r="U118" s="33"/>
      <c r="V118" s="61"/>
      <c r="W118" s="61"/>
      <c r="X118" s="61"/>
      <c r="Y118" s="61"/>
      <c r="Z118" s="61"/>
      <c r="AA118" s="33"/>
      <c r="AB118" s="61"/>
      <c r="AC118" s="61"/>
      <c r="AD118" s="61"/>
    </row>
    <row r="119">
      <c r="A119" s="114" t="s">
        <v>29</v>
      </c>
      <c r="B119" s="83" t="s">
        <v>4061</v>
      </c>
      <c r="C119" s="83" t="s">
        <v>3792</v>
      </c>
      <c r="D119" s="83" t="s">
        <v>3616</v>
      </c>
      <c r="E119" s="33"/>
      <c r="F119" s="61"/>
      <c r="G119" s="61"/>
      <c r="H119" s="68" t="str">
        <f>IFERROR(__xludf.DUMMYFUNCTION("""COMPUTED_VALUE"""),"Школа 1558")</f>
        <v>Школа 1558</v>
      </c>
      <c r="I119" s="61"/>
      <c r="J119" s="61"/>
      <c r="K119" s="61"/>
      <c r="L119" s="61"/>
      <c r="M119" s="33"/>
      <c r="N119" s="61"/>
      <c r="O119" s="61"/>
      <c r="P119" s="61"/>
      <c r="Q119" s="33"/>
      <c r="R119" s="165"/>
      <c r="S119" s="165"/>
      <c r="T119" s="165"/>
      <c r="U119" s="33"/>
      <c r="V119" s="61"/>
      <c r="W119" s="61"/>
      <c r="X119" s="61"/>
      <c r="Y119" s="61"/>
      <c r="Z119" s="61"/>
      <c r="AA119" s="33"/>
      <c r="AB119" s="61"/>
      <c r="AC119" s="61"/>
      <c r="AD119" s="61"/>
    </row>
    <row r="120">
      <c r="A120" s="114" t="s">
        <v>29</v>
      </c>
      <c r="B120" s="83" t="s">
        <v>4062</v>
      </c>
      <c r="C120" s="83" t="s">
        <v>3648</v>
      </c>
      <c r="D120" s="83" t="s">
        <v>3616</v>
      </c>
      <c r="E120" s="33"/>
      <c r="F120" s="61"/>
      <c r="G120" s="61"/>
      <c r="H120" s="68" t="str">
        <f>IFERROR(__xludf.DUMMYFUNCTION("""COMPUTED_VALUE"""),"Школа 1560")</f>
        <v>Школа 1560</v>
      </c>
      <c r="I120" s="61"/>
      <c r="J120" s="61"/>
      <c r="K120" s="61"/>
      <c r="L120" s="61"/>
      <c r="M120" s="33"/>
      <c r="N120" s="61"/>
      <c r="O120" s="61"/>
      <c r="P120" s="61"/>
      <c r="Q120" s="33"/>
      <c r="R120" s="165"/>
      <c r="S120" s="165"/>
      <c r="T120" s="165"/>
      <c r="U120" s="33"/>
      <c r="V120" s="61"/>
      <c r="W120" s="61"/>
      <c r="X120" s="61"/>
      <c r="Y120" s="61"/>
      <c r="Z120" s="61"/>
      <c r="AA120" s="33"/>
      <c r="AB120" s="61"/>
      <c r="AC120" s="61"/>
      <c r="AD120" s="61"/>
    </row>
    <row r="121">
      <c r="A121" s="114" t="s">
        <v>29</v>
      </c>
      <c r="B121" s="83" t="s">
        <v>4063</v>
      </c>
      <c r="C121" s="83" t="s">
        <v>3649</v>
      </c>
      <c r="D121" s="83" t="s">
        <v>3616</v>
      </c>
      <c r="E121" s="33"/>
      <c r="F121" s="61"/>
      <c r="G121" s="61"/>
      <c r="H121" s="68" t="str">
        <f>IFERROR(__xludf.DUMMYFUNCTION("""COMPUTED_VALUE"""),"Школа 1561")</f>
        <v>Школа 1561</v>
      </c>
      <c r="I121" s="61"/>
      <c r="J121" s="61"/>
      <c r="K121" s="61"/>
      <c r="L121" s="61"/>
      <c r="M121" s="33"/>
      <c r="N121" s="61"/>
      <c r="O121" s="61"/>
      <c r="P121" s="61"/>
      <c r="Q121" s="33"/>
      <c r="R121" s="165"/>
      <c r="S121" s="165"/>
      <c r="T121" s="165"/>
      <c r="U121" s="33"/>
      <c r="V121" s="61"/>
      <c r="W121" s="61"/>
      <c r="X121" s="61"/>
      <c r="Y121" s="61"/>
      <c r="Z121" s="61"/>
      <c r="AA121" s="33"/>
      <c r="AB121" s="61"/>
      <c r="AC121" s="61"/>
      <c r="AD121" s="61"/>
    </row>
    <row r="122">
      <c r="A122" s="114" t="s">
        <v>29</v>
      </c>
      <c r="B122" s="83" t="s">
        <v>4064</v>
      </c>
      <c r="C122" s="83" t="s">
        <v>3514</v>
      </c>
      <c r="D122" s="83" t="s">
        <v>3935</v>
      </c>
      <c r="E122" s="33"/>
      <c r="F122" s="61"/>
      <c r="G122" s="61"/>
      <c r="H122" s="68" t="str">
        <f>IFERROR(__xludf.DUMMYFUNCTION("""COMPUTED_VALUE"""),"Школа 1564")</f>
        <v>Школа 1564</v>
      </c>
      <c r="I122" s="61"/>
      <c r="J122" s="61"/>
      <c r="K122" s="61"/>
      <c r="L122" s="61"/>
      <c r="M122" s="33"/>
      <c r="N122" s="61"/>
      <c r="O122" s="61"/>
      <c r="P122" s="61"/>
      <c r="Q122" s="33"/>
      <c r="R122" s="165"/>
      <c r="S122" s="165"/>
      <c r="T122" s="165"/>
      <c r="U122" s="33"/>
      <c r="V122" s="61"/>
      <c r="W122" s="61"/>
      <c r="X122" s="61"/>
      <c r="Y122" s="61"/>
      <c r="Z122" s="61"/>
      <c r="AA122" s="33"/>
      <c r="AB122" s="61"/>
      <c r="AC122" s="61"/>
      <c r="AD122" s="61"/>
    </row>
    <row r="123">
      <c r="A123" s="114" t="s">
        <v>29</v>
      </c>
      <c r="B123" s="83" t="s">
        <v>4065</v>
      </c>
      <c r="C123" s="83" t="s">
        <v>3710</v>
      </c>
      <c r="D123" s="83" t="s">
        <v>3939</v>
      </c>
      <c r="E123" s="33"/>
      <c r="F123" s="61"/>
      <c r="G123" s="61"/>
      <c r="H123" s="68" t="str">
        <f>IFERROR(__xludf.DUMMYFUNCTION("""COMPUTED_VALUE"""),"Школа 1568")</f>
        <v>Школа 1568</v>
      </c>
      <c r="I123" s="61"/>
      <c r="J123" s="61"/>
      <c r="K123" s="61"/>
      <c r="L123" s="61"/>
      <c r="M123" s="33"/>
      <c r="N123" s="61"/>
      <c r="O123" s="61"/>
      <c r="P123" s="61"/>
      <c r="Q123" s="33"/>
      <c r="R123" s="165"/>
      <c r="S123" s="165"/>
      <c r="T123" s="165"/>
      <c r="U123" s="33"/>
      <c r="V123" s="61"/>
      <c r="W123" s="61"/>
      <c r="X123" s="61"/>
      <c r="Y123" s="61"/>
      <c r="Z123" s="61"/>
      <c r="AA123" s="33"/>
      <c r="AB123" s="61"/>
      <c r="AC123" s="61"/>
      <c r="AD123" s="61"/>
    </row>
    <row r="124">
      <c r="A124" s="114" t="s">
        <v>29</v>
      </c>
      <c r="B124" s="83" t="s">
        <v>4066</v>
      </c>
      <c r="C124" s="83" t="s">
        <v>3409</v>
      </c>
      <c r="D124" s="83" t="s">
        <v>3616</v>
      </c>
      <c r="E124" s="33"/>
      <c r="F124" s="61"/>
      <c r="G124" s="61"/>
      <c r="H124" s="68" t="str">
        <f>IFERROR(__xludf.DUMMYFUNCTION("""COMPUTED_VALUE"""),"Школа 1569")</f>
        <v>Школа 1569</v>
      </c>
      <c r="I124" s="61"/>
      <c r="J124" s="61"/>
      <c r="K124" s="61"/>
      <c r="L124" s="61"/>
      <c r="M124" s="33"/>
      <c r="N124" s="61"/>
      <c r="O124" s="61"/>
      <c r="P124" s="61"/>
      <c r="Q124" s="33"/>
      <c r="R124" s="165"/>
      <c r="S124" s="165"/>
      <c r="T124" s="165"/>
      <c r="U124" s="33"/>
      <c r="V124" s="61"/>
      <c r="W124" s="61"/>
      <c r="X124" s="61"/>
      <c r="Y124" s="61"/>
      <c r="Z124" s="61"/>
      <c r="AA124" s="33"/>
      <c r="AB124" s="61"/>
      <c r="AC124" s="61"/>
      <c r="AD124" s="61"/>
    </row>
    <row r="125">
      <c r="A125" s="114" t="s">
        <v>29</v>
      </c>
      <c r="B125" s="83" t="s">
        <v>4067</v>
      </c>
      <c r="C125" s="83" t="s">
        <v>3650</v>
      </c>
      <c r="D125" s="83" t="s">
        <v>3616</v>
      </c>
      <c r="E125" s="33"/>
      <c r="F125" s="166"/>
      <c r="G125" s="166"/>
      <c r="H125" s="166" t="str">
        <f>IFERROR(__xludf.DUMMYFUNCTION("""COMPUTED_VALUE"""),"Школа 1571")</f>
        <v>Школа 1571</v>
      </c>
      <c r="I125" s="166"/>
      <c r="J125" s="166"/>
      <c r="K125" s="166"/>
      <c r="L125" s="166"/>
      <c r="M125" s="33"/>
      <c r="N125" s="61"/>
      <c r="O125" s="61"/>
      <c r="P125" s="61"/>
      <c r="Q125" s="33"/>
      <c r="R125" s="165"/>
      <c r="S125" s="165"/>
      <c r="T125" s="165"/>
      <c r="U125" s="33"/>
      <c r="V125" s="61"/>
      <c r="W125" s="61"/>
      <c r="X125" s="61"/>
      <c r="Y125" s="61"/>
      <c r="Z125" s="61"/>
      <c r="AA125" s="33"/>
      <c r="AB125" s="61"/>
      <c r="AC125" s="61"/>
      <c r="AD125" s="61"/>
    </row>
    <row r="126">
      <c r="A126" s="114" t="s">
        <v>29</v>
      </c>
      <c r="B126" s="83" t="s">
        <v>4068</v>
      </c>
      <c r="C126" s="83" t="s">
        <v>3711</v>
      </c>
      <c r="D126" s="83" t="s">
        <v>3616</v>
      </c>
      <c r="E126" s="33"/>
      <c r="F126" s="33"/>
      <c r="G126" s="33"/>
      <c r="H126" s="33" t="str">
        <f>IFERROR(__xludf.DUMMYFUNCTION("""COMPUTED_VALUE"""),"Школа 1575")</f>
        <v>Школа 1575</v>
      </c>
      <c r="I126" s="33"/>
      <c r="J126" s="33"/>
      <c r="K126" s="33"/>
      <c r="L126" s="33"/>
      <c r="M126" s="33"/>
      <c r="N126" s="61"/>
      <c r="O126" s="61"/>
      <c r="P126" s="61"/>
      <c r="Q126" s="33"/>
      <c r="R126" s="165"/>
      <c r="S126" s="165"/>
      <c r="T126" s="165"/>
      <c r="U126" s="33"/>
      <c r="V126" s="61"/>
      <c r="W126" s="61"/>
      <c r="X126" s="61"/>
      <c r="Y126" s="61"/>
      <c r="Z126" s="61"/>
      <c r="AA126" s="33"/>
      <c r="AB126" s="61"/>
      <c r="AC126" s="61"/>
      <c r="AD126" s="61"/>
    </row>
    <row r="127">
      <c r="A127" s="114" t="s">
        <v>29</v>
      </c>
      <c r="B127" s="83" t="s">
        <v>4069</v>
      </c>
      <c r="C127" s="83" t="s">
        <v>3712</v>
      </c>
      <c r="D127" s="83" t="s">
        <v>3616</v>
      </c>
      <c r="E127" s="33"/>
      <c r="F127" s="33"/>
      <c r="G127" s="33"/>
      <c r="H127" s="33" t="str">
        <f>IFERROR(__xludf.DUMMYFUNCTION("""COMPUTED_VALUE"""),"Школа 1576")</f>
        <v>Школа 1576</v>
      </c>
      <c r="I127" s="33"/>
      <c r="J127" s="33"/>
      <c r="K127" s="33"/>
      <c r="L127" s="33"/>
      <c r="M127" s="33"/>
      <c r="N127" s="61"/>
      <c r="O127" s="61"/>
      <c r="P127" s="61"/>
      <c r="Q127" s="33"/>
      <c r="R127" s="165"/>
      <c r="S127" s="165"/>
      <c r="T127" s="165"/>
      <c r="U127" s="33"/>
      <c r="V127" s="61"/>
      <c r="W127" s="61"/>
      <c r="X127" s="61"/>
      <c r="Y127" s="61"/>
      <c r="Z127" s="61"/>
      <c r="AA127" s="33"/>
      <c r="AB127" s="61"/>
      <c r="AC127" s="61"/>
      <c r="AD127" s="61"/>
    </row>
    <row r="128">
      <c r="A128" s="114" t="s">
        <v>29</v>
      </c>
      <c r="B128" s="83" t="s">
        <v>4070</v>
      </c>
      <c r="C128" s="83" t="s">
        <v>3713</v>
      </c>
      <c r="D128" s="83" t="s">
        <v>3616</v>
      </c>
      <c r="E128" s="33"/>
      <c r="F128" s="33"/>
      <c r="G128" s="33"/>
      <c r="H128" s="33" t="str">
        <f>IFERROR(__xludf.DUMMYFUNCTION("""COMPUTED_VALUE"""),"Школа 1580")</f>
        <v>Школа 1580</v>
      </c>
      <c r="I128" s="33"/>
      <c r="J128" s="33"/>
      <c r="K128" s="33"/>
      <c r="L128" s="33"/>
      <c r="M128" s="33"/>
      <c r="N128" s="61"/>
      <c r="O128" s="61"/>
      <c r="P128" s="61"/>
      <c r="Q128" s="33"/>
      <c r="R128" s="165"/>
      <c r="S128" s="165"/>
      <c r="T128" s="165"/>
      <c r="U128" s="33"/>
      <c r="V128" s="61"/>
      <c r="W128" s="61"/>
      <c r="X128" s="61"/>
      <c r="Y128" s="61"/>
      <c r="Z128" s="61"/>
      <c r="AA128" s="33"/>
      <c r="AB128" s="61"/>
      <c r="AC128" s="61"/>
      <c r="AD128" s="61"/>
    </row>
    <row r="129">
      <c r="A129" s="114" t="s">
        <v>29</v>
      </c>
      <c r="B129" s="83" t="s">
        <v>4071</v>
      </c>
      <c r="C129" s="83" t="s">
        <v>3714</v>
      </c>
      <c r="D129" s="83" t="s">
        <v>3616</v>
      </c>
      <c r="E129" s="33"/>
      <c r="F129" s="33"/>
      <c r="G129" s="33"/>
      <c r="H129" s="33" t="str">
        <f>IFERROR(__xludf.DUMMYFUNCTION("""COMPUTED_VALUE"""),"Школа 1581")</f>
        <v>Школа 1581</v>
      </c>
      <c r="I129" s="33"/>
      <c r="J129" s="33"/>
      <c r="K129" s="33"/>
      <c r="L129" s="33"/>
      <c r="M129" s="33"/>
      <c r="N129" s="61"/>
      <c r="O129" s="61"/>
      <c r="P129" s="61"/>
      <c r="Q129" s="33"/>
      <c r="R129" s="165"/>
      <c r="S129" s="165"/>
      <c r="T129" s="165"/>
      <c r="U129" s="33"/>
      <c r="V129" s="61"/>
      <c r="W129" s="61"/>
      <c r="X129" s="61"/>
      <c r="Y129" s="61"/>
      <c r="Z129" s="61"/>
      <c r="AA129" s="33"/>
      <c r="AB129" s="61"/>
      <c r="AC129" s="61"/>
      <c r="AD129" s="61"/>
    </row>
    <row r="130">
      <c r="A130" s="114" t="s">
        <v>29</v>
      </c>
      <c r="B130" s="83" t="s">
        <v>4072</v>
      </c>
      <c r="C130" s="83" t="s">
        <v>3651</v>
      </c>
      <c r="D130" s="83" t="s">
        <v>3616</v>
      </c>
      <c r="E130" s="33"/>
      <c r="F130" s="33"/>
      <c r="G130" s="33"/>
      <c r="H130" s="33" t="str">
        <f>IFERROR(__xludf.DUMMYFUNCTION("""COMPUTED_VALUE"""),"Школа 1583")</f>
        <v>Школа 1583</v>
      </c>
      <c r="I130" s="33"/>
      <c r="J130" s="33"/>
      <c r="K130" s="33"/>
      <c r="L130" s="33"/>
      <c r="M130" s="33"/>
      <c r="N130" s="61"/>
      <c r="O130" s="61"/>
      <c r="P130" s="61"/>
      <c r="Q130" s="33"/>
      <c r="R130" s="165"/>
      <c r="S130" s="165"/>
      <c r="T130" s="165"/>
      <c r="U130" s="33"/>
      <c r="V130" s="61"/>
      <c r="W130" s="61"/>
      <c r="X130" s="61"/>
      <c r="Y130" s="61"/>
      <c r="Z130" s="61"/>
      <c r="AA130" s="33"/>
      <c r="AB130" s="61"/>
      <c r="AC130" s="61"/>
      <c r="AD130" s="61"/>
    </row>
    <row r="131">
      <c r="A131" s="114" t="s">
        <v>29</v>
      </c>
      <c r="B131" s="83" t="s">
        <v>4073</v>
      </c>
      <c r="C131" s="83" t="s">
        <v>3652</v>
      </c>
      <c r="D131" s="83" t="s">
        <v>3616</v>
      </c>
      <c r="E131" s="33"/>
      <c r="F131" s="33"/>
      <c r="G131" s="33"/>
      <c r="H131" s="33" t="str">
        <f>IFERROR(__xludf.DUMMYFUNCTION("""COMPUTED_VALUE"""),"Школа 1584")</f>
        <v>Школа 1584</v>
      </c>
      <c r="I131" s="33"/>
      <c r="J131" s="33"/>
      <c r="K131" s="33"/>
      <c r="L131" s="33"/>
      <c r="M131" s="33"/>
      <c r="N131" s="61"/>
      <c r="O131" s="61"/>
      <c r="P131" s="61"/>
      <c r="Q131" s="33"/>
      <c r="R131" s="165"/>
      <c r="S131" s="165"/>
      <c r="T131" s="165"/>
      <c r="U131" s="33"/>
      <c r="V131" s="61"/>
      <c r="W131" s="61"/>
      <c r="X131" s="61"/>
      <c r="Y131" s="61"/>
      <c r="Z131" s="61"/>
      <c r="AA131" s="33"/>
      <c r="AB131" s="61"/>
      <c r="AC131" s="61"/>
      <c r="AD131" s="61"/>
    </row>
    <row r="132">
      <c r="A132" s="114" t="s">
        <v>29</v>
      </c>
      <c r="B132" s="83" t="s">
        <v>4074</v>
      </c>
      <c r="C132" s="83" t="s">
        <v>3715</v>
      </c>
      <c r="D132" s="83" t="s">
        <v>3616</v>
      </c>
      <c r="E132" s="33"/>
      <c r="F132" s="33"/>
      <c r="G132" s="33"/>
      <c r="H132" s="33" t="str">
        <f>IFERROR(__xludf.DUMMYFUNCTION("""COMPUTED_VALUE"""),"Школа 1591")</f>
        <v>Школа 1591</v>
      </c>
      <c r="I132" s="33"/>
      <c r="J132" s="33"/>
      <c r="K132" s="33"/>
      <c r="L132" s="33"/>
      <c r="M132" s="33"/>
      <c r="N132" s="61"/>
      <c r="O132" s="61"/>
      <c r="P132" s="61"/>
      <c r="Q132" s="33"/>
      <c r="R132" s="165"/>
      <c r="S132" s="165"/>
      <c r="T132" s="165"/>
      <c r="U132" s="33"/>
      <c r="V132" s="61"/>
      <c r="W132" s="61"/>
      <c r="X132" s="61"/>
      <c r="Y132" s="61"/>
      <c r="Z132" s="61"/>
      <c r="AA132" s="33"/>
      <c r="AB132" s="61"/>
      <c r="AC132" s="61"/>
      <c r="AD132" s="61"/>
    </row>
    <row r="133">
      <c r="A133" s="114" t="s">
        <v>29</v>
      </c>
      <c r="B133" s="83" t="s">
        <v>4075</v>
      </c>
      <c r="C133" s="83" t="s">
        <v>3716</v>
      </c>
      <c r="D133" s="83" t="s">
        <v>3616</v>
      </c>
      <c r="E133" s="33"/>
      <c r="F133" s="33"/>
      <c r="G133" s="33"/>
      <c r="H133" s="33" t="str">
        <f>IFERROR(__xludf.DUMMYFUNCTION("""COMPUTED_VALUE"""),"Школа 1593")</f>
        <v>Школа 1593</v>
      </c>
      <c r="I133" s="33"/>
      <c r="J133" s="33"/>
      <c r="K133" s="33"/>
      <c r="L133" s="33"/>
      <c r="M133" s="33"/>
      <c r="N133" s="61"/>
      <c r="O133" s="61"/>
      <c r="P133" s="61"/>
      <c r="Q133" s="33"/>
      <c r="R133" s="165"/>
      <c r="S133" s="165"/>
      <c r="T133" s="165"/>
      <c r="U133" s="33"/>
      <c r="V133" s="61"/>
      <c r="W133" s="61"/>
      <c r="X133" s="61"/>
      <c r="Y133" s="61"/>
      <c r="Z133" s="61"/>
      <c r="AA133" s="33"/>
      <c r="AB133" s="61"/>
      <c r="AC133" s="61"/>
      <c r="AD133" s="61"/>
    </row>
    <row r="134">
      <c r="A134" s="114" t="s">
        <v>29</v>
      </c>
      <c r="B134" s="83" t="s">
        <v>4076</v>
      </c>
      <c r="C134" s="83" t="s">
        <v>3480</v>
      </c>
      <c r="D134" s="83" t="s">
        <v>3935</v>
      </c>
      <c r="E134" s="33"/>
      <c r="F134" s="33"/>
      <c r="G134" s="33"/>
      <c r="H134" s="33" t="str">
        <f>IFERROR(__xludf.DUMMYFUNCTION("""COMPUTED_VALUE"""),"Школа 1601")</f>
        <v>Школа 1601</v>
      </c>
      <c r="I134" s="33"/>
      <c r="J134" s="33"/>
      <c r="K134" s="33"/>
      <c r="L134" s="33"/>
      <c r="M134" s="33"/>
      <c r="N134" s="61"/>
      <c r="O134" s="61"/>
      <c r="P134" s="61"/>
      <c r="Q134" s="33"/>
      <c r="R134" s="165"/>
      <c r="S134" s="165"/>
      <c r="T134" s="165"/>
      <c r="U134" s="33"/>
      <c r="V134" s="61"/>
      <c r="W134" s="61"/>
      <c r="X134" s="61"/>
      <c r="Y134" s="61"/>
      <c r="Z134" s="61"/>
      <c r="AA134" s="33"/>
      <c r="AB134" s="61"/>
      <c r="AC134" s="61"/>
      <c r="AD134" s="61"/>
    </row>
    <row r="135">
      <c r="A135" s="114" t="s">
        <v>29</v>
      </c>
      <c r="B135" s="83" t="s">
        <v>4077</v>
      </c>
      <c r="C135" s="83" t="s">
        <v>4078</v>
      </c>
      <c r="D135" s="83" t="s">
        <v>3616</v>
      </c>
      <c r="E135" s="33"/>
      <c r="F135" s="33"/>
      <c r="G135" s="33"/>
      <c r="H135" s="33" t="str">
        <f>IFERROR(__xludf.DUMMYFUNCTION("""COMPUTED_VALUE"""),"Школа 1747")</f>
        <v>Школа 1747</v>
      </c>
      <c r="I135" s="33"/>
      <c r="J135" s="33"/>
      <c r="K135" s="33"/>
      <c r="L135" s="33"/>
      <c r="M135" s="33"/>
      <c r="N135" s="61"/>
      <c r="O135" s="61"/>
      <c r="P135" s="61"/>
      <c r="Q135" s="33"/>
      <c r="R135" s="165"/>
      <c r="S135" s="165"/>
      <c r="T135" s="165"/>
      <c r="U135" s="33"/>
      <c r="V135" s="61"/>
      <c r="W135" s="61"/>
      <c r="X135" s="61"/>
      <c r="Y135" s="61"/>
      <c r="Z135" s="61"/>
      <c r="AA135" s="33"/>
      <c r="AB135" s="61"/>
      <c r="AC135" s="61"/>
      <c r="AD135" s="61"/>
    </row>
    <row r="136">
      <c r="A136" s="114" t="s">
        <v>29</v>
      </c>
      <c r="B136" s="83" t="s">
        <v>4079</v>
      </c>
      <c r="C136" s="83" t="s">
        <v>3718</v>
      </c>
      <c r="D136" s="83" t="s">
        <v>3616</v>
      </c>
      <c r="E136" s="33"/>
      <c r="F136" s="33"/>
      <c r="G136" s="33"/>
      <c r="H136" s="33" t="str">
        <f>IFERROR(__xludf.DUMMYFUNCTION("""COMPUTED_VALUE"""),"Школа 1748")</f>
        <v>Школа 1748</v>
      </c>
      <c r="I136" s="33"/>
      <c r="J136" s="33"/>
      <c r="K136" s="33"/>
      <c r="L136" s="33"/>
      <c r="M136" s="33"/>
      <c r="N136" s="61"/>
      <c r="O136" s="61"/>
      <c r="P136" s="61"/>
      <c r="Q136" s="33"/>
      <c r="R136" s="165"/>
      <c r="S136" s="165"/>
      <c r="T136" s="165"/>
      <c r="U136" s="33"/>
      <c r="V136" s="61"/>
      <c r="W136" s="61"/>
      <c r="X136" s="61"/>
      <c r="Y136" s="61"/>
      <c r="Z136" s="61"/>
      <c r="AA136" s="33"/>
      <c r="AB136" s="61"/>
      <c r="AC136" s="61"/>
      <c r="AD136" s="61"/>
    </row>
    <row r="137">
      <c r="A137" s="114" t="s">
        <v>29</v>
      </c>
      <c r="B137" s="83" t="s">
        <v>4080</v>
      </c>
      <c r="C137" s="83" t="s">
        <v>3719</v>
      </c>
      <c r="D137" s="83" t="s">
        <v>3616</v>
      </c>
      <c r="E137" s="33"/>
      <c r="F137" s="33"/>
      <c r="G137" s="33"/>
      <c r="H137" s="33" t="str">
        <f>IFERROR(__xludf.DUMMYFUNCTION("""COMPUTED_VALUE"""),"Школа 1770")</f>
        <v>Школа 1770</v>
      </c>
      <c r="I137" s="33"/>
      <c r="J137" s="33"/>
      <c r="K137" s="33"/>
      <c r="L137" s="33"/>
      <c r="M137" s="33"/>
      <c r="N137" s="61"/>
      <c r="O137" s="61"/>
      <c r="P137" s="61"/>
      <c r="Q137" s="33"/>
      <c r="R137" s="165"/>
      <c r="S137" s="165"/>
      <c r="T137" s="165"/>
      <c r="U137" s="33"/>
      <c r="V137" s="61"/>
      <c r="W137" s="61"/>
      <c r="X137" s="61"/>
      <c r="Y137" s="61"/>
      <c r="Z137" s="61"/>
      <c r="AA137" s="33"/>
      <c r="AB137" s="61"/>
      <c r="AC137" s="61"/>
      <c r="AD137" s="61"/>
    </row>
    <row r="138">
      <c r="A138" s="114" t="s">
        <v>29</v>
      </c>
      <c r="B138" s="83" t="s">
        <v>4081</v>
      </c>
      <c r="C138" s="83" t="s">
        <v>3334</v>
      </c>
      <c r="D138" s="83" t="s">
        <v>3616</v>
      </c>
      <c r="E138" s="33"/>
      <c r="F138" s="33"/>
      <c r="G138" s="33"/>
      <c r="H138" s="33" t="str">
        <f>IFERROR(__xludf.DUMMYFUNCTION("""COMPUTED_VALUE"""),"Школа 1788")</f>
        <v>Школа 1788</v>
      </c>
      <c r="I138" s="33"/>
      <c r="J138" s="33"/>
      <c r="K138" s="33"/>
      <c r="L138" s="33"/>
      <c r="M138" s="33"/>
      <c r="N138" s="61"/>
      <c r="O138" s="61"/>
      <c r="P138" s="61"/>
      <c r="Q138" s="33"/>
      <c r="R138" s="165"/>
      <c r="S138" s="165"/>
      <c r="T138" s="165"/>
      <c r="U138" s="33"/>
      <c r="V138" s="61"/>
      <c r="W138" s="61"/>
      <c r="X138" s="61"/>
      <c r="Y138" s="61"/>
      <c r="Z138" s="61"/>
      <c r="AA138" s="33"/>
      <c r="AB138" s="61"/>
      <c r="AC138" s="61"/>
      <c r="AD138" s="61"/>
    </row>
    <row r="139">
      <c r="A139" s="114" t="s">
        <v>29</v>
      </c>
      <c r="B139" s="83" t="s">
        <v>4082</v>
      </c>
      <c r="C139" s="83" t="s">
        <v>3458</v>
      </c>
      <c r="D139" s="83" t="s">
        <v>3616</v>
      </c>
      <c r="E139" s="33"/>
      <c r="F139" s="33"/>
      <c r="G139" s="33"/>
      <c r="H139" s="33" t="str">
        <f>IFERROR(__xludf.DUMMYFUNCTION("""COMPUTED_VALUE"""),"Школа 1793")</f>
        <v>Школа 1793</v>
      </c>
      <c r="I139" s="33"/>
      <c r="J139" s="33"/>
      <c r="K139" s="33"/>
      <c r="L139" s="33"/>
      <c r="M139" s="33"/>
      <c r="N139" s="61"/>
      <c r="O139" s="61"/>
      <c r="P139" s="61"/>
      <c r="Q139" s="33"/>
      <c r="R139" s="165"/>
      <c r="S139" s="165"/>
      <c r="T139" s="165"/>
      <c r="U139" s="33"/>
      <c r="V139" s="61"/>
      <c r="W139" s="61"/>
      <c r="X139" s="61"/>
      <c r="Y139" s="61"/>
      <c r="Z139" s="61"/>
      <c r="AA139" s="33"/>
      <c r="AB139" s="61"/>
      <c r="AC139" s="61"/>
      <c r="AD139" s="61"/>
    </row>
    <row r="140">
      <c r="A140" s="114" t="s">
        <v>29</v>
      </c>
      <c r="B140" s="83" t="s">
        <v>4083</v>
      </c>
      <c r="C140" s="83" t="s">
        <v>3720</v>
      </c>
      <c r="D140" s="83" t="s">
        <v>3616</v>
      </c>
      <c r="E140" s="33"/>
      <c r="F140" s="33"/>
      <c r="G140" s="33"/>
      <c r="H140" s="33" t="str">
        <f>IFERROR(__xludf.DUMMYFUNCTION("""COMPUTED_VALUE"""),"Школа 1795")</f>
        <v>Школа 1795</v>
      </c>
      <c r="I140" s="33"/>
      <c r="J140" s="33"/>
      <c r="K140" s="33"/>
      <c r="L140" s="33"/>
      <c r="M140" s="33"/>
      <c r="N140" s="61"/>
      <c r="O140" s="61"/>
      <c r="P140" s="61"/>
      <c r="Q140" s="33"/>
      <c r="R140" s="165"/>
      <c r="S140" s="165"/>
      <c r="T140" s="165"/>
      <c r="U140" s="33"/>
      <c r="V140" s="61"/>
      <c r="W140" s="61"/>
      <c r="X140" s="61"/>
      <c r="Y140" s="61"/>
      <c r="Z140" s="61"/>
      <c r="AA140" s="33"/>
      <c r="AB140" s="61"/>
      <c r="AC140" s="61"/>
      <c r="AD140" s="61"/>
    </row>
    <row r="141">
      <c r="A141" s="114" t="s">
        <v>29</v>
      </c>
      <c r="B141" s="83" t="s">
        <v>4084</v>
      </c>
      <c r="C141" s="83" t="s">
        <v>3721</v>
      </c>
      <c r="D141" s="83" t="s">
        <v>3616</v>
      </c>
      <c r="E141" s="33"/>
      <c r="F141" s="33"/>
      <c r="G141" s="33"/>
      <c r="H141" s="33" t="str">
        <f>IFERROR(__xludf.DUMMYFUNCTION("""COMPUTED_VALUE"""),"Школа 1797")</f>
        <v>Школа 1797</v>
      </c>
      <c r="I141" s="33"/>
      <c r="J141" s="33"/>
      <c r="K141" s="33"/>
      <c r="L141" s="33"/>
      <c r="M141" s="33"/>
      <c r="N141" s="61"/>
      <c r="O141" s="61"/>
      <c r="P141" s="61"/>
      <c r="Q141" s="33"/>
      <c r="R141" s="165"/>
      <c r="S141" s="165"/>
      <c r="T141" s="165"/>
      <c r="U141" s="33"/>
      <c r="V141" s="61"/>
      <c r="W141" s="61"/>
      <c r="X141" s="61"/>
      <c r="Y141" s="61"/>
      <c r="Z141" s="61"/>
      <c r="AA141" s="33"/>
      <c r="AB141" s="61"/>
      <c r="AC141" s="61"/>
      <c r="AD141" s="61"/>
    </row>
    <row r="142">
      <c r="A142" s="114" t="s">
        <v>29</v>
      </c>
      <c r="B142" s="83" t="s">
        <v>4085</v>
      </c>
      <c r="C142" s="83" t="s">
        <v>3573</v>
      </c>
      <c r="D142" s="83" t="s">
        <v>3935</v>
      </c>
      <c r="E142" s="33"/>
      <c r="F142" s="33"/>
      <c r="G142" s="33"/>
      <c r="H142" s="33" t="str">
        <f>IFERROR(__xludf.DUMMYFUNCTION("""COMPUTED_VALUE"""),"Школа 1798")</f>
        <v>Школа 1798</v>
      </c>
      <c r="I142" s="33"/>
      <c r="J142" s="33"/>
      <c r="K142" s="33"/>
      <c r="L142" s="33"/>
      <c r="M142" s="33"/>
      <c r="N142" s="61"/>
      <c r="O142" s="61"/>
      <c r="P142" s="61"/>
      <c r="Q142" s="33"/>
      <c r="R142" s="165"/>
      <c r="S142" s="165"/>
      <c r="T142" s="165"/>
      <c r="U142" s="33"/>
      <c r="V142" s="61"/>
      <c r="W142" s="61"/>
      <c r="X142" s="61"/>
      <c r="Y142" s="61"/>
      <c r="Z142" s="61"/>
      <c r="AA142" s="33"/>
      <c r="AB142" s="61"/>
      <c r="AC142" s="61"/>
      <c r="AD142" s="61"/>
    </row>
    <row r="143">
      <c r="A143" s="114" t="s">
        <v>29</v>
      </c>
      <c r="B143" s="83" t="s">
        <v>4086</v>
      </c>
      <c r="C143" s="83" t="s">
        <v>3657</v>
      </c>
      <c r="D143" s="83" t="s">
        <v>3616</v>
      </c>
      <c r="E143" s="33"/>
      <c r="F143" s="33"/>
      <c r="G143" s="33"/>
      <c r="H143" s="33" t="str">
        <f>IFERROR(__xludf.DUMMYFUNCTION("""COMPUTED_VALUE"""),"Школа 1811")</f>
        <v>Школа 1811</v>
      </c>
      <c r="I143" s="33"/>
      <c r="J143" s="33"/>
      <c r="K143" s="33"/>
      <c r="L143" s="33"/>
      <c r="M143" s="33"/>
      <c r="N143" s="61"/>
      <c r="O143" s="61"/>
      <c r="P143" s="61"/>
      <c r="Q143" s="33"/>
      <c r="R143" s="165"/>
      <c r="S143" s="165"/>
      <c r="T143" s="165"/>
      <c r="U143" s="33"/>
      <c r="V143" s="61"/>
      <c r="W143" s="61"/>
      <c r="X143" s="61"/>
      <c r="Y143" s="61"/>
      <c r="Z143" s="61"/>
      <c r="AA143" s="33"/>
      <c r="AB143" s="61"/>
      <c r="AC143" s="61"/>
      <c r="AD143" s="61"/>
    </row>
    <row r="144">
      <c r="A144" s="114" t="s">
        <v>29</v>
      </c>
      <c r="B144" s="83" t="s">
        <v>4087</v>
      </c>
      <c r="C144" s="83" t="s">
        <v>3335</v>
      </c>
      <c r="D144" s="83" t="s">
        <v>3616</v>
      </c>
      <c r="E144" s="33"/>
      <c r="F144" s="33"/>
      <c r="G144" s="33"/>
      <c r="H144" s="33" t="str">
        <f>IFERROR(__xludf.DUMMYFUNCTION("""COMPUTED_VALUE"""),"Школа 1852")</f>
        <v>Школа 1852</v>
      </c>
      <c r="I144" s="33"/>
      <c r="J144" s="33"/>
      <c r="K144" s="33"/>
      <c r="L144" s="33"/>
      <c r="M144" s="33"/>
      <c r="N144" s="61"/>
      <c r="O144" s="61"/>
      <c r="P144" s="61"/>
      <c r="Q144" s="33"/>
      <c r="R144" s="165"/>
      <c r="S144" s="165"/>
      <c r="T144" s="165"/>
      <c r="U144" s="33"/>
      <c r="V144" s="61"/>
      <c r="W144" s="61"/>
      <c r="X144" s="61"/>
      <c r="Y144" s="61"/>
      <c r="Z144" s="61"/>
      <c r="AA144" s="33"/>
      <c r="AB144" s="61"/>
      <c r="AC144" s="61"/>
      <c r="AD144" s="61"/>
    </row>
    <row r="145">
      <c r="A145" s="114" t="s">
        <v>29</v>
      </c>
      <c r="B145" s="83" t="s">
        <v>4088</v>
      </c>
      <c r="C145" s="83" t="s">
        <v>3574</v>
      </c>
      <c r="D145" s="83" t="s">
        <v>3939</v>
      </c>
      <c r="E145" s="33"/>
      <c r="F145" s="33"/>
      <c r="G145" s="33"/>
      <c r="H145" s="33" t="str">
        <f>IFERROR(__xludf.DUMMYFUNCTION("""COMPUTED_VALUE"""),"Школа 1874")</f>
        <v>Школа 1874</v>
      </c>
      <c r="I145" s="33"/>
      <c r="J145" s="33"/>
      <c r="K145" s="33"/>
      <c r="L145" s="33"/>
      <c r="M145" s="33"/>
      <c r="N145" s="61"/>
      <c r="O145" s="61"/>
      <c r="P145" s="61"/>
      <c r="Q145" s="33"/>
      <c r="R145" s="165"/>
      <c r="S145" s="165"/>
      <c r="T145" s="165"/>
      <c r="U145" s="33"/>
      <c r="V145" s="61"/>
      <c r="W145" s="61"/>
      <c r="X145" s="61"/>
      <c r="Y145" s="61"/>
      <c r="Z145" s="61"/>
      <c r="AA145" s="33"/>
      <c r="AB145" s="61"/>
      <c r="AC145" s="61"/>
      <c r="AD145" s="61"/>
    </row>
    <row r="146">
      <c r="A146" s="114" t="s">
        <v>29</v>
      </c>
      <c r="B146" s="83" t="s">
        <v>4089</v>
      </c>
      <c r="C146" s="83" t="s">
        <v>3416</v>
      </c>
      <c r="D146" s="83" t="s">
        <v>3616</v>
      </c>
      <c r="E146" s="33"/>
      <c r="F146" s="33"/>
      <c r="G146" s="33"/>
      <c r="H146" s="33" t="str">
        <f>IFERROR(__xludf.DUMMYFUNCTION("""COMPUTED_VALUE"""),"Школа 1883")</f>
        <v>Школа 1883</v>
      </c>
      <c r="I146" s="33"/>
      <c r="J146" s="33"/>
      <c r="K146" s="33"/>
      <c r="L146" s="33"/>
      <c r="M146" s="33"/>
      <c r="N146" s="61"/>
      <c r="O146" s="61"/>
      <c r="P146" s="61"/>
      <c r="Q146" s="33"/>
      <c r="R146" s="165"/>
      <c r="S146" s="165"/>
      <c r="T146" s="165"/>
      <c r="U146" s="33"/>
      <c r="V146" s="33"/>
      <c r="W146" s="33"/>
      <c r="X146" s="33"/>
      <c r="Y146" s="33"/>
      <c r="Z146" s="33"/>
      <c r="AA146" s="33"/>
      <c r="AB146" s="61"/>
      <c r="AC146" s="61"/>
      <c r="AD146" s="61"/>
    </row>
    <row r="147">
      <c r="A147" s="114" t="s">
        <v>29</v>
      </c>
      <c r="B147" s="83" t="s">
        <v>4090</v>
      </c>
      <c r="C147" s="83" t="s">
        <v>3802</v>
      </c>
      <c r="D147" s="83" t="s">
        <v>3616</v>
      </c>
      <c r="E147" s="33"/>
      <c r="F147" s="33"/>
      <c r="G147" s="33"/>
      <c r="H147" s="33" t="str">
        <f>IFERROR(__xludf.DUMMYFUNCTION("""COMPUTED_VALUE"""),"Школа 1900")</f>
        <v>Школа 1900</v>
      </c>
      <c r="I147" s="33"/>
      <c r="J147" s="33"/>
      <c r="K147" s="33"/>
      <c r="L147" s="33"/>
      <c r="M147" s="33"/>
      <c r="N147" s="61"/>
      <c r="O147" s="61"/>
      <c r="P147" s="61"/>
      <c r="Q147" s="33"/>
      <c r="R147" s="165"/>
      <c r="S147" s="165"/>
      <c r="T147" s="165"/>
      <c r="U147" s="33"/>
      <c r="V147" s="33"/>
      <c r="W147" s="33"/>
      <c r="X147" s="33"/>
      <c r="Y147" s="33"/>
      <c r="Z147" s="33"/>
      <c r="AA147" s="33"/>
      <c r="AB147" s="61"/>
      <c r="AC147" s="61"/>
      <c r="AD147" s="61"/>
    </row>
    <row r="148">
      <c r="A148" s="114" t="s">
        <v>29</v>
      </c>
      <c r="B148" s="83" t="s">
        <v>4091</v>
      </c>
      <c r="C148" s="83" t="s">
        <v>3521</v>
      </c>
      <c r="D148" s="83" t="s">
        <v>3935</v>
      </c>
      <c r="E148" s="33"/>
      <c r="F148" s="33"/>
      <c r="G148" s="33"/>
      <c r="H148" s="33" t="str">
        <f>IFERROR(__xludf.DUMMYFUNCTION("""COMPUTED_VALUE"""),"Школа 1905")</f>
        <v>Школа 1905</v>
      </c>
      <c r="I148" s="33"/>
      <c r="J148" s="33"/>
      <c r="K148" s="33"/>
      <c r="L148" s="33"/>
      <c r="M148" s="33"/>
      <c r="N148" s="61"/>
      <c r="O148" s="61"/>
      <c r="P148" s="61"/>
      <c r="Q148" s="33"/>
      <c r="R148" s="165"/>
      <c r="S148" s="165"/>
      <c r="T148" s="165"/>
      <c r="U148" s="33"/>
      <c r="V148" s="33"/>
      <c r="W148" s="33"/>
      <c r="X148" s="33"/>
      <c r="Y148" s="33"/>
      <c r="Z148" s="33"/>
      <c r="AA148" s="33"/>
      <c r="AB148" s="61"/>
      <c r="AC148" s="61"/>
      <c r="AD148" s="61"/>
    </row>
    <row r="149">
      <c r="A149" s="114" t="s">
        <v>29</v>
      </c>
      <c r="B149" s="83" t="s">
        <v>4092</v>
      </c>
      <c r="C149" s="83" t="s">
        <v>3782</v>
      </c>
      <c r="D149" s="83" t="s">
        <v>3935</v>
      </c>
      <c r="E149" s="33"/>
      <c r="F149" s="33"/>
      <c r="G149" s="33"/>
      <c r="H149" s="33" t="str">
        <f>IFERROR(__xludf.DUMMYFUNCTION("""COMPUTED_VALUE"""),"Школа 1935")</f>
        <v>Школа 1935</v>
      </c>
      <c r="I149" s="33"/>
      <c r="J149" s="33"/>
      <c r="K149" s="33"/>
      <c r="L149" s="33"/>
      <c r="M149" s="33"/>
      <c r="N149" s="61"/>
      <c r="O149" s="61"/>
      <c r="P149" s="61"/>
      <c r="Q149" s="33"/>
      <c r="R149" s="165"/>
      <c r="S149" s="165"/>
      <c r="T149" s="165"/>
      <c r="U149" s="33"/>
      <c r="V149" s="33"/>
      <c r="W149" s="33"/>
      <c r="X149" s="33"/>
      <c r="Y149" s="33"/>
      <c r="Z149" s="33"/>
      <c r="AA149" s="33"/>
      <c r="AB149" s="61"/>
      <c r="AC149" s="61"/>
      <c r="AD149" s="61"/>
    </row>
    <row r="150">
      <c r="A150" s="114" t="s">
        <v>29</v>
      </c>
      <c r="B150" s="83" t="s">
        <v>4093</v>
      </c>
      <c r="C150" s="83" t="s">
        <v>3522</v>
      </c>
      <c r="D150" s="83" t="s">
        <v>3939</v>
      </c>
      <c r="E150" s="33"/>
      <c r="F150" s="33"/>
      <c r="G150" s="33"/>
      <c r="H150" s="33" t="str">
        <f>IFERROR(__xludf.DUMMYFUNCTION("""COMPUTED_VALUE"""),"Школа 1955")</f>
        <v>Школа 1955</v>
      </c>
      <c r="I150" s="33"/>
      <c r="J150" s="33"/>
      <c r="K150" s="33"/>
      <c r="L150" s="33"/>
      <c r="M150" s="33"/>
      <c r="N150" s="61"/>
      <c r="O150" s="61"/>
      <c r="P150" s="61"/>
      <c r="Q150" s="33"/>
      <c r="R150" s="165"/>
      <c r="S150" s="165"/>
      <c r="T150" s="165"/>
      <c r="U150" s="33"/>
      <c r="V150" s="33"/>
      <c r="W150" s="33"/>
      <c r="X150" s="33"/>
      <c r="Y150" s="33"/>
      <c r="Z150" s="33"/>
      <c r="AA150" s="33"/>
      <c r="AB150" s="61"/>
      <c r="AC150" s="61"/>
      <c r="AD150" s="61"/>
    </row>
    <row r="151">
      <c r="A151" s="114" t="s">
        <v>29</v>
      </c>
      <c r="B151" s="83" t="s">
        <v>4094</v>
      </c>
      <c r="C151" s="83" t="s">
        <v>3723</v>
      </c>
      <c r="D151" s="83" t="s">
        <v>3616</v>
      </c>
      <c r="E151" s="33"/>
      <c r="F151" s="33"/>
      <c r="G151" s="33"/>
      <c r="H151" s="33" t="str">
        <f>IFERROR(__xludf.DUMMYFUNCTION("""COMPUTED_VALUE"""),"Школа 1980")</f>
        <v>Школа 1980</v>
      </c>
      <c r="I151" s="33"/>
      <c r="J151" s="33"/>
      <c r="K151" s="33"/>
      <c r="L151" s="33"/>
      <c r="M151" s="33"/>
      <c r="N151" s="61"/>
      <c r="O151" s="61"/>
      <c r="P151" s="61"/>
      <c r="Q151" s="33"/>
      <c r="R151" s="165"/>
      <c r="S151" s="165"/>
      <c r="T151" s="165"/>
      <c r="U151" s="33"/>
      <c r="V151" s="33"/>
      <c r="W151" s="33"/>
      <c r="X151" s="33"/>
      <c r="Y151" s="33"/>
      <c r="Z151" s="33"/>
      <c r="AA151" s="33"/>
      <c r="AB151" s="61"/>
      <c r="AC151" s="61"/>
      <c r="AD151" s="61"/>
    </row>
    <row r="152">
      <c r="A152" s="114" t="s">
        <v>29</v>
      </c>
      <c r="B152" s="83" t="s">
        <v>4095</v>
      </c>
      <c r="C152" s="83" t="s">
        <v>3724</v>
      </c>
      <c r="D152" s="83" t="s">
        <v>3947</v>
      </c>
      <c r="E152" s="33"/>
      <c r="F152" s="33"/>
      <c r="G152" s="33"/>
      <c r="H152" s="33" t="str">
        <f>IFERROR(__xludf.DUMMYFUNCTION("""COMPUTED_VALUE"""),"Школа 1981")</f>
        <v>Школа 1981</v>
      </c>
      <c r="I152" s="33"/>
      <c r="J152" s="33"/>
      <c r="K152" s="33"/>
      <c r="L152" s="33"/>
      <c r="M152" s="33"/>
      <c r="N152" s="61"/>
      <c r="O152" s="61"/>
      <c r="P152" s="61"/>
      <c r="Q152" s="33"/>
      <c r="R152" s="165"/>
      <c r="S152" s="165"/>
      <c r="T152" s="165"/>
      <c r="U152" s="33"/>
      <c r="V152" s="33"/>
      <c r="W152" s="33"/>
      <c r="X152" s="33"/>
      <c r="Y152" s="33"/>
      <c r="Z152" s="33"/>
      <c r="AA152" s="33"/>
      <c r="AB152" s="61"/>
      <c r="AC152" s="61"/>
      <c r="AD152" s="61"/>
    </row>
    <row r="153">
      <c r="A153" s="114" t="s">
        <v>29</v>
      </c>
      <c r="B153" s="83" t="s">
        <v>4096</v>
      </c>
      <c r="C153" s="83" t="s">
        <v>3930</v>
      </c>
      <c r="D153" s="83" t="s">
        <v>3935</v>
      </c>
      <c r="E153" s="33"/>
      <c r="F153" s="33"/>
      <c r="G153" s="33"/>
      <c r="H153" s="33" t="str">
        <f>IFERROR(__xludf.DUMMYFUNCTION("""COMPUTED_VALUE"""),"Школа 1985")</f>
        <v>Школа 1985</v>
      </c>
      <c r="I153" s="33"/>
      <c r="J153" s="33"/>
      <c r="K153" s="33"/>
      <c r="L153" s="33"/>
      <c r="M153" s="33"/>
      <c r="N153" s="61"/>
      <c r="O153" s="61"/>
      <c r="P153" s="61"/>
      <c r="Q153" s="33"/>
      <c r="R153" s="165"/>
      <c r="S153" s="165"/>
      <c r="T153" s="165"/>
      <c r="U153" s="33"/>
      <c r="V153" s="33"/>
      <c r="W153" s="33"/>
      <c r="X153" s="33"/>
      <c r="Y153" s="33"/>
      <c r="Z153" s="33"/>
      <c r="AA153" s="33"/>
      <c r="AB153" s="61"/>
      <c r="AC153" s="61"/>
      <c r="AD153" s="61"/>
    </row>
    <row r="154">
      <c r="A154" s="114" t="s">
        <v>29</v>
      </c>
      <c r="B154" s="83" t="s">
        <v>4097</v>
      </c>
      <c r="C154" s="83" t="s">
        <v>3483</v>
      </c>
      <c r="D154" s="83" t="s">
        <v>3616</v>
      </c>
      <c r="E154" s="33"/>
      <c r="F154" s="33"/>
      <c r="G154" s="33"/>
      <c r="H154" s="33" t="str">
        <f>IFERROR(__xludf.DUMMYFUNCTION("""COMPUTED_VALUE"""),"Школа 1995")</f>
        <v>Школа 1995</v>
      </c>
      <c r="I154" s="33"/>
      <c r="J154" s="33"/>
      <c r="K154" s="33"/>
      <c r="L154" s="33"/>
      <c r="M154" s="33"/>
      <c r="N154" s="61"/>
      <c r="O154" s="61"/>
      <c r="P154" s="61"/>
      <c r="Q154" s="33"/>
      <c r="R154" s="165"/>
      <c r="S154" s="165"/>
      <c r="T154" s="165"/>
      <c r="U154" s="33"/>
      <c r="V154" s="33"/>
      <c r="W154" s="33"/>
      <c r="X154" s="33"/>
      <c r="Y154" s="33"/>
      <c r="Z154" s="33"/>
      <c r="AA154" s="33"/>
      <c r="AB154" s="61"/>
      <c r="AC154" s="61"/>
      <c r="AD154" s="61"/>
    </row>
    <row r="155">
      <c r="A155" s="114" t="s">
        <v>29</v>
      </c>
      <c r="B155" s="83" t="s">
        <v>4098</v>
      </c>
      <c r="C155" s="83" t="s">
        <v>4099</v>
      </c>
      <c r="D155" s="83" t="s">
        <v>3616</v>
      </c>
      <c r="E155" s="33"/>
      <c r="F155" s="33"/>
      <c r="G155" s="33"/>
      <c r="H155" s="33" t="str">
        <f>IFERROR(__xludf.DUMMYFUNCTION("""COMPUTED_VALUE"""),"Школа 1998")</f>
        <v>Школа 1998</v>
      </c>
      <c r="I155" s="33"/>
      <c r="J155" s="33"/>
      <c r="K155" s="33"/>
      <c r="L155" s="33"/>
      <c r="M155" s="33"/>
      <c r="N155" s="61"/>
      <c r="O155" s="61"/>
      <c r="P155" s="61"/>
      <c r="Q155" s="33"/>
      <c r="R155" s="165"/>
      <c r="S155" s="165"/>
      <c r="T155" s="165"/>
      <c r="U155" s="33"/>
      <c r="V155" s="33"/>
      <c r="W155" s="33"/>
      <c r="X155" s="33"/>
      <c r="Y155" s="33"/>
      <c r="Z155" s="33"/>
      <c r="AA155" s="33"/>
      <c r="AB155" s="61"/>
      <c r="AC155" s="61"/>
      <c r="AD155" s="61"/>
    </row>
    <row r="156">
      <c r="A156" s="114" t="s">
        <v>29</v>
      </c>
      <c r="B156" s="83" t="s">
        <v>4100</v>
      </c>
      <c r="C156" s="83" t="s">
        <v>3337</v>
      </c>
      <c r="D156" s="83" t="s">
        <v>3616</v>
      </c>
      <c r="E156" s="33"/>
      <c r="F156" s="33"/>
      <c r="G156" s="33"/>
      <c r="H156" s="33" t="str">
        <f>IFERROR(__xludf.DUMMYFUNCTION("""COMPUTED_VALUE"""),"Школа 2000")</f>
        <v>Школа 2000</v>
      </c>
      <c r="I156" s="33"/>
      <c r="J156" s="33"/>
      <c r="K156" s="33"/>
      <c r="L156" s="33"/>
      <c r="M156" s="33"/>
      <c r="N156" s="61"/>
      <c r="O156" s="61"/>
      <c r="P156" s="61"/>
      <c r="Q156" s="33"/>
      <c r="R156" s="165"/>
      <c r="S156" s="165"/>
      <c r="T156" s="165"/>
      <c r="U156" s="33"/>
      <c r="V156" s="33"/>
      <c r="W156" s="33"/>
      <c r="X156" s="33"/>
      <c r="Y156" s="33"/>
      <c r="Z156" s="33"/>
      <c r="AA156" s="33"/>
      <c r="AB156" s="61"/>
      <c r="AC156" s="61"/>
      <c r="AD156" s="61"/>
    </row>
    <row r="157">
      <c r="A157" s="114" t="s">
        <v>29</v>
      </c>
      <c r="B157" s="83" t="s">
        <v>4101</v>
      </c>
      <c r="C157" s="83" t="s">
        <v>3659</v>
      </c>
      <c r="D157" s="83" t="s">
        <v>3616</v>
      </c>
      <c r="E157" s="33"/>
      <c r="F157" s="33"/>
      <c r="G157" s="33"/>
      <c r="H157" s="33" t="str">
        <f>IFERROR(__xludf.DUMMYFUNCTION("""COMPUTED_VALUE"""),"Школа 2005")</f>
        <v>Школа 2005</v>
      </c>
      <c r="I157" s="33"/>
      <c r="J157" s="33"/>
      <c r="K157" s="33"/>
      <c r="L157" s="33"/>
      <c r="M157" s="33"/>
      <c r="N157" s="61"/>
      <c r="O157" s="61"/>
      <c r="P157" s="61"/>
      <c r="Q157" s="33"/>
      <c r="R157" s="165"/>
      <c r="S157" s="165"/>
      <c r="T157" s="165"/>
      <c r="U157" s="33"/>
      <c r="V157" s="33"/>
      <c r="W157" s="33"/>
      <c r="X157" s="33"/>
      <c r="Y157" s="33"/>
      <c r="Z157" s="33"/>
      <c r="AA157" s="33"/>
      <c r="AB157" s="61"/>
      <c r="AC157" s="61"/>
      <c r="AD157" s="61"/>
    </row>
    <row r="158">
      <c r="A158" s="114" t="s">
        <v>29</v>
      </c>
      <c r="B158" s="83" t="s">
        <v>4102</v>
      </c>
      <c r="C158" s="83" t="s">
        <v>3421</v>
      </c>
      <c r="D158" s="83" t="s">
        <v>3616</v>
      </c>
      <c r="E158" s="33"/>
      <c r="F158" s="33"/>
      <c r="G158" s="33"/>
      <c r="H158" s="33" t="str">
        <f>IFERROR(__xludf.DUMMYFUNCTION("""COMPUTED_VALUE"""),"Школа 2006")</f>
        <v>Школа 2006</v>
      </c>
      <c r="I158" s="33"/>
      <c r="J158" s="33"/>
      <c r="K158" s="33"/>
      <c r="L158" s="33"/>
      <c r="M158" s="33"/>
      <c r="N158" s="61"/>
      <c r="O158" s="61"/>
      <c r="P158" s="61"/>
      <c r="Q158" s="33"/>
      <c r="R158" s="165"/>
      <c r="S158" s="165"/>
      <c r="T158" s="165"/>
      <c r="U158" s="33"/>
      <c r="V158" s="33"/>
      <c r="W158" s="33"/>
      <c r="X158" s="33"/>
      <c r="Y158" s="33"/>
      <c r="Z158" s="33"/>
      <c r="AA158" s="33"/>
      <c r="AB158" s="61"/>
      <c r="AC158" s="61"/>
      <c r="AD158" s="61"/>
    </row>
    <row r="159">
      <c r="A159" s="114" t="s">
        <v>29</v>
      </c>
      <c r="B159" s="83" t="s">
        <v>4103</v>
      </c>
      <c r="C159" s="83" t="s">
        <v>3610</v>
      </c>
      <c r="D159" s="83" t="s">
        <v>3616</v>
      </c>
      <c r="E159" s="33"/>
      <c r="F159" s="33"/>
      <c r="G159" s="33"/>
      <c r="H159" s="33" t="str">
        <f>IFERROR(__xludf.DUMMYFUNCTION("""COMPUTED_VALUE"""),"Школа 2009")</f>
        <v>Школа 2009</v>
      </c>
      <c r="I159" s="33"/>
      <c r="J159" s="33"/>
      <c r="K159" s="33"/>
      <c r="L159" s="33"/>
      <c r="M159" s="33"/>
      <c r="N159" s="61"/>
      <c r="O159" s="61"/>
      <c r="P159" s="61"/>
      <c r="Q159" s="33"/>
      <c r="R159" s="165"/>
      <c r="S159" s="165"/>
      <c r="T159" s="165"/>
      <c r="U159" s="33"/>
      <c r="V159" s="33"/>
      <c r="W159" s="33"/>
      <c r="X159" s="33"/>
      <c r="Y159" s="33"/>
      <c r="Z159" s="33"/>
      <c r="AA159" s="33"/>
      <c r="AB159" s="61"/>
      <c r="AC159" s="61"/>
      <c r="AD159" s="61"/>
    </row>
    <row r="160">
      <c r="A160" s="114" t="s">
        <v>29</v>
      </c>
      <c r="B160" s="83" t="s">
        <v>4104</v>
      </c>
      <c r="C160" s="83" t="s">
        <v>3357</v>
      </c>
      <c r="D160" s="83" t="s">
        <v>3616</v>
      </c>
      <c r="E160" s="33"/>
      <c r="F160" s="33"/>
      <c r="G160" s="33"/>
      <c r="H160" s="33" t="str">
        <f>IFERROR(__xludf.DUMMYFUNCTION("""COMPUTED_VALUE"""),"Школа 2010")</f>
        <v>Школа 2010</v>
      </c>
      <c r="I160" s="33"/>
      <c r="J160" s="33"/>
      <c r="K160" s="33"/>
      <c r="L160" s="33"/>
      <c r="M160" s="33"/>
      <c r="N160" s="61"/>
      <c r="O160" s="61"/>
      <c r="P160" s="61"/>
      <c r="Q160" s="33"/>
      <c r="R160" s="165"/>
      <c r="S160" s="165"/>
      <c r="T160" s="165"/>
      <c r="U160" s="33"/>
      <c r="V160" s="33"/>
      <c r="W160" s="33"/>
      <c r="X160" s="33"/>
      <c r="Y160" s="33"/>
      <c r="Z160" s="33"/>
      <c r="AA160" s="33"/>
      <c r="AB160" s="61"/>
      <c r="AC160" s="61"/>
      <c r="AD160" s="61"/>
    </row>
    <row r="161">
      <c r="A161" s="114" t="s">
        <v>29</v>
      </c>
      <c r="B161" s="83" t="s">
        <v>4105</v>
      </c>
      <c r="C161" s="83" t="s">
        <v>3725</v>
      </c>
      <c r="D161" s="83" t="s">
        <v>3616</v>
      </c>
      <c r="E161" s="33"/>
      <c r="F161" s="33"/>
      <c r="G161" s="33"/>
      <c r="H161" s="33" t="str">
        <f>IFERROR(__xludf.DUMMYFUNCTION("""COMPUTED_VALUE"""),"Школа 2025")</f>
        <v>Школа 2025</v>
      </c>
      <c r="I161" s="33"/>
      <c r="J161" s="33"/>
      <c r="K161" s="33"/>
      <c r="L161" s="33"/>
      <c r="M161" s="33"/>
      <c r="N161" s="61"/>
      <c r="O161" s="61"/>
      <c r="P161" s="61"/>
      <c r="Q161" s="33"/>
      <c r="R161" s="165"/>
      <c r="S161" s="165"/>
      <c r="T161" s="165"/>
      <c r="U161" s="33"/>
      <c r="V161" s="33"/>
      <c r="W161" s="33"/>
      <c r="X161" s="33"/>
      <c r="Y161" s="33"/>
      <c r="Z161" s="33"/>
      <c r="AA161" s="33"/>
      <c r="AB161" s="61"/>
      <c r="AC161" s="61"/>
      <c r="AD161" s="61"/>
    </row>
    <row r="162">
      <c r="A162" s="114" t="s">
        <v>29</v>
      </c>
      <c r="B162" s="83" t="s">
        <v>4106</v>
      </c>
      <c r="C162" s="83" t="s">
        <v>3524</v>
      </c>
      <c r="D162" s="83" t="s">
        <v>3935</v>
      </c>
      <c r="E162" s="33"/>
      <c r="F162" s="33"/>
      <c r="G162" s="33"/>
      <c r="H162" s="33" t="str">
        <f>IFERROR(__xludf.DUMMYFUNCTION("""COMPUTED_VALUE"""),"Школа 2030")</f>
        <v>Школа 2030</v>
      </c>
      <c r="I162" s="33"/>
      <c r="J162" s="33"/>
      <c r="K162" s="33"/>
      <c r="L162" s="33"/>
      <c r="M162" s="33"/>
      <c r="N162" s="61"/>
      <c r="O162" s="61"/>
      <c r="P162" s="61"/>
      <c r="Q162" s="33"/>
      <c r="R162" s="165"/>
      <c r="S162" s="165"/>
      <c r="T162" s="165"/>
      <c r="U162" s="33"/>
      <c r="V162" s="33"/>
      <c r="W162" s="33"/>
      <c r="X162" s="33"/>
      <c r="Y162" s="33"/>
      <c r="Z162" s="33"/>
      <c r="AA162" s="33"/>
      <c r="AB162" s="61"/>
      <c r="AC162" s="61"/>
      <c r="AD162" s="61"/>
    </row>
    <row r="163">
      <c r="A163" s="114" t="s">
        <v>29</v>
      </c>
      <c r="B163" s="83" t="s">
        <v>4107</v>
      </c>
      <c r="C163" s="83" t="s">
        <v>3793</v>
      </c>
      <c r="D163" s="83" t="s">
        <v>3939</v>
      </c>
      <c r="E163" s="33"/>
      <c r="F163" s="33"/>
      <c r="G163" s="33"/>
      <c r="H163" s="33" t="str">
        <f>IFERROR(__xludf.DUMMYFUNCTION("""COMPUTED_VALUE"""),"Школа 2031")</f>
        <v>Школа 2031</v>
      </c>
      <c r="I163" s="33"/>
      <c r="J163" s="33"/>
      <c r="K163" s="33"/>
      <c r="L163" s="33"/>
      <c r="M163" s="33"/>
      <c r="N163" s="61"/>
      <c r="O163" s="61"/>
      <c r="P163" s="61"/>
      <c r="Q163" s="33"/>
      <c r="R163" s="165"/>
      <c r="S163" s="165"/>
      <c r="T163" s="165"/>
      <c r="U163" s="33"/>
      <c r="V163" s="33"/>
      <c r="W163" s="33"/>
      <c r="X163" s="33"/>
      <c r="Y163" s="33"/>
      <c r="Z163" s="33"/>
      <c r="AA163" s="33"/>
      <c r="AB163" s="61"/>
      <c r="AC163" s="61"/>
      <c r="AD163" s="61"/>
    </row>
    <row r="164">
      <c r="A164" s="114" t="s">
        <v>29</v>
      </c>
      <c r="B164" s="83" t="s">
        <v>4108</v>
      </c>
      <c r="C164" s="83" t="s">
        <v>3660</v>
      </c>
      <c r="D164" s="83" t="s">
        <v>3616</v>
      </c>
      <c r="E164" s="33"/>
      <c r="F164" s="33"/>
      <c r="G164" s="33"/>
      <c r="H164" s="33" t="str">
        <f>IFERROR(__xludf.DUMMYFUNCTION("""COMPUTED_VALUE"""),"Школа 2033")</f>
        <v>Школа 2033</v>
      </c>
      <c r="I164" s="33"/>
      <c r="J164" s="33"/>
      <c r="K164" s="33"/>
      <c r="L164" s="33"/>
      <c r="M164" s="33"/>
      <c r="N164" s="61"/>
      <c r="O164" s="61"/>
      <c r="P164" s="61"/>
      <c r="Q164" s="33"/>
      <c r="R164" s="165"/>
      <c r="S164" s="165"/>
      <c r="T164" s="165"/>
      <c r="U164" s="33"/>
      <c r="V164" s="33"/>
      <c r="W164" s="33"/>
      <c r="X164" s="33"/>
      <c r="Y164" s="33"/>
      <c r="Z164" s="33"/>
      <c r="AA164" s="33"/>
      <c r="AB164" s="61"/>
      <c r="AC164" s="61"/>
      <c r="AD164" s="61"/>
    </row>
    <row r="165">
      <c r="A165" s="114" t="s">
        <v>29</v>
      </c>
      <c r="B165" s="83" t="s">
        <v>4109</v>
      </c>
      <c r="C165" s="83" t="s">
        <v>3726</v>
      </c>
      <c r="D165" s="83" t="s">
        <v>3616</v>
      </c>
      <c r="E165" s="33"/>
      <c r="F165" s="33"/>
      <c r="G165" s="33"/>
      <c r="H165" s="33" t="str">
        <f>IFERROR(__xludf.DUMMYFUNCTION("""COMPUTED_VALUE"""),"Школа 2044")</f>
        <v>Школа 2044</v>
      </c>
      <c r="I165" s="33"/>
      <c r="J165" s="33"/>
      <c r="K165" s="33"/>
      <c r="L165" s="33"/>
      <c r="M165" s="33"/>
      <c r="N165" s="61"/>
      <c r="O165" s="61"/>
      <c r="P165" s="61"/>
      <c r="Q165" s="33"/>
      <c r="R165" s="165"/>
      <c r="S165" s="165"/>
      <c r="T165" s="165"/>
      <c r="U165" s="33"/>
      <c r="V165" s="33"/>
      <c r="W165" s="33"/>
      <c r="X165" s="33"/>
      <c r="Y165" s="33"/>
      <c r="Z165" s="33"/>
      <c r="AA165" s="33"/>
      <c r="AB165" s="61"/>
      <c r="AC165" s="61"/>
      <c r="AD165" s="61"/>
    </row>
    <row r="166">
      <c r="A166" s="114" t="s">
        <v>29</v>
      </c>
      <c r="B166" s="83" t="s">
        <v>4110</v>
      </c>
      <c r="C166" s="83" t="s">
        <v>3358</v>
      </c>
      <c r="D166" s="83" t="s">
        <v>3616</v>
      </c>
      <c r="E166" s="33"/>
      <c r="F166" s="33"/>
      <c r="G166" s="33"/>
      <c r="H166" s="33" t="str">
        <f>IFERROR(__xludf.DUMMYFUNCTION("""COMPUTED_VALUE"""),"Школа 2045")</f>
        <v>Школа 2045</v>
      </c>
      <c r="I166" s="33"/>
      <c r="J166" s="33"/>
      <c r="K166" s="33"/>
      <c r="L166" s="33"/>
      <c r="M166" s="33"/>
      <c r="N166" s="61"/>
      <c r="O166" s="61"/>
      <c r="P166" s="61"/>
      <c r="Q166" s="33"/>
      <c r="R166" s="165"/>
      <c r="S166" s="165"/>
      <c r="T166" s="165"/>
      <c r="U166" s="33"/>
      <c r="V166" s="33"/>
      <c r="W166" s="33"/>
      <c r="X166" s="33"/>
      <c r="Y166" s="33"/>
      <c r="Z166" s="33"/>
      <c r="AA166" s="33"/>
      <c r="AB166" s="61"/>
      <c r="AC166" s="61"/>
      <c r="AD166" s="61"/>
    </row>
    <row r="167">
      <c r="A167" s="114" t="s">
        <v>29</v>
      </c>
      <c r="B167" s="83" t="s">
        <v>4111</v>
      </c>
      <c r="C167" s="83" t="s">
        <v>3451</v>
      </c>
      <c r="D167" s="83" t="s">
        <v>3616</v>
      </c>
      <c r="E167" s="33"/>
      <c r="F167" s="33"/>
      <c r="G167" s="33"/>
      <c r="H167" s="33" t="str">
        <f>IFERROR(__xludf.DUMMYFUNCTION("""COMPUTED_VALUE"""),"Школа 2048")</f>
        <v>Школа 2048</v>
      </c>
      <c r="I167" s="33"/>
      <c r="J167" s="33"/>
      <c r="K167" s="33"/>
      <c r="L167" s="33"/>
      <c r="M167" s="33"/>
      <c r="N167" s="61"/>
      <c r="O167" s="61"/>
      <c r="P167" s="61"/>
      <c r="Q167" s="33"/>
      <c r="R167" s="165"/>
      <c r="S167" s="165"/>
      <c r="T167" s="165"/>
      <c r="U167" s="33"/>
      <c r="V167" s="33"/>
      <c r="W167" s="33"/>
      <c r="X167" s="33"/>
      <c r="Y167" s="33"/>
      <c r="Z167" s="33"/>
      <c r="AA167" s="33"/>
      <c r="AB167" s="61"/>
      <c r="AC167" s="61"/>
      <c r="AD167" s="61"/>
    </row>
    <row r="168">
      <c r="A168" s="114" t="s">
        <v>29</v>
      </c>
      <c r="B168" s="83" t="s">
        <v>4112</v>
      </c>
      <c r="C168" s="83" t="s">
        <v>3727</v>
      </c>
      <c r="D168" s="83" t="s">
        <v>3616</v>
      </c>
      <c r="E168" s="33"/>
      <c r="F168" s="33"/>
      <c r="G168" s="33"/>
      <c r="H168" s="33" t="str">
        <f>IFERROR(__xludf.DUMMYFUNCTION("""COMPUTED_VALUE"""),"Школа 2065")</f>
        <v>Школа 2065</v>
      </c>
      <c r="I168" s="33"/>
      <c r="J168" s="33"/>
      <c r="K168" s="33"/>
      <c r="L168" s="33"/>
      <c r="M168" s="33"/>
      <c r="N168" s="61"/>
      <c r="O168" s="61"/>
      <c r="P168" s="61"/>
      <c r="Q168" s="33"/>
      <c r="R168" s="165"/>
      <c r="S168" s="165"/>
      <c r="T168" s="165"/>
      <c r="U168" s="33"/>
      <c r="V168" s="33"/>
      <c r="W168" s="33"/>
      <c r="X168" s="33"/>
      <c r="Y168" s="33"/>
      <c r="Z168" s="33"/>
      <c r="AA168" s="33"/>
      <c r="AB168" s="61"/>
      <c r="AC168" s="61"/>
      <c r="AD168" s="61"/>
    </row>
    <row r="169">
      <c r="A169" s="114" t="s">
        <v>29</v>
      </c>
      <c r="B169" s="83" t="s">
        <v>4113</v>
      </c>
      <c r="C169" s="83" t="s">
        <v>3663</v>
      </c>
      <c r="D169" s="83" t="s">
        <v>3616</v>
      </c>
      <c r="E169" s="33"/>
      <c r="F169" s="33"/>
      <c r="G169" s="33"/>
      <c r="H169" s="33" t="str">
        <f>IFERROR(__xludf.DUMMYFUNCTION("""COMPUTED_VALUE"""),"Школа 2070")</f>
        <v>Школа 2070</v>
      </c>
      <c r="I169" s="33"/>
      <c r="J169" s="33"/>
      <c r="K169" s="33"/>
      <c r="L169" s="33"/>
      <c r="M169" s="33"/>
      <c r="N169" s="61"/>
      <c r="O169" s="61"/>
      <c r="P169" s="61"/>
      <c r="Q169" s="33"/>
      <c r="R169" s="165"/>
      <c r="S169" s="165"/>
      <c r="T169" s="165"/>
      <c r="U169" s="33"/>
      <c r="V169" s="33"/>
      <c r="W169" s="33"/>
      <c r="X169" s="33"/>
      <c r="Y169" s="33"/>
      <c r="Z169" s="33"/>
      <c r="AA169" s="33"/>
      <c r="AB169" s="61"/>
      <c r="AC169" s="61"/>
      <c r="AD169" s="61"/>
    </row>
    <row r="170">
      <c r="A170" s="114" t="s">
        <v>29</v>
      </c>
      <c r="B170" s="83" t="s">
        <v>4114</v>
      </c>
      <c r="C170" s="83" t="s">
        <v>3575</v>
      </c>
      <c r="D170" s="83" t="s">
        <v>3616</v>
      </c>
      <c r="E170" s="33"/>
      <c r="F170" s="33"/>
      <c r="G170" s="33"/>
      <c r="H170" s="33" t="str">
        <f>IFERROR(__xludf.DUMMYFUNCTION("""COMPUTED_VALUE"""),"Школа 2072")</f>
        <v>Школа 2072</v>
      </c>
      <c r="I170" s="33"/>
      <c r="J170" s="33"/>
      <c r="K170" s="33"/>
      <c r="L170" s="33"/>
      <c r="M170" s="33"/>
      <c r="N170" s="61"/>
      <c r="O170" s="61"/>
      <c r="P170" s="61"/>
      <c r="Q170" s="33"/>
      <c r="R170" s="165"/>
      <c r="S170" s="165"/>
      <c r="T170" s="165"/>
      <c r="U170" s="33"/>
      <c r="V170" s="33"/>
      <c r="W170" s="33"/>
      <c r="X170" s="33"/>
      <c r="Y170" s="33"/>
      <c r="Z170" s="33"/>
      <c r="AA170" s="33"/>
      <c r="AB170" s="61"/>
      <c r="AC170" s="61"/>
      <c r="AD170" s="61"/>
    </row>
    <row r="171">
      <c r="A171" s="114" t="s">
        <v>29</v>
      </c>
      <c r="B171" s="83" t="s">
        <v>4115</v>
      </c>
      <c r="C171" s="83" t="s">
        <v>3728</v>
      </c>
      <c r="D171" s="83" t="s">
        <v>3616</v>
      </c>
      <c r="E171" s="33"/>
      <c r="F171" s="33"/>
      <c r="G171" s="33"/>
      <c r="H171" s="33" t="str">
        <f>IFERROR(__xludf.DUMMYFUNCTION("""COMPUTED_VALUE"""),"Школа 2083")</f>
        <v>Школа 2083</v>
      </c>
      <c r="I171" s="33"/>
      <c r="J171" s="33"/>
      <c r="K171" s="33"/>
      <c r="L171" s="33"/>
      <c r="M171" s="33"/>
      <c r="N171" s="61"/>
      <c r="O171" s="61"/>
      <c r="P171" s="61"/>
      <c r="Q171" s="33"/>
      <c r="R171" s="165"/>
      <c r="S171" s="165"/>
      <c r="T171" s="165"/>
      <c r="U171" s="33"/>
      <c r="V171" s="33"/>
      <c r="W171" s="33"/>
      <c r="X171" s="33"/>
      <c r="Y171" s="33"/>
      <c r="Z171" s="33"/>
      <c r="AA171" s="33"/>
      <c r="AB171" s="61"/>
      <c r="AC171" s="61"/>
      <c r="AD171" s="61"/>
    </row>
    <row r="172">
      <c r="A172" s="114" t="s">
        <v>29</v>
      </c>
      <c r="B172" s="83" t="s">
        <v>4116</v>
      </c>
      <c r="C172" s="83" t="s">
        <v>3612</v>
      </c>
      <c r="D172" s="83" t="s">
        <v>3616</v>
      </c>
      <c r="E172" s="33"/>
      <c r="F172" s="33"/>
      <c r="G172" s="33"/>
      <c r="H172" s="33" t="str">
        <f>IFERROR(__xludf.DUMMYFUNCTION("""COMPUTED_VALUE"""),"Школа 2086")</f>
        <v>Школа 2086</v>
      </c>
      <c r="I172" s="33"/>
      <c r="J172" s="33"/>
      <c r="K172" s="33"/>
      <c r="L172" s="33"/>
      <c r="M172" s="33"/>
      <c r="N172" s="61"/>
      <c r="O172" s="61"/>
      <c r="P172" s="61"/>
      <c r="Q172" s="33"/>
      <c r="R172" s="165"/>
      <c r="S172" s="165"/>
      <c r="T172" s="165"/>
      <c r="U172" s="33"/>
      <c r="V172" s="33"/>
      <c r="W172" s="33"/>
      <c r="X172" s="33"/>
      <c r="Y172" s="33"/>
      <c r="Z172" s="33"/>
      <c r="AA172" s="33"/>
      <c r="AB172" s="61"/>
      <c r="AC172" s="61"/>
      <c r="AD172" s="61"/>
    </row>
    <row r="173">
      <c r="A173" s="114" t="s">
        <v>29</v>
      </c>
      <c r="B173" s="83" t="s">
        <v>4117</v>
      </c>
      <c r="C173" s="83" t="s">
        <v>3664</v>
      </c>
      <c r="D173" s="83" t="s">
        <v>3616</v>
      </c>
      <c r="E173" s="33"/>
      <c r="F173" s="33"/>
      <c r="G173" s="33"/>
      <c r="H173" s="33" t="str">
        <f>IFERROR(__xludf.DUMMYFUNCTION("""COMPUTED_VALUE"""),"Школа 2087")</f>
        <v>Школа 2087</v>
      </c>
      <c r="I173" s="33"/>
      <c r="J173" s="33"/>
      <c r="K173" s="33"/>
      <c r="L173" s="33"/>
      <c r="M173" s="33"/>
      <c r="N173" s="61"/>
      <c r="O173" s="61"/>
      <c r="P173" s="61"/>
      <c r="Q173" s="33"/>
      <c r="R173" s="165"/>
      <c r="S173" s="165"/>
      <c r="T173" s="165"/>
      <c r="U173" s="33"/>
      <c r="V173" s="33"/>
      <c r="W173" s="33"/>
      <c r="X173" s="33"/>
      <c r="Y173" s="33"/>
      <c r="Z173" s="33"/>
      <c r="AA173" s="33"/>
      <c r="AB173" s="61"/>
      <c r="AC173" s="61"/>
      <c r="AD173" s="61"/>
    </row>
    <row r="174">
      <c r="A174" s="114" t="s">
        <v>29</v>
      </c>
      <c r="B174" s="83" t="s">
        <v>4118</v>
      </c>
      <c r="C174" s="83" t="s">
        <v>3729</v>
      </c>
      <c r="D174" s="83" t="s">
        <v>3616</v>
      </c>
      <c r="E174" s="33"/>
      <c r="F174" s="33"/>
      <c r="G174" s="33"/>
      <c r="H174" s="33" t="str">
        <f>IFERROR(__xludf.DUMMYFUNCTION("""COMPUTED_VALUE"""),"Школа 2089")</f>
        <v>Школа 2089</v>
      </c>
      <c r="I174" s="33"/>
      <c r="J174" s="33"/>
      <c r="K174" s="33"/>
      <c r="L174" s="33"/>
      <c r="M174" s="33"/>
      <c r="N174" s="61"/>
      <c r="O174" s="61"/>
      <c r="P174" s="61"/>
      <c r="Q174" s="33"/>
      <c r="R174" s="165"/>
      <c r="S174" s="165"/>
      <c r="T174" s="165"/>
      <c r="U174" s="33"/>
      <c r="V174" s="33"/>
      <c r="W174" s="33"/>
      <c r="X174" s="33"/>
      <c r="Y174" s="33"/>
      <c r="Z174" s="33"/>
      <c r="AA174" s="33"/>
      <c r="AB174" s="61"/>
      <c r="AC174" s="61"/>
      <c r="AD174" s="61"/>
    </row>
    <row r="175">
      <c r="A175" s="114" t="s">
        <v>29</v>
      </c>
      <c r="B175" s="83" t="s">
        <v>4119</v>
      </c>
      <c r="C175" s="83" t="s">
        <v>3804</v>
      </c>
      <c r="D175" s="83" t="s">
        <v>3616</v>
      </c>
      <c r="E175" s="33"/>
      <c r="F175" s="33"/>
      <c r="G175" s="33"/>
      <c r="H175" s="33" t="str">
        <f>IFERROR(__xludf.DUMMYFUNCTION("""COMPUTED_VALUE"""),"Школа 2090")</f>
        <v>Школа 2090</v>
      </c>
      <c r="I175" s="33"/>
      <c r="J175" s="33"/>
      <c r="K175" s="33"/>
      <c r="L175" s="33"/>
      <c r="M175" s="33"/>
      <c r="N175" s="61"/>
      <c r="O175" s="61"/>
      <c r="P175" s="61"/>
      <c r="Q175" s="33"/>
      <c r="R175" s="165"/>
      <c r="S175" s="165"/>
      <c r="T175" s="165"/>
      <c r="U175" s="33"/>
      <c r="V175" s="33"/>
      <c r="W175" s="33"/>
      <c r="X175" s="33"/>
      <c r="Y175" s="33"/>
      <c r="Z175" s="33"/>
      <c r="AA175" s="33"/>
      <c r="AB175" s="61"/>
      <c r="AC175" s="61"/>
      <c r="AD175" s="61"/>
    </row>
    <row r="176">
      <c r="A176" s="114" t="s">
        <v>29</v>
      </c>
      <c r="B176" s="83" t="s">
        <v>4120</v>
      </c>
      <c r="C176" s="83" t="s">
        <v>3815</v>
      </c>
      <c r="D176" s="83" t="s">
        <v>3616</v>
      </c>
      <c r="E176" s="33"/>
      <c r="F176" s="33"/>
      <c r="G176" s="33"/>
      <c r="H176" s="33" t="str">
        <f>IFERROR(__xludf.DUMMYFUNCTION("""COMPUTED_VALUE"""),"Школа 2094")</f>
        <v>Школа 2094</v>
      </c>
      <c r="I176" s="33"/>
      <c r="J176" s="33"/>
      <c r="K176" s="33"/>
      <c r="L176" s="33"/>
      <c r="M176" s="33"/>
      <c r="N176" s="61"/>
      <c r="O176" s="61"/>
      <c r="P176" s="61"/>
      <c r="Q176" s="33"/>
      <c r="R176" s="165"/>
      <c r="S176" s="165"/>
      <c r="T176" s="165"/>
      <c r="U176" s="33"/>
      <c r="V176" s="33"/>
      <c r="W176" s="33"/>
      <c r="X176" s="33"/>
      <c r="Y176" s="33"/>
      <c r="Z176" s="33"/>
      <c r="AA176" s="33"/>
      <c r="AB176" s="61"/>
      <c r="AC176" s="61"/>
      <c r="AD176" s="61"/>
    </row>
    <row r="177">
      <c r="A177" s="114" t="s">
        <v>29</v>
      </c>
      <c r="B177" s="83" t="s">
        <v>4121</v>
      </c>
      <c r="C177" s="83" t="s">
        <v>3665</v>
      </c>
      <c r="D177" s="83" t="s">
        <v>3616</v>
      </c>
      <c r="E177" s="33"/>
      <c r="F177" s="33"/>
      <c r="G177" s="33"/>
      <c r="H177" s="33" t="str">
        <f>IFERROR(__xludf.DUMMYFUNCTION("""COMPUTED_VALUE"""),"Школа 2097")</f>
        <v>Школа 2097</v>
      </c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61"/>
      <c r="AC177" s="61"/>
      <c r="AD177" s="61"/>
    </row>
    <row r="178">
      <c r="A178" s="114" t="s">
        <v>29</v>
      </c>
      <c r="B178" s="83" t="s">
        <v>4122</v>
      </c>
      <c r="C178" s="83" t="s">
        <v>3666</v>
      </c>
      <c r="D178" s="83" t="s">
        <v>3616</v>
      </c>
      <c r="E178" s="33"/>
      <c r="F178" s="33"/>
      <c r="G178" s="33"/>
      <c r="H178" s="33" t="str">
        <f>IFERROR(__xludf.DUMMYFUNCTION("""COMPUTED_VALUE"""),"Школа 2098")</f>
        <v>Школа 2098</v>
      </c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61"/>
      <c r="AC178" s="61"/>
      <c r="AD178" s="61"/>
    </row>
    <row r="179">
      <c r="A179" s="114" t="s">
        <v>29</v>
      </c>
      <c r="B179" s="83" t="s">
        <v>4123</v>
      </c>
      <c r="C179" s="83" t="s">
        <v>3485</v>
      </c>
      <c r="D179" s="83" t="s">
        <v>3616</v>
      </c>
      <c r="E179" s="33"/>
      <c r="F179" s="33"/>
      <c r="G179" s="33"/>
      <c r="H179" s="33" t="str">
        <f>IFERROR(__xludf.DUMMYFUNCTION("""COMPUTED_VALUE"""),"Школа 2101")</f>
        <v>Школа 2101</v>
      </c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61"/>
      <c r="AC179" s="61"/>
      <c r="AD179" s="61"/>
    </row>
    <row r="180">
      <c r="A180" s="114" t="s">
        <v>29</v>
      </c>
      <c r="B180" s="83" t="s">
        <v>4124</v>
      </c>
      <c r="C180" s="83" t="s">
        <v>3614</v>
      </c>
      <c r="D180" s="83" t="s">
        <v>3616</v>
      </c>
      <c r="E180" s="33"/>
      <c r="F180" s="33"/>
      <c r="G180" s="33"/>
      <c r="H180" s="33" t="str">
        <f>IFERROR(__xludf.DUMMYFUNCTION("""COMPUTED_VALUE"""),"Школа 2107")</f>
        <v>Школа 2107</v>
      </c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61"/>
      <c r="AC180" s="61"/>
      <c r="AD180" s="61"/>
    </row>
    <row r="181">
      <c r="A181" s="114" t="s">
        <v>29</v>
      </c>
      <c r="B181" s="83" t="s">
        <v>4125</v>
      </c>
      <c r="C181" s="83" t="s">
        <v>3730</v>
      </c>
      <c r="D181" s="83" t="s">
        <v>3616</v>
      </c>
      <c r="E181" s="33"/>
      <c r="F181" s="33"/>
      <c r="G181" s="33"/>
      <c r="H181" s="33" t="str">
        <f>IFERROR(__xludf.DUMMYFUNCTION("""COMPUTED_VALUE"""),"Школа 2109")</f>
        <v>Школа 2109</v>
      </c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61"/>
      <c r="AC181" s="61"/>
      <c r="AD181" s="61"/>
    </row>
    <row r="182">
      <c r="A182" s="114" t="s">
        <v>29</v>
      </c>
      <c r="B182" s="83" t="s">
        <v>4126</v>
      </c>
      <c r="C182" s="83" t="s">
        <v>3731</v>
      </c>
      <c r="D182" s="83" t="s">
        <v>3616</v>
      </c>
      <c r="E182" s="33"/>
      <c r="F182" s="33"/>
      <c r="G182" s="33"/>
      <c r="H182" s="33" t="str">
        <f>IFERROR(__xludf.DUMMYFUNCTION("""COMPUTED_VALUE"""),"Школа 2114")</f>
        <v>Школа 2114</v>
      </c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61"/>
      <c r="AC182" s="61"/>
      <c r="AD182" s="61"/>
    </row>
    <row r="183">
      <c r="A183" s="114" t="s">
        <v>29</v>
      </c>
      <c r="B183" s="83" t="s">
        <v>4127</v>
      </c>
      <c r="C183" s="83" t="s">
        <v>3338</v>
      </c>
      <c r="D183" s="83" t="s">
        <v>3935</v>
      </c>
      <c r="E183" s="33"/>
      <c r="F183" s="33"/>
      <c r="G183" s="33"/>
      <c r="H183" s="33" t="str">
        <f>IFERROR(__xludf.DUMMYFUNCTION("""COMPUTED_VALUE"""),"Школа 2115")</f>
        <v>Школа 2115</v>
      </c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61"/>
      <c r="AC183" s="61"/>
      <c r="AD183" s="61"/>
    </row>
    <row r="184">
      <c r="A184" s="114" t="s">
        <v>29</v>
      </c>
      <c r="B184" s="83" t="s">
        <v>4128</v>
      </c>
      <c r="C184" s="83" t="s">
        <v>3732</v>
      </c>
      <c r="D184" s="83" t="s">
        <v>3616</v>
      </c>
      <c r="E184" s="33"/>
      <c r="F184" s="33"/>
      <c r="G184" s="33"/>
      <c r="H184" s="33" t="str">
        <f>IFERROR(__xludf.DUMMYFUNCTION("""COMPUTED_VALUE"""),"Школа 2116")</f>
        <v>Школа 2116</v>
      </c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61"/>
      <c r="AC184" s="61"/>
      <c r="AD184" s="61"/>
    </row>
    <row r="185">
      <c r="A185" s="114" t="s">
        <v>29</v>
      </c>
      <c r="B185" s="83" t="s">
        <v>4129</v>
      </c>
      <c r="C185" s="83" t="s">
        <v>3805</v>
      </c>
      <c r="D185" s="83" t="s">
        <v>3935</v>
      </c>
      <c r="E185" s="33"/>
      <c r="F185" s="33"/>
      <c r="G185" s="33"/>
      <c r="H185" s="33" t="str">
        <f>IFERROR(__xludf.DUMMYFUNCTION("""COMPUTED_VALUE"""),"Школа 2117")</f>
        <v>Школа 2117</v>
      </c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61"/>
      <c r="AC185" s="61"/>
      <c r="AD185" s="61"/>
    </row>
    <row r="186">
      <c r="A186" s="114" t="s">
        <v>29</v>
      </c>
      <c r="B186" s="83" t="s">
        <v>4130</v>
      </c>
      <c r="C186" s="83" t="s">
        <v>3426</v>
      </c>
      <c r="D186" s="83" t="s">
        <v>3616</v>
      </c>
      <c r="E186" s="33"/>
      <c r="F186" s="33"/>
      <c r="G186" s="33"/>
      <c r="H186" s="33" t="str">
        <f>IFERROR(__xludf.DUMMYFUNCTION("""COMPUTED_VALUE"""),"Школа 2120")</f>
        <v>Школа 2120</v>
      </c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61"/>
      <c r="AC186" s="61"/>
      <c r="AD186" s="61"/>
    </row>
    <row r="187">
      <c r="A187" s="114" t="s">
        <v>29</v>
      </c>
      <c r="B187" s="83" t="s">
        <v>4131</v>
      </c>
      <c r="C187" s="83" t="s">
        <v>3733</v>
      </c>
      <c r="D187" s="83" t="s">
        <v>3616</v>
      </c>
      <c r="E187" s="33"/>
      <c r="F187" s="33"/>
      <c r="G187" s="33"/>
      <c r="H187" s="33" t="str">
        <f>IFERROR(__xludf.DUMMYFUNCTION("""COMPUTED_VALUE"""),"Школа 2121")</f>
        <v>Школа 2121</v>
      </c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61"/>
      <c r="AC187" s="61"/>
      <c r="AD187" s="61"/>
    </row>
    <row r="188">
      <c r="A188" s="114" t="s">
        <v>29</v>
      </c>
      <c r="B188" s="83" t="s">
        <v>4132</v>
      </c>
      <c r="C188" s="83" t="s">
        <v>3453</v>
      </c>
      <c r="D188" s="83" t="s">
        <v>3616</v>
      </c>
      <c r="E188" s="33"/>
      <c r="F188" s="33"/>
      <c r="G188" s="33"/>
      <c r="H188" s="33" t="str">
        <f>IFERROR(__xludf.DUMMYFUNCTION("""COMPUTED_VALUE"""),"Школа 2127")</f>
        <v>Школа 2127</v>
      </c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61"/>
      <c r="AC188" s="61"/>
      <c r="AD188" s="61"/>
    </row>
    <row r="189">
      <c r="A189" s="114" t="s">
        <v>29</v>
      </c>
      <c r="B189" s="83" t="s">
        <v>4133</v>
      </c>
      <c r="C189" s="83" t="s">
        <v>4134</v>
      </c>
      <c r="D189" s="83" t="s">
        <v>3935</v>
      </c>
      <c r="E189" s="33"/>
      <c r="F189" s="33"/>
      <c r="G189" s="33"/>
      <c r="H189" s="33" t="str">
        <f>IFERROR(__xludf.DUMMYFUNCTION("""COMPUTED_VALUE"""),"Гимназия г. Троицка")</f>
        <v>Гимназия г. Троицка</v>
      </c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61"/>
      <c r="AC189" s="61"/>
      <c r="AD189" s="61"/>
    </row>
    <row r="190">
      <c r="A190" s="114" t="s">
        <v>29</v>
      </c>
      <c r="B190" s="83" t="s">
        <v>4135</v>
      </c>
      <c r="C190" s="83" t="s">
        <v>4136</v>
      </c>
      <c r="D190" s="83" t="s">
        <v>3939</v>
      </c>
      <c r="E190" s="33"/>
      <c r="F190" s="33"/>
      <c r="G190" s="33"/>
      <c r="H190" s="33" t="str">
        <f>IFERROR(__xludf.DUMMYFUNCTION("""COMPUTED_VALUE"""),"Лицей города Троицка")</f>
        <v>Лицей города Троицка</v>
      </c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61"/>
      <c r="AC190" s="61"/>
      <c r="AD190" s="61"/>
    </row>
    <row r="191">
      <c r="A191" s="114" t="s">
        <v>29</v>
      </c>
      <c r="B191" s="83" t="s">
        <v>4137</v>
      </c>
      <c r="C191" s="83" t="s">
        <v>3429</v>
      </c>
      <c r="D191" s="83" t="s">
        <v>3616</v>
      </c>
      <c r="E191" s="33"/>
      <c r="F191" s="33"/>
      <c r="G191" s="33"/>
      <c r="H191" s="33" t="str">
        <f>IFERROR(__xludf.DUMMYFUNCTION("""COMPUTED_VALUE"""),"Инженерно-техническая школа им. дважды Героя Советского Союза П. Р. Поповича")</f>
        <v>Инженерно-техническая школа им. дважды Героя Советского Союза П. Р. Поповича</v>
      </c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61"/>
      <c r="AC191" s="61"/>
      <c r="AD191" s="61"/>
    </row>
    <row r="192">
      <c r="A192" s="114" t="s">
        <v>29</v>
      </c>
      <c r="B192" s="83" t="s">
        <v>4138</v>
      </c>
      <c r="C192" s="83" t="s">
        <v>3667</v>
      </c>
      <c r="D192" s="83" t="s">
        <v>3616</v>
      </c>
      <c r="E192" s="33"/>
      <c r="F192" s="33"/>
      <c r="G192" s="33"/>
      <c r="H192" s="33" t="str">
        <f>IFERROR(__xludf.DUMMYFUNCTION("""COMPUTED_VALUE"""),"Курчатовская школа")</f>
        <v>Курчатовская школа</v>
      </c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61"/>
      <c r="AC192" s="61"/>
      <c r="AD192" s="61"/>
    </row>
    <row r="193">
      <c r="A193" s="114" t="s">
        <v>29</v>
      </c>
      <c r="B193" s="83" t="s">
        <v>4139</v>
      </c>
      <c r="C193" s="83" t="s">
        <v>3670</v>
      </c>
      <c r="D193" s="83" t="s">
        <v>3616</v>
      </c>
      <c r="E193" s="33"/>
      <c r="F193" s="33"/>
      <c r="G193" s="33"/>
      <c r="H193" s="33" t="str">
        <f>IFERROR(__xludf.DUMMYFUNCTION("""COMPUTED_VALUE"""),"Образовательный центр Протон")</f>
        <v>Образовательный центр Протон</v>
      </c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61"/>
      <c r="AC193" s="61"/>
      <c r="AD193" s="61"/>
    </row>
    <row r="194">
      <c r="A194" s="114" t="s">
        <v>29</v>
      </c>
      <c r="B194" s="83" t="s">
        <v>4140</v>
      </c>
      <c r="C194" s="83" t="s">
        <v>3486</v>
      </c>
      <c r="D194" s="83" t="s">
        <v>3616</v>
      </c>
      <c r="E194" s="33"/>
      <c r="F194" s="33"/>
      <c r="G194" s="33"/>
      <c r="H194" s="33" t="str">
        <f>IFERROR(__xludf.DUMMYFUNCTION("""COMPUTED_VALUE"""),"Школа Дмитровский им. Героя Советского Союза В. П. Кислякова")</f>
        <v>Школа Дмитровский им. Героя Советского Союза В. П. Кислякова</v>
      </c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61"/>
      <c r="AC194" s="61"/>
      <c r="AD194" s="61"/>
    </row>
    <row r="195">
      <c r="A195" s="114" t="s">
        <v>29</v>
      </c>
      <c r="B195" s="83" t="s">
        <v>4141</v>
      </c>
      <c r="C195" s="83" t="s">
        <v>3673</v>
      </c>
      <c r="D195" s="83" t="s">
        <v>3616</v>
      </c>
      <c r="E195" s="33"/>
      <c r="F195" s="33"/>
      <c r="G195" s="33"/>
      <c r="H195" s="33" t="str">
        <f>IFERROR(__xludf.DUMMYFUNCTION("""COMPUTED_VALUE"""),"Школа Интеграл")</f>
        <v>Школа Интеграл</v>
      </c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61"/>
      <c r="AC195" s="61"/>
      <c r="AD195" s="61"/>
    </row>
    <row r="196">
      <c r="A196" s="114" t="s">
        <v>29</v>
      </c>
      <c r="B196" s="83" t="s">
        <v>4142</v>
      </c>
      <c r="C196" s="83" t="s">
        <v>3671</v>
      </c>
      <c r="D196" s="83" t="s">
        <v>3616</v>
      </c>
      <c r="E196" s="33"/>
      <c r="F196" s="33"/>
      <c r="G196" s="33"/>
      <c r="H196" s="33" t="str">
        <f>IFERROR(__xludf.DUMMYFUNCTION("""COMPUTED_VALUE"""),"Школа Покровский квартал")</f>
        <v>Школа Покровский квартал</v>
      </c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61"/>
      <c r="AC196" s="61"/>
      <c r="AD196" s="61"/>
    </row>
    <row r="197">
      <c r="A197" s="114" t="s">
        <v>29</v>
      </c>
      <c r="B197" s="83" t="s">
        <v>4143</v>
      </c>
      <c r="C197" s="83" t="s">
        <v>3576</v>
      </c>
      <c r="D197" s="83" t="s">
        <v>3616</v>
      </c>
      <c r="E197" s="33"/>
      <c r="F197" s="33"/>
      <c r="G197" s="33"/>
      <c r="H197" s="33" t="str">
        <f>IFERROR(__xludf.DUMMYFUNCTION("""COMPUTED_VALUE"""),"Школа Свиблово")</f>
        <v>Школа Свиблово</v>
      </c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61"/>
      <c r="AC197" s="61"/>
      <c r="AD197" s="61"/>
    </row>
    <row r="198">
      <c r="A198" s="114" t="s">
        <v>29</v>
      </c>
      <c r="B198" s="83" t="s">
        <v>4144</v>
      </c>
      <c r="C198" s="83" t="s">
        <v>3668</v>
      </c>
      <c r="D198" s="83" t="s">
        <v>3616</v>
      </c>
      <c r="E198" s="33"/>
      <c r="F198" s="33"/>
      <c r="G198" s="33"/>
      <c r="H198" s="33" t="str">
        <f>IFERROR(__xludf.DUMMYFUNCTION("""COMPUTED_VALUE"""),"Школа в Некрасовке")</f>
        <v>Школа в Некрасовке</v>
      </c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61"/>
      <c r="AC198" s="61"/>
      <c r="AD198" s="61"/>
    </row>
    <row r="199">
      <c r="A199" s="114" t="s">
        <v>29</v>
      </c>
      <c r="B199" s="83" t="s">
        <v>4145</v>
      </c>
      <c r="C199" s="83" t="s">
        <v>3734</v>
      </c>
      <c r="D199" s="83" t="s">
        <v>3616</v>
      </c>
      <c r="E199" s="33"/>
      <c r="F199" s="33"/>
      <c r="G199" s="33"/>
      <c r="H199" s="33" t="str">
        <f>IFERROR(__xludf.DUMMYFUNCTION("""COMPUTED_VALUE"""),"Школа Глория")</f>
        <v>Школа Глория</v>
      </c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61"/>
      <c r="AC199" s="61"/>
      <c r="AD199" s="61"/>
    </row>
    <row r="200">
      <c r="A200" s="114" t="s">
        <v>29</v>
      </c>
      <c r="B200" s="83" t="s">
        <v>4146</v>
      </c>
      <c r="C200" s="83" t="s">
        <v>3531</v>
      </c>
      <c r="D200" s="83" t="s">
        <v>3616</v>
      </c>
      <c r="E200" s="33"/>
      <c r="F200" s="33"/>
      <c r="G200" s="33"/>
      <c r="H200" s="33" t="str">
        <f>IFERROR(__xludf.DUMMYFUNCTION("""COMPUTED_VALUE"""),"Школа им. Н. М. Карамзина")</f>
        <v>Школа им. Н. М. Карамзина</v>
      </c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61"/>
      <c r="AC200" s="61"/>
      <c r="AD200" s="61"/>
    </row>
    <row r="201">
      <c r="A201" s="114" t="s">
        <v>29</v>
      </c>
      <c r="B201" s="83" t="s">
        <v>4147</v>
      </c>
      <c r="C201" s="83" t="s">
        <v>3578</v>
      </c>
      <c r="D201" s="83" t="s">
        <v>3616</v>
      </c>
      <c r="E201" s="33"/>
      <c r="F201" s="33"/>
      <c r="G201" s="33"/>
      <c r="H201" s="33" t="str">
        <f>IFERROR(__xludf.DUMMYFUNCTION("""COMPUTED_VALUE"""),"Школа им. Артема Боровика")</f>
        <v>Школа им. Артема Боровика</v>
      </c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61"/>
      <c r="AC201" s="61"/>
      <c r="AD201" s="61"/>
    </row>
    <row r="202">
      <c r="A202" s="114" t="s">
        <v>29</v>
      </c>
      <c r="B202" s="83" t="s">
        <v>4148</v>
      </c>
      <c r="C202" s="83" t="s">
        <v>3367</v>
      </c>
      <c r="D202" s="83" t="s">
        <v>3616</v>
      </c>
      <c r="E202" s="33"/>
      <c r="F202" s="33"/>
      <c r="G202" s="33"/>
      <c r="H202" s="33" t="str">
        <f>IFERROR(__xludf.DUMMYFUNCTION("""COMPUTED_VALUE"""),"Школа им. В. В. Маяковского")</f>
        <v>Школа им. В. В. Маяковского</v>
      </c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61"/>
      <c r="AC202" s="61"/>
      <c r="AD202" s="61"/>
    </row>
    <row r="203">
      <c r="A203" s="114" t="s">
        <v>29</v>
      </c>
      <c r="B203" s="83" t="s">
        <v>4149</v>
      </c>
      <c r="C203" s="83" t="s">
        <v>3672</v>
      </c>
      <c r="D203" s="83" t="s">
        <v>3935</v>
      </c>
      <c r="E203" s="33"/>
      <c r="F203" s="33"/>
      <c r="G203" s="33"/>
      <c r="H203" s="33" t="str">
        <f>IFERROR(__xludf.DUMMYFUNCTION("""COMPUTED_VALUE"""),"Школа Марьина Роща им. В. Ф. Орлова")</f>
        <v>Школа Марьина Роща им. В. Ф. Орлова</v>
      </c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61"/>
      <c r="AC203" s="61"/>
      <c r="AD203" s="61"/>
    </row>
    <row r="204">
      <c r="A204" s="114" t="s">
        <v>29</v>
      </c>
      <c r="B204" s="83" t="s">
        <v>4150</v>
      </c>
      <c r="C204" s="83" t="s">
        <v>3735</v>
      </c>
      <c r="D204" s="83" t="s">
        <v>3616</v>
      </c>
      <c r="E204" s="33"/>
      <c r="F204" s="33"/>
      <c r="G204" s="33"/>
      <c r="H204" s="33" t="str">
        <f>IFERROR(__xludf.DUMMYFUNCTION("""COMPUTED_VALUE"""),"Школа на проспекте Вернадского")</f>
        <v>Школа на проспекте Вернадского</v>
      </c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61"/>
      <c r="AC204" s="61"/>
      <c r="AD204" s="61"/>
    </row>
    <row r="205">
      <c r="A205" s="114" t="s">
        <v>29</v>
      </c>
      <c r="B205" s="83" t="s">
        <v>4151</v>
      </c>
      <c r="C205" s="83" t="s">
        <v>3490</v>
      </c>
      <c r="D205" s="83" t="s">
        <v>3939</v>
      </c>
      <c r="E205" s="33"/>
      <c r="F205" s="33"/>
      <c r="G205" s="33"/>
      <c r="H205" s="33" t="str">
        <f>IFERROR(__xludf.DUMMYFUNCTION("""COMPUTED_VALUE"""),"Школа на Юго-Востоке им. Маршала В. И. Чуйкова")</f>
        <v>Школа на Юго-Востоке им. Маршала В. И. Чуйкова</v>
      </c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61"/>
      <c r="AC205" s="61"/>
      <c r="AD205" s="61"/>
    </row>
    <row r="206">
      <c r="A206" s="114" t="s">
        <v>29</v>
      </c>
      <c r="B206" s="83" t="s">
        <v>4152</v>
      </c>
      <c r="C206" s="83" t="s">
        <v>3528</v>
      </c>
      <c r="D206" s="83" t="s">
        <v>3616</v>
      </c>
      <c r="E206" s="33"/>
      <c r="F206" s="33"/>
      <c r="G206" s="33"/>
      <c r="H206" s="33" t="str">
        <f>IFERROR(__xludf.DUMMYFUNCTION("""COMPUTED_VALUE"""),"Школа на Яузе")</f>
        <v>Школа на Яузе</v>
      </c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61"/>
      <c r="AC206" s="61"/>
      <c r="AD206" s="61"/>
    </row>
    <row r="207">
      <c r="A207" s="114" t="s">
        <v>29</v>
      </c>
      <c r="B207" s="83" t="s">
        <v>4153</v>
      </c>
      <c r="C207" s="83" t="s">
        <v>3816</v>
      </c>
      <c r="D207" s="83" t="s">
        <v>3616</v>
      </c>
      <c r="E207" s="33"/>
      <c r="F207" s="33"/>
      <c r="G207" s="33"/>
      <c r="H207" s="33" t="str">
        <f>IFERROR(__xludf.DUMMYFUNCTION("""COMPUTED_VALUE"""),"Школа Перспектива")</f>
        <v>Школа Перспектива</v>
      </c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61"/>
      <c r="AC207" s="61"/>
      <c r="AD207" s="61"/>
    </row>
    <row r="208">
      <c r="A208" s="114" t="s">
        <v>29</v>
      </c>
      <c r="B208" s="83" t="s">
        <v>4154</v>
      </c>
      <c r="C208" s="83" t="s">
        <v>3736</v>
      </c>
      <c r="D208" s="83" t="s">
        <v>3616</v>
      </c>
      <c r="H208" s="33" t="str">
        <f>IFERROR(__xludf.DUMMYFUNCTION("""COMPUTED_VALUE"""),"профессиональное образовательное Первый Московский Образовательный Комплекс")</f>
        <v>профессиональное образовательное Первый Московский Образовательный Комплекс</v>
      </c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61"/>
      <c r="AC208" s="61"/>
      <c r="AD208" s="61"/>
    </row>
    <row r="209">
      <c r="A209" s="114" t="s">
        <v>30</v>
      </c>
      <c r="B209" s="83" t="s">
        <v>3934</v>
      </c>
      <c r="C209" s="83" t="s">
        <v>3459</v>
      </c>
      <c r="D209" s="83" t="s">
        <v>3616</v>
      </c>
      <c r="E209" s="167" t="s">
        <v>4155</v>
      </c>
      <c r="F209" s="83" t="s">
        <v>4156</v>
      </c>
      <c r="G209" s="83" t="s">
        <v>2419</v>
      </c>
      <c r="H209" s="83" t="str">
        <f>IFERROR(__xludf.DUMMYFUNCTION("""COMPUTED_VALUE"""),"Школа 138")</f>
        <v>Школа 138</v>
      </c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61"/>
      <c r="AC209" s="61"/>
      <c r="AD209" s="61"/>
    </row>
    <row r="210">
      <c r="A210" s="114" t="s">
        <v>30</v>
      </c>
      <c r="B210" s="83" t="s">
        <v>3936</v>
      </c>
      <c r="C210" s="83" t="s">
        <v>3615</v>
      </c>
      <c r="D210" s="83" t="s">
        <v>3616</v>
      </c>
      <c r="E210" s="167" t="s">
        <v>4157</v>
      </c>
      <c r="F210" s="83" t="s">
        <v>4158</v>
      </c>
      <c r="G210" s="83" t="s">
        <v>2422</v>
      </c>
      <c r="H210" s="83" t="str">
        <f>IFERROR(__xludf.DUMMYFUNCTION("""COMPUTED_VALUE"""),"Школа 171")</f>
        <v>Школа 171</v>
      </c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61"/>
      <c r="AC210" s="61"/>
      <c r="AD210" s="61"/>
    </row>
    <row r="211">
      <c r="A211" s="114" t="s">
        <v>30</v>
      </c>
      <c r="B211" s="83" t="s">
        <v>3937</v>
      </c>
      <c r="C211" s="83" t="s">
        <v>3371</v>
      </c>
      <c r="D211" s="83" t="s">
        <v>3935</v>
      </c>
      <c r="E211" s="167" t="s">
        <v>4159</v>
      </c>
      <c r="F211" s="83" t="s">
        <v>278</v>
      </c>
      <c r="G211" s="83" t="s">
        <v>2497</v>
      </c>
      <c r="H211" s="83" t="str">
        <f>IFERROR(__xludf.DUMMYFUNCTION("""COMPUTED_VALUE"""),"Школа 185")</f>
        <v>Школа 185</v>
      </c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61"/>
      <c r="AC211" s="61"/>
      <c r="AD211" s="61"/>
    </row>
    <row r="212">
      <c r="A212" s="114" t="s">
        <v>30</v>
      </c>
      <c r="B212" s="83" t="s">
        <v>3940</v>
      </c>
      <c r="C212" s="83" t="s">
        <v>3617</v>
      </c>
      <c r="D212" s="83" t="s">
        <v>3616</v>
      </c>
      <c r="E212" s="167" t="s">
        <v>4160</v>
      </c>
      <c r="F212" s="83" t="s">
        <v>4161</v>
      </c>
      <c r="G212" s="83" t="s">
        <v>2446</v>
      </c>
      <c r="H212" s="83" t="str">
        <f>IFERROR(__xludf.DUMMYFUNCTION("""COMPUTED_VALUE"""),"Школа 192")</f>
        <v>Школа 192</v>
      </c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61"/>
      <c r="AC212" s="61"/>
      <c r="AD212" s="61"/>
    </row>
    <row r="213">
      <c r="A213" s="114" t="s">
        <v>30</v>
      </c>
      <c r="B213" s="83" t="s">
        <v>3941</v>
      </c>
      <c r="C213" s="83" t="s">
        <v>3434</v>
      </c>
      <c r="D213" s="83" t="s">
        <v>3939</v>
      </c>
      <c r="E213" s="167" t="s">
        <v>4162</v>
      </c>
      <c r="F213" s="83" t="s">
        <v>4163</v>
      </c>
      <c r="G213" s="83" t="s">
        <v>2446</v>
      </c>
      <c r="H213" s="83" t="str">
        <f>IFERROR(__xludf.DUMMYFUNCTION("""COMPUTED_VALUE"""),"Школа 199")</f>
        <v>Школа 199</v>
      </c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61"/>
      <c r="AC213" s="61"/>
      <c r="AD213" s="61"/>
    </row>
    <row r="214">
      <c r="A214" s="114" t="s">
        <v>30</v>
      </c>
      <c r="B214" s="83" t="s">
        <v>3943</v>
      </c>
      <c r="C214" s="83" t="s">
        <v>3798</v>
      </c>
      <c r="D214" s="83" t="s">
        <v>3935</v>
      </c>
      <c r="E214" s="167" t="s">
        <v>4164</v>
      </c>
      <c r="F214" s="83" t="s">
        <v>4165</v>
      </c>
      <c r="G214" s="83" t="s">
        <v>2497</v>
      </c>
      <c r="H214" s="83" t="str">
        <f>IFERROR(__xludf.DUMMYFUNCTION("""COMPUTED_VALUE"""),"Школа 201")</f>
        <v>Школа 201</v>
      </c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61"/>
      <c r="AC214" s="61"/>
      <c r="AD214" s="61"/>
    </row>
    <row r="215">
      <c r="A215" s="114" t="s">
        <v>30</v>
      </c>
      <c r="B215" s="83" t="s">
        <v>3945</v>
      </c>
      <c r="C215" s="83" t="s">
        <v>3740</v>
      </c>
      <c r="D215" s="83" t="s">
        <v>3939</v>
      </c>
      <c r="E215" s="167" t="s">
        <v>4166</v>
      </c>
      <c r="F215" s="83" t="s">
        <v>4167</v>
      </c>
      <c r="G215" s="83" t="s">
        <v>2410</v>
      </c>
      <c r="H215" s="83" t="str">
        <f>IFERROR(__xludf.DUMMYFUNCTION("""COMPUTED_VALUE"""),"Школа 338")</f>
        <v>Школа 338</v>
      </c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61"/>
      <c r="AC215" s="61"/>
      <c r="AD215" s="61"/>
    </row>
    <row r="216">
      <c r="A216" s="114" t="s">
        <v>30</v>
      </c>
      <c r="B216" s="83" t="s">
        <v>3946</v>
      </c>
      <c r="C216" s="83" t="s">
        <v>3677</v>
      </c>
      <c r="D216" s="83" t="s">
        <v>3616</v>
      </c>
      <c r="E216" s="167" t="s">
        <v>4168</v>
      </c>
      <c r="F216" s="83" t="s">
        <v>4169</v>
      </c>
      <c r="G216" s="83" t="s">
        <v>2422</v>
      </c>
      <c r="H216" s="83" t="str">
        <f>IFERROR(__xludf.DUMMYFUNCTION("""COMPUTED_VALUE"""),"Школа 354")</f>
        <v>Школа 354</v>
      </c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61"/>
      <c r="AC216" s="61"/>
      <c r="AD216" s="61"/>
    </row>
    <row r="217">
      <c r="A217" s="114" t="s">
        <v>30</v>
      </c>
      <c r="B217" s="83" t="s">
        <v>3948</v>
      </c>
      <c r="C217" s="83" t="s">
        <v>3619</v>
      </c>
      <c r="D217" s="83" t="s">
        <v>3616</v>
      </c>
      <c r="E217" s="167" t="s">
        <v>4170</v>
      </c>
      <c r="F217" s="83" t="s">
        <v>4171</v>
      </c>
      <c r="G217" s="83" t="s">
        <v>2396</v>
      </c>
      <c r="H217" s="83" t="str">
        <f>IFERROR(__xludf.DUMMYFUNCTION("""COMPUTED_VALUE"""),"Школа 444")</f>
        <v>Школа 444</v>
      </c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61"/>
      <c r="AC217" s="61"/>
      <c r="AD217" s="61"/>
    </row>
    <row r="218">
      <c r="A218" s="114" t="s">
        <v>30</v>
      </c>
      <c r="B218" s="83" t="s">
        <v>3949</v>
      </c>
      <c r="C218" s="83" t="s">
        <v>3373</v>
      </c>
      <c r="D218" s="83" t="s">
        <v>3939</v>
      </c>
      <c r="E218" s="167" t="s">
        <v>4172</v>
      </c>
      <c r="F218" s="83" t="s">
        <v>395</v>
      </c>
      <c r="G218" s="83" t="s">
        <v>2453</v>
      </c>
      <c r="H218" s="83" t="str">
        <f>IFERROR(__xludf.DUMMYFUNCTION("""COMPUTED_VALUE"""),"Школа 507")</f>
        <v>Школа 507</v>
      </c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61"/>
      <c r="AC218" s="61"/>
      <c r="AD218" s="61"/>
    </row>
    <row r="219">
      <c r="A219" s="114" t="s">
        <v>30</v>
      </c>
      <c r="B219" s="83" t="s">
        <v>3950</v>
      </c>
      <c r="C219" s="83" t="s">
        <v>3343</v>
      </c>
      <c r="D219" s="83" t="s">
        <v>3616</v>
      </c>
      <c r="E219" s="167" t="s">
        <v>4173</v>
      </c>
      <c r="F219" s="83" t="s">
        <v>4174</v>
      </c>
      <c r="G219" s="83" t="s">
        <v>2453</v>
      </c>
      <c r="H219" s="83" t="str">
        <f>IFERROR(__xludf.DUMMYFUNCTION("""COMPUTED_VALUE"""),"Школа 544")</f>
        <v>Школа 544</v>
      </c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61"/>
      <c r="AC219" s="61"/>
      <c r="AD219" s="61"/>
    </row>
    <row r="220">
      <c r="A220" s="114" t="s">
        <v>30</v>
      </c>
      <c r="B220" s="83" t="s">
        <v>3951</v>
      </c>
      <c r="C220" s="83" t="s">
        <v>3620</v>
      </c>
      <c r="D220" s="83" t="s">
        <v>3616</v>
      </c>
      <c r="E220" s="167" t="s">
        <v>4175</v>
      </c>
      <c r="F220" s="83" t="s">
        <v>4176</v>
      </c>
      <c r="G220" s="83" t="s">
        <v>2453</v>
      </c>
      <c r="H220" s="83" t="str">
        <f>IFERROR(__xludf.DUMMYFUNCTION("""COMPUTED_VALUE"""),"Школа 548")</f>
        <v>Школа 548</v>
      </c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61"/>
      <c r="AC220" s="61"/>
      <c r="AD220" s="61"/>
    </row>
    <row r="221">
      <c r="A221" s="114" t="s">
        <v>30</v>
      </c>
      <c r="B221" s="83" t="s">
        <v>3952</v>
      </c>
      <c r="C221" s="83" t="s">
        <v>3679</v>
      </c>
      <c r="D221" s="83" t="s">
        <v>3935</v>
      </c>
      <c r="E221" s="167" t="s">
        <v>4177</v>
      </c>
      <c r="F221" s="83" t="s">
        <v>4178</v>
      </c>
      <c r="G221" s="83" t="s">
        <v>2487</v>
      </c>
      <c r="H221" s="83" t="str">
        <f>IFERROR(__xludf.DUMMYFUNCTION("""COMPUTED_VALUE"""),"Школа 618")</f>
        <v>Школа 618</v>
      </c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61"/>
      <c r="AC221" s="61"/>
      <c r="AD221" s="61"/>
    </row>
    <row r="222">
      <c r="A222" s="114" t="s">
        <v>30</v>
      </c>
      <c r="B222" s="83" t="s">
        <v>3953</v>
      </c>
      <c r="C222" s="83" t="s">
        <v>3680</v>
      </c>
      <c r="D222" s="83" t="s">
        <v>3616</v>
      </c>
      <c r="E222" s="167" t="s">
        <v>4179</v>
      </c>
      <c r="F222" s="83" t="s">
        <v>449</v>
      </c>
      <c r="G222" s="83" t="s">
        <v>2422</v>
      </c>
      <c r="H222" s="83" t="str">
        <f>IFERROR(__xludf.DUMMYFUNCTION("""COMPUTED_VALUE"""),"Школа 627")</f>
        <v>Школа 627</v>
      </c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>
      <c r="A223" s="114" t="s">
        <v>30</v>
      </c>
      <c r="B223" s="83" t="s">
        <v>3954</v>
      </c>
      <c r="C223" s="83" t="s">
        <v>3535</v>
      </c>
      <c r="D223" s="83" t="s">
        <v>3616</v>
      </c>
      <c r="E223" s="167" t="s">
        <v>4180</v>
      </c>
      <c r="F223" s="83" t="s">
        <v>4181</v>
      </c>
      <c r="G223" s="83" t="s">
        <v>2439</v>
      </c>
      <c r="H223" s="83" t="str">
        <f>IFERROR(__xludf.DUMMYFUNCTION("""COMPUTED_VALUE"""),"Школа 641")</f>
        <v>Школа 641</v>
      </c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>
      <c r="A224" s="114" t="s">
        <v>30</v>
      </c>
      <c r="B224" s="83" t="s">
        <v>3955</v>
      </c>
      <c r="C224" s="83" t="s">
        <v>3374</v>
      </c>
      <c r="D224" s="83" t="s">
        <v>3935</v>
      </c>
      <c r="E224" s="167" t="s">
        <v>4182</v>
      </c>
      <c r="F224" s="83" t="s">
        <v>461</v>
      </c>
      <c r="G224" s="83" t="s">
        <v>2497</v>
      </c>
      <c r="H224" s="83" t="str">
        <f>IFERROR(__xludf.DUMMYFUNCTION("""COMPUTED_VALUE"""),"Школа 648")</f>
        <v>Школа 648</v>
      </c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>
      <c r="A225" s="114" t="s">
        <v>30</v>
      </c>
      <c r="B225" s="83" t="s">
        <v>3956</v>
      </c>
      <c r="C225" s="83" t="s">
        <v>3681</v>
      </c>
      <c r="D225" s="83" t="s">
        <v>3616</v>
      </c>
      <c r="E225" s="167" t="s">
        <v>4183</v>
      </c>
      <c r="F225" s="83" t="s">
        <v>4184</v>
      </c>
      <c r="G225" s="83" t="s">
        <v>2453</v>
      </c>
      <c r="H225" s="83" t="str">
        <f>IFERROR(__xludf.DUMMYFUNCTION("""COMPUTED_VALUE"""),"Школа 667")</f>
        <v>Школа 667</v>
      </c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>
      <c r="A226" s="114" t="s">
        <v>30</v>
      </c>
      <c r="B226" s="83" t="s">
        <v>3957</v>
      </c>
      <c r="C226" s="83" t="s">
        <v>3500</v>
      </c>
      <c r="D226" s="83" t="s">
        <v>3935</v>
      </c>
      <c r="E226" s="167" t="s">
        <v>4185</v>
      </c>
      <c r="F226" s="83" t="s">
        <v>4186</v>
      </c>
      <c r="G226" s="83" t="s">
        <v>2419</v>
      </c>
      <c r="H226" s="83" t="str">
        <f>IFERROR(__xludf.DUMMYFUNCTION("""COMPUTED_VALUE"""),"Школа 827")</f>
        <v>Школа 827</v>
      </c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>
      <c r="A227" s="114" t="s">
        <v>30</v>
      </c>
      <c r="B227" s="83" t="s">
        <v>3959</v>
      </c>
      <c r="C227" s="83" t="s">
        <v>3466</v>
      </c>
      <c r="D227" s="83" t="s">
        <v>3616</v>
      </c>
      <c r="E227" s="167" t="s">
        <v>4187</v>
      </c>
      <c r="F227" s="83" t="s">
        <v>4188</v>
      </c>
      <c r="G227" s="83" t="s">
        <v>2487</v>
      </c>
      <c r="H227" s="83" t="str">
        <f>IFERROR(__xludf.DUMMYFUNCTION("""COMPUTED_VALUE"""),"Школа 853")</f>
        <v>Школа 853</v>
      </c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>
      <c r="A228" s="114" t="s">
        <v>30</v>
      </c>
      <c r="B228" s="83" t="s">
        <v>3960</v>
      </c>
      <c r="C228" s="83" t="s">
        <v>3437</v>
      </c>
      <c r="D228" s="83" t="s">
        <v>3616</v>
      </c>
      <c r="E228" s="167" t="s">
        <v>4189</v>
      </c>
      <c r="F228" s="83" t="s">
        <v>4190</v>
      </c>
      <c r="G228" s="83" t="s">
        <v>2453</v>
      </c>
      <c r="H228" s="83" t="str">
        <f>IFERROR(__xludf.DUMMYFUNCTION("""COMPUTED_VALUE"""),"Школа 947")</f>
        <v>Школа 947</v>
      </c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>
      <c r="A229" s="114" t="s">
        <v>30</v>
      </c>
      <c r="B229" s="83" t="s">
        <v>3961</v>
      </c>
      <c r="C229" s="83" t="s">
        <v>3438</v>
      </c>
      <c r="D229" s="83" t="s">
        <v>3616</v>
      </c>
      <c r="E229" s="167" t="s">
        <v>4191</v>
      </c>
      <c r="F229" s="83" t="s">
        <v>596</v>
      </c>
      <c r="G229" s="83" t="s">
        <v>2416</v>
      </c>
      <c r="H229" s="83" t="str">
        <f>IFERROR(__xludf.DUMMYFUNCTION("""COMPUTED_VALUE"""),"Школа 956")</f>
        <v>Школа 956</v>
      </c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>
      <c r="A230" s="114" t="s">
        <v>30</v>
      </c>
      <c r="B230" s="83" t="s">
        <v>3962</v>
      </c>
      <c r="C230" s="83" t="s">
        <v>3502</v>
      </c>
      <c r="D230" s="83" t="s">
        <v>3616</v>
      </c>
      <c r="E230" s="167" t="s">
        <v>4192</v>
      </c>
      <c r="F230" s="83" t="s">
        <v>4193</v>
      </c>
      <c r="G230" s="83" t="s">
        <v>2416</v>
      </c>
      <c r="H230" s="83" t="str">
        <f>IFERROR(__xludf.DUMMYFUNCTION("""COMPUTED_VALUE"""),"Школа 962")</f>
        <v>Школа 962</v>
      </c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>
      <c r="A231" s="114" t="s">
        <v>30</v>
      </c>
      <c r="B231" s="83" t="s">
        <v>3964</v>
      </c>
      <c r="C231" s="83" t="s">
        <v>3622</v>
      </c>
      <c r="D231" s="83" t="s">
        <v>3616</v>
      </c>
      <c r="E231" s="167" t="s">
        <v>4175</v>
      </c>
      <c r="F231" s="83" t="s">
        <v>4194</v>
      </c>
      <c r="G231" s="83" t="s">
        <v>2406</v>
      </c>
      <c r="H231" s="83" t="str">
        <f>IFERROR(__xludf.DUMMYFUNCTION("""COMPUTED_VALUE"""),"Школа 1002")</f>
        <v>Школа 1002</v>
      </c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>
      <c r="A232" s="114" t="s">
        <v>30</v>
      </c>
      <c r="B232" s="83" t="s">
        <v>3965</v>
      </c>
      <c r="C232" s="83" t="s">
        <v>3321</v>
      </c>
      <c r="D232" s="83" t="s">
        <v>3616</v>
      </c>
      <c r="E232" s="167" t="s">
        <v>4195</v>
      </c>
      <c r="F232" s="83" t="s">
        <v>4196</v>
      </c>
      <c r="G232" s="83" t="s">
        <v>2453</v>
      </c>
      <c r="H232" s="83" t="str">
        <f>IFERROR(__xludf.DUMMYFUNCTION("""COMPUTED_VALUE"""),"Школа 1034")</f>
        <v>Школа 1034</v>
      </c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>
      <c r="A233" s="114" t="s">
        <v>30</v>
      </c>
      <c r="B233" s="83" t="s">
        <v>3966</v>
      </c>
      <c r="C233" s="83" t="s">
        <v>3468</v>
      </c>
      <c r="D233" s="83" t="s">
        <v>3935</v>
      </c>
      <c r="E233" s="167" t="s">
        <v>4197</v>
      </c>
      <c r="F233" s="83" t="s">
        <v>641</v>
      </c>
      <c r="G233" s="83" t="s">
        <v>2446</v>
      </c>
      <c r="H233" s="83" t="str">
        <f>IFERROR(__xludf.DUMMYFUNCTION("""COMPUTED_VALUE"""),"Школа 1101")</f>
        <v>Школа 1101</v>
      </c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>
      <c r="A234" s="114" t="s">
        <v>30</v>
      </c>
      <c r="B234" s="83" t="s">
        <v>3967</v>
      </c>
      <c r="C234" s="83" t="s">
        <v>3623</v>
      </c>
      <c r="D234" s="83" t="s">
        <v>3616</v>
      </c>
      <c r="E234" s="167" t="s">
        <v>4198</v>
      </c>
      <c r="F234" s="83" t="s">
        <v>4199</v>
      </c>
      <c r="G234" s="83" t="s">
        <v>2453</v>
      </c>
      <c r="H234" s="83" t="str">
        <f>IFERROR(__xludf.DUMMYFUNCTION("""COMPUTED_VALUE"""),"Школа 1158")</f>
        <v>Школа 1158</v>
      </c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>
      <c r="A235" s="114" t="s">
        <v>30</v>
      </c>
      <c r="B235" s="83" t="s">
        <v>3968</v>
      </c>
      <c r="C235" s="83" t="s">
        <v>3624</v>
      </c>
      <c r="D235" s="83" t="s">
        <v>3616</v>
      </c>
      <c r="E235" s="167" t="s">
        <v>4200</v>
      </c>
      <c r="F235" s="83" t="s">
        <v>4201</v>
      </c>
      <c r="G235" s="83" t="s">
        <v>2487</v>
      </c>
      <c r="H235" s="83" t="str">
        <f>IFERROR(__xludf.DUMMYFUNCTION("""COMPUTED_VALUE"""),"Школа 1194")</f>
        <v>Школа 1194</v>
      </c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>
      <c r="A236" s="114" t="s">
        <v>30</v>
      </c>
      <c r="B236" s="83" t="s">
        <v>3970</v>
      </c>
      <c r="C236" s="83" t="s">
        <v>3345</v>
      </c>
      <c r="D236" s="83" t="s">
        <v>3616</v>
      </c>
      <c r="E236" s="167" t="s">
        <v>4202</v>
      </c>
      <c r="F236" s="83" t="s">
        <v>4203</v>
      </c>
      <c r="G236" s="83" t="s">
        <v>2406</v>
      </c>
      <c r="H236" s="83" t="str">
        <f>IFERROR(__xludf.DUMMYFUNCTION("""COMPUTED_VALUE"""),"Школа 1195")</f>
        <v>Школа 1195</v>
      </c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>
      <c r="A237" s="114" t="s">
        <v>30</v>
      </c>
      <c r="B237" s="83" t="s">
        <v>3971</v>
      </c>
      <c r="C237" s="83" t="s">
        <v>3385</v>
      </c>
      <c r="D237" s="83" t="s">
        <v>3939</v>
      </c>
      <c r="E237" s="167" t="s">
        <v>4204</v>
      </c>
      <c r="F237" s="83" t="s">
        <v>4205</v>
      </c>
      <c r="G237" s="83" t="s">
        <v>2439</v>
      </c>
      <c r="H237" s="83" t="str">
        <f>IFERROR(__xludf.DUMMYFUNCTION("""COMPUTED_VALUE"""),"Школа 1208")</f>
        <v>Школа 1208</v>
      </c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>
      <c r="A238" s="114" t="s">
        <v>30</v>
      </c>
      <c r="B238" s="83" t="s">
        <v>3972</v>
      </c>
      <c r="C238" s="83" t="s">
        <v>3386</v>
      </c>
      <c r="D238" s="83" t="s">
        <v>3616</v>
      </c>
      <c r="E238" s="167" t="s">
        <v>4206</v>
      </c>
      <c r="F238" s="83" t="s">
        <v>4207</v>
      </c>
      <c r="G238" s="83" t="s">
        <v>2422</v>
      </c>
      <c r="H238" s="83" t="str">
        <f>IFERROR(__xludf.DUMMYFUNCTION("""COMPUTED_VALUE"""),"Школа 1231")</f>
        <v>Школа 1231</v>
      </c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>
      <c r="A239" s="114" t="s">
        <v>30</v>
      </c>
      <c r="B239" s="83" t="s">
        <v>3973</v>
      </c>
      <c r="C239" s="83" t="s">
        <v>3387</v>
      </c>
      <c r="D239" s="83" t="s">
        <v>3939</v>
      </c>
      <c r="E239" s="167" t="s">
        <v>4208</v>
      </c>
      <c r="F239" s="83" t="s">
        <v>4209</v>
      </c>
      <c r="G239" s="83" t="s">
        <v>2406</v>
      </c>
      <c r="H239" s="83" t="str">
        <f>IFERROR(__xludf.DUMMYFUNCTION("""COMPUTED_VALUE"""),"Школа 1238")</f>
        <v>Школа 1238</v>
      </c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>
      <c r="A240" s="114" t="s">
        <v>30</v>
      </c>
      <c r="B240" s="83" t="s">
        <v>3974</v>
      </c>
      <c r="C240" s="83" t="s">
        <v>3625</v>
      </c>
      <c r="D240" s="83" t="s">
        <v>3616</v>
      </c>
      <c r="E240" s="167" t="s">
        <v>4210</v>
      </c>
      <c r="F240" s="83" t="s">
        <v>4211</v>
      </c>
      <c r="G240" s="83" t="s">
        <v>2422</v>
      </c>
      <c r="H240" s="83" t="str">
        <f>IFERROR(__xludf.DUMMYFUNCTION("""COMPUTED_VALUE"""),"Школа 1253")</f>
        <v>Школа 1253</v>
      </c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>
      <c r="A241" s="114" t="s">
        <v>30</v>
      </c>
      <c r="B241" s="83" t="s">
        <v>3975</v>
      </c>
      <c r="C241" s="83" t="s">
        <v>3471</v>
      </c>
      <c r="D241" s="83" t="s">
        <v>3935</v>
      </c>
      <c r="E241" s="167" t="s">
        <v>4212</v>
      </c>
      <c r="F241" s="83" t="s">
        <v>4213</v>
      </c>
      <c r="G241" s="83" t="s">
        <v>2422</v>
      </c>
      <c r="H241" s="83" t="str">
        <f>IFERROR(__xludf.DUMMYFUNCTION("""COMPUTED_VALUE"""),"Школа 1259")</f>
        <v>Школа 1259</v>
      </c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>
      <c r="A242" s="114" t="s">
        <v>30</v>
      </c>
      <c r="B242" s="83" t="s">
        <v>3976</v>
      </c>
      <c r="C242" s="83" t="s">
        <v>3392</v>
      </c>
      <c r="D242" s="83" t="s">
        <v>3616</v>
      </c>
      <c r="E242" s="167" t="s">
        <v>4214</v>
      </c>
      <c r="F242" s="83" t="s">
        <v>4215</v>
      </c>
      <c r="G242" s="83" t="s">
        <v>2497</v>
      </c>
      <c r="H242" s="83" t="str">
        <f>IFERROR(__xludf.DUMMYFUNCTION("""COMPUTED_VALUE"""),"Школа 1288")</f>
        <v>Школа 1288</v>
      </c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>
      <c r="A243" s="114" t="s">
        <v>30</v>
      </c>
      <c r="B243" s="83" t="s">
        <v>3977</v>
      </c>
      <c r="C243" s="83" t="s">
        <v>3394</v>
      </c>
      <c r="D243" s="83" t="s">
        <v>3616</v>
      </c>
      <c r="E243" s="167" t="s">
        <v>4216</v>
      </c>
      <c r="F243" s="83" t="s">
        <v>4217</v>
      </c>
      <c r="G243" s="83" t="s">
        <v>2419</v>
      </c>
      <c r="H243" s="83" t="str">
        <f>IFERROR(__xludf.DUMMYFUNCTION("""COMPUTED_VALUE"""),"Школа 1298")</f>
        <v>Школа 1298</v>
      </c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>
      <c r="A244" s="114" t="s">
        <v>30</v>
      </c>
      <c r="B244" s="83" t="s">
        <v>3978</v>
      </c>
      <c r="C244" s="83" t="s">
        <v>3626</v>
      </c>
      <c r="D244" s="83" t="s">
        <v>3616</v>
      </c>
      <c r="E244" s="167" t="s">
        <v>4218</v>
      </c>
      <c r="F244" s="83" t="s">
        <v>4219</v>
      </c>
      <c r="G244" s="83" t="s">
        <v>2406</v>
      </c>
      <c r="H244" s="83" t="str">
        <f>IFERROR(__xludf.DUMMYFUNCTION("""COMPUTED_VALUE"""),"Школа 1329")</f>
        <v>Школа 1329</v>
      </c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>
      <c r="A245" s="114" t="s">
        <v>30</v>
      </c>
      <c r="B245" s="83" t="s">
        <v>3979</v>
      </c>
      <c r="C245" s="83" t="s">
        <v>3397</v>
      </c>
      <c r="D245" s="83" t="s">
        <v>3616</v>
      </c>
      <c r="E245" s="167" t="s">
        <v>4220</v>
      </c>
      <c r="F245" s="83" t="s">
        <v>4221</v>
      </c>
      <c r="G245" s="83" t="s">
        <v>2406</v>
      </c>
      <c r="H245" s="83" t="str">
        <f>IFERROR(__xludf.DUMMYFUNCTION("""COMPUTED_VALUE"""),"Школа 1347")</f>
        <v>Школа 1347</v>
      </c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>
      <c r="A246" s="114" t="s">
        <v>30</v>
      </c>
      <c r="B246" s="83" t="s">
        <v>3980</v>
      </c>
      <c r="C246" s="83" t="s">
        <v>3627</v>
      </c>
      <c r="D246" s="83" t="s">
        <v>3616</v>
      </c>
      <c r="E246" s="167" t="s">
        <v>4222</v>
      </c>
      <c r="F246" s="83" t="s">
        <v>4223</v>
      </c>
      <c r="G246" s="83" t="s">
        <v>2446</v>
      </c>
      <c r="H246" s="83" t="str">
        <f>IFERROR(__xludf.DUMMYFUNCTION("""COMPUTED_VALUE"""),"Школа 1354")</f>
        <v>Школа 1354</v>
      </c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>
      <c r="A247" s="114" t="s">
        <v>30</v>
      </c>
      <c r="B247" s="83" t="s">
        <v>3981</v>
      </c>
      <c r="C247" s="83" t="s">
        <v>3347</v>
      </c>
      <c r="D247" s="83" t="s">
        <v>3935</v>
      </c>
      <c r="E247" s="167" t="s">
        <v>4224</v>
      </c>
      <c r="F247" s="83" t="s">
        <v>4225</v>
      </c>
      <c r="G247" s="83" t="s">
        <v>2446</v>
      </c>
      <c r="H247" s="83" t="str">
        <f>IFERROR(__xludf.DUMMYFUNCTION("""COMPUTED_VALUE"""),"Школа 1355")</f>
        <v>Школа 1355</v>
      </c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>
      <c r="A248" s="114" t="s">
        <v>30</v>
      </c>
      <c r="B248" s="83" t="s">
        <v>3982</v>
      </c>
      <c r="C248" s="83" t="s">
        <v>3603</v>
      </c>
      <c r="D248" s="83" t="s">
        <v>3616</v>
      </c>
      <c r="E248" s="167" t="s">
        <v>4226</v>
      </c>
      <c r="F248" s="83" t="s">
        <v>4227</v>
      </c>
      <c r="G248" s="83" t="s">
        <v>2439</v>
      </c>
      <c r="H248" s="83" t="str">
        <f>IFERROR(__xludf.DUMMYFUNCTION("""COMPUTED_VALUE"""),"Школа 1357")</f>
        <v>Школа 1357</v>
      </c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>
      <c r="A249" s="114" t="s">
        <v>30</v>
      </c>
      <c r="B249" s="83" t="s">
        <v>3984</v>
      </c>
      <c r="C249" s="83" t="s">
        <v>3399</v>
      </c>
      <c r="D249" s="83" t="s">
        <v>3616</v>
      </c>
      <c r="E249" s="167" t="s">
        <v>4228</v>
      </c>
      <c r="F249" s="83" t="s">
        <v>4229</v>
      </c>
      <c r="G249" s="83" t="s">
        <v>2439</v>
      </c>
      <c r="H249" s="83" t="str">
        <f>IFERROR(__xludf.DUMMYFUNCTION("""COMPUTED_VALUE"""),"Школа 1359")</f>
        <v>Школа 1359</v>
      </c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>
      <c r="A250" s="114" t="s">
        <v>30</v>
      </c>
      <c r="B250" s="83" t="s">
        <v>3985</v>
      </c>
      <c r="C250" s="83" t="s">
        <v>3628</v>
      </c>
      <c r="D250" s="83" t="s">
        <v>3616</v>
      </c>
      <c r="E250" s="167" t="s">
        <v>4230</v>
      </c>
      <c r="F250" s="83" t="s">
        <v>4231</v>
      </c>
      <c r="G250" s="83" t="s">
        <v>2439</v>
      </c>
      <c r="H250" s="83" t="str">
        <f>IFERROR(__xludf.DUMMYFUNCTION("""COMPUTED_VALUE"""),"Школа 1363")</f>
        <v>Школа 1363</v>
      </c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>
      <c r="A251" s="114" t="s">
        <v>30</v>
      </c>
      <c r="B251" s="83" t="s">
        <v>3986</v>
      </c>
      <c r="C251" s="83" t="s">
        <v>3629</v>
      </c>
      <c r="D251" s="83" t="s">
        <v>3616</v>
      </c>
      <c r="E251" s="167" t="s">
        <v>4232</v>
      </c>
      <c r="F251" s="83" t="s">
        <v>4233</v>
      </c>
      <c r="G251" s="83" t="s">
        <v>2439</v>
      </c>
      <c r="H251" s="83" t="str">
        <f>IFERROR(__xludf.DUMMYFUNCTION("""COMPUTED_VALUE"""),"Школа 1367")</f>
        <v>Школа 1367</v>
      </c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>
      <c r="A252" s="114" t="s">
        <v>30</v>
      </c>
      <c r="B252" s="83" t="s">
        <v>3987</v>
      </c>
      <c r="C252" s="83" t="s">
        <v>3630</v>
      </c>
      <c r="D252" s="83" t="s">
        <v>3616</v>
      </c>
      <c r="E252" s="167" t="s">
        <v>4234</v>
      </c>
      <c r="F252" s="83" t="s">
        <v>4235</v>
      </c>
      <c r="G252" s="83" t="s">
        <v>2453</v>
      </c>
      <c r="H252" s="83" t="str">
        <f>IFERROR(__xludf.DUMMYFUNCTION("""COMPUTED_VALUE"""),"Школа 1375")</f>
        <v>Школа 1375</v>
      </c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>
      <c r="A253" s="114" t="s">
        <v>30</v>
      </c>
      <c r="B253" s="83" t="s">
        <v>3988</v>
      </c>
      <c r="C253" s="83" t="s">
        <v>3441</v>
      </c>
      <c r="D253" s="83" t="s">
        <v>3935</v>
      </c>
      <c r="E253" s="167" t="s">
        <v>4236</v>
      </c>
      <c r="F253" s="83" t="s">
        <v>4237</v>
      </c>
      <c r="G253" s="83" t="s">
        <v>2419</v>
      </c>
      <c r="H253" s="83" t="str">
        <f>IFERROR(__xludf.DUMMYFUNCTION("""COMPUTED_VALUE"""),"Школа 1387")</f>
        <v>Школа 1387</v>
      </c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>
      <c r="A254" s="114" t="s">
        <v>30</v>
      </c>
      <c r="B254" s="83" t="s">
        <v>3989</v>
      </c>
      <c r="C254" s="83" t="s">
        <v>4238</v>
      </c>
      <c r="D254" s="83" t="s">
        <v>3939</v>
      </c>
      <c r="E254" s="167" t="s">
        <v>4239</v>
      </c>
      <c r="F254" s="83" t="s">
        <v>4240</v>
      </c>
      <c r="G254" s="83" t="s">
        <v>2410</v>
      </c>
      <c r="H254" s="83" t="str">
        <f>IFERROR(__xludf.DUMMYFUNCTION("""COMPUTED_VALUE"""),"Школа 1392")</f>
        <v>Школа 1392</v>
      </c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>
      <c r="A255" s="114" t="s">
        <v>30</v>
      </c>
      <c r="B255" s="83" t="s">
        <v>3990</v>
      </c>
      <c r="C255" s="83" t="s">
        <v>3631</v>
      </c>
      <c r="D255" s="83" t="s">
        <v>3616</v>
      </c>
      <c r="E255" s="167" t="s">
        <v>4241</v>
      </c>
      <c r="F255" s="83" t="s">
        <v>4242</v>
      </c>
      <c r="G255" s="83" t="s">
        <v>2497</v>
      </c>
      <c r="H255" s="83" t="str">
        <f>IFERROR(__xludf.DUMMYFUNCTION("""COMPUTED_VALUE"""),"Школа 1409")</f>
        <v>Школа 1409</v>
      </c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>
      <c r="A256" s="114" t="s">
        <v>30</v>
      </c>
      <c r="B256" s="83" t="s">
        <v>3991</v>
      </c>
      <c r="C256" s="83" t="s">
        <v>3509</v>
      </c>
      <c r="D256" s="83" t="s">
        <v>3935</v>
      </c>
      <c r="E256" s="167" t="s">
        <v>4243</v>
      </c>
      <c r="F256" s="83" t="s">
        <v>964</v>
      </c>
      <c r="G256" s="83" t="s">
        <v>2416</v>
      </c>
      <c r="H256" s="83" t="str">
        <f>IFERROR(__xludf.DUMMYFUNCTION("""COMPUTED_VALUE"""),"Школа 1412")</f>
        <v>Школа 1412</v>
      </c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>
      <c r="A257" s="114" t="s">
        <v>30</v>
      </c>
      <c r="B257" s="83" t="s">
        <v>3992</v>
      </c>
      <c r="C257" s="83" t="s">
        <v>3633</v>
      </c>
      <c r="D257" s="83" t="s">
        <v>3616</v>
      </c>
      <c r="E257" s="167" t="s">
        <v>4244</v>
      </c>
      <c r="F257" s="83" t="s">
        <v>4245</v>
      </c>
      <c r="G257" s="83" t="s">
        <v>2406</v>
      </c>
      <c r="H257" s="83" t="str">
        <f>IFERROR(__xludf.DUMMYFUNCTION("""COMPUTED_VALUE"""),"Школа 1434")</f>
        <v>Школа 1434</v>
      </c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>
      <c r="A258" s="114" t="s">
        <v>30</v>
      </c>
      <c r="B258" s="83" t="s">
        <v>3993</v>
      </c>
      <c r="C258" s="83" t="s">
        <v>3443</v>
      </c>
      <c r="D258" s="83" t="s">
        <v>3616</v>
      </c>
      <c r="E258" s="167" t="s">
        <v>4246</v>
      </c>
      <c r="F258" s="83" t="s">
        <v>4247</v>
      </c>
      <c r="G258" s="83" t="s">
        <v>2416</v>
      </c>
      <c r="H258" s="83" t="str">
        <f>IFERROR(__xludf.DUMMYFUNCTION("""COMPUTED_VALUE"""),"Школа 1449")</f>
        <v>Школа 1449</v>
      </c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>
      <c r="A259" s="114" t="s">
        <v>30</v>
      </c>
      <c r="B259" s="83" t="s">
        <v>3994</v>
      </c>
      <c r="C259" s="83" t="s">
        <v>3476</v>
      </c>
      <c r="D259" s="83" t="s">
        <v>3616</v>
      </c>
      <c r="E259" s="167" t="s">
        <v>4248</v>
      </c>
      <c r="F259" s="83" t="s">
        <v>4249</v>
      </c>
      <c r="G259" s="83" t="s">
        <v>2497</v>
      </c>
      <c r="H259" s="83" t="str">
        <f>IFERROR(__xludf.DUMMYFUNCTION("""COMPUTED_VALUE"""),"Школа 1454")</f>
        <v>Школа 1454</v>
      </c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>
      <c r="A260" s="114" t="s">
        <v>30</v>
      </c>
      <c r="B260" s="83" t="s">
        <v>3995</v>
      </c>
      <c r="C260" s="83" t="s">
        <v>3403</v>
      </c>
      <c r="D260" s="83" t="s">
        <v>3616</v>
      </c>
      <c r="E260" s="167" t="s">
        <v>4250</v>
      </c>
      <c r="F260" s="83" t="s">
        <v>4251</v>
      </c>
      <c r="G260" s="83" t="s">
        <v>2422</v>
      </c>
      <c r="H260" s="83" t="str">
        <f>IFERROR(__xludf.DUMMYFUNCTION("""COMPUTED_VALUE"""),"Школа 1468")</f>
        <v>Школа 1468</v>
      </c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>
      <c r="A261" s="114" t="s">
        <v>30</v>
      </c>
      <c r="B261" s="83" t="s">
        <v>3996</v>
      </c>
      <c r="C261" s="83" t="s">
        <v>3635</v>
      </c>
      <c r="D261" s="83" t="s">
        <v>3616</v>
      </c>
      <c r="E261" s="167" t="s">
        <v>4252</v>
      </c>
      <c r="F261" s="83" t="s">
        <v>4253</v>
      </c>
      <c r="G261" s="83" t="s">
        <v>2497</v>
      </c>
      <c r="H261" s="83" t="str">
        <f>IFERROR(__xludf.DUMMYFUNCTION("""COMPUTED_VALUE"""),"Школа 1474")</f>
        <v>Школа 1474</v>
      </c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>
      <c r="A262" s="114" t="s">
        <v>30</v>
      </c>
      <c r="B262" s="83" t="s">
        <v>3997</v>
      </c>
      <c r="C262" s="83" t="s">
        <v>3636</v>
      </c>
      <c r="D262" s="83" t="s">
        <v>3616</v>
      </c>
      <c r="E262" s="167" t="s">
        <v>4254</v>
      </c>
      <c r="F262" s="83" t="s">
        <v>4255</v>
      </c>
      <c r="G262" s="83" t="s">
        <v>2422</v>
      </c>
      <c r="H262" s="83" t="str">
        <f>IFERROR(__xludf.DUMMYFUNCTION("""COMPUTED_VALUE"""),"Школа 1501")</f>
        <v>Школа 1501</v>
      </c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>
      <c r="A263" s="114" t="s">
        <v>30</v>
      </c>
      <c r="B263" s="83" t="s">
        <v>3998</v>
      </c>
      <c r="C263" s="83" t="s">
        <v>3637</v>
      </c>
      <c r="D263" s="83" t="s">
        <v>3616</v>
      </c>
      <c r="E263" s="167" t="s">
        <v>4256</v>
      </c>
      <c r="F263" s="83" t="s">
        <v>4257</v>
      </c>
      <c r="G263" s="83" t="s">
        <v>2396</v>
      </c>
      <c r="H263" s="83" t="str">
        <f>IFERROR(__xludf.DUMMYFUNCTION("""COMPUTED_VALUE"""),"Школа 1502")</f>
        <v>Школа 1502</v>
      </c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>
      <c r="A264" s="114" t="s">
        <v>30</v>
      </c>
      <c r="B264" s="83" t="s">
        <v>3999</v>
      </c>
      <c r="C264" s="83" t="s">
        <v>3323</v>
      </c>
      <c r="D264" s="83" t="s">
        <v>3616</v>
      </c>
      <c r="E264" s="167" t="s">
        <v>4258</v>
      </c>
      <c r="F264" s="83" t="s">
        <v>4259</v>
      </c>
      <c r="G264" s="83" t="s">
        <v>2396</v>
      </c>
      <c r="H264" s="83" t="str">
        <f>IFERROR(__xludf.DUMMYFUNCTION("""COMPUTED_VALUE"""),"Школа 1505")</f>
        <v>Школа 1505</v>
      </c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>
      <c r="A265" s="114" t="s">
        <v>30</v>
      </c>
      <c r="B265" s="83" t="s">
        <v>4000</v>
      </c>
      <c r="C265" s="83" t="s">
        <v>3638</v>
      </c>
      <c r="D265" s="83" t="s">
        <v>3616</v>
      </c>
      <c r="E265" s="167" t="s">
        <v>4260</v>
      </c>
      <c r="F265" s="83" t="s">
        <v>4261</v>
      </c>
      <c r="G265" s="83" t="s">
        <v>2416</v>
      </c>
      <c r="H265" s="83" t="str">
        <f>IFERROR(__xludf.DUMMYFUNCTION("""COMPUTED_VALUE"""),"Школа 1506")</f>
        <v>Школа 1506</v>
      </c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>
      <c r="A266" s="114" t="s">
        <v>30</v>
      </c>
      <c r="B266" s="83" t="s">
        <v>4001</v>
      </c>
      <c r="C266" s="83" t="s">
        <v>3701</v>
      </c>
      <c r="D266" s="83" t="s">
        <v>3616</v>
      </c>
      <c r="E266" s="167" t="s">
        <v>4262</v>
      </c>
      <c r="F266" s="83" t="s">
        <v>4263</v>
      </c>
      <c r="G266" s="83" t="s">
        <v>2396</v>
      </c>
      <c r="H266" s="83" t="str">
        <f>IFERROR(__xludf.DUMMYFUNCTION("""COMPUTED_VALUE"""),"Школа 1516")</f>
        <v>Школа 1516</v>
      </c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>
      <c r="A267" s="114" t="s">
        <v>30</v>
      </c>
      <c r="B267" s="83" t="s">
        <v>4002</v>
      </c>
      <c r="C267" s="83" t="s">
        <v>3640</v>
      </c>
      <c r="D267" s="83" t="s">
        <v>3616</v>
      </c>
      <c r="E267" s="167" t="s">
        <v>4264</v>
      </c>
      <c r="F267" s="83" t="s">
        <v>4265</v>
      </c>
      <c r="G267" s="83" t="s">
        <v>2419</v>
      </c>
      <c r="H267" s="83" t="str">
        <f>IFERROR(__xludf.DUMMYFUNCTION("""COMPUTED_VALUE"""),"Школа 1517")</f>
        <v>Школа 1517</v>
      </c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>
      <c r="A268" s="114" t="s">
        <v>30</v>
      </c>
      <c r="B268" s="83" t="s">
        <v>3693</v>
      </c>
      <c r="C268" s="83" t="s">
        <v>3641</v>
      </c>
      <c r="D268" s="83" t="s">
        <v>3616</v>
      </c>
      <c r="E268" s="167" t="s">
        <v>4266</v>
      </c>
      <c r="F268" s="83" t="s">
        <v>4267</v>
      </c>
      <c r="G268" s="83" t="s">
        <v>2439</v>
      </c>
      <c r="H268" s="83" t="str">
        <f>IFERROR(__xludf.DUMMYFUNCTION("""COMPUTED_VALUE"""),"Школа 1527")</f>
        <v>Школа 1527</v>
      </c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114" t="s">
        <v>30</v>
      </c>
      <c r="B269" s="83" t="s">
        <v>4003</v>
      </c>
      <c r="C269" s="83" t="s">
        <v>3704</v>
      </c>
      <c r="D269" s="83" t="s">
        <v>3616</v>
      </c>
      <c r="E269" s="167" t="s">
        <v>4268</v>
      </c>
      <c r="F269" s="83" t="s">
        <v>4269</v>
      </c>
      <c r="G269" s="83" t="s">
        <v>2396</v>
      </c>
      <c r="H269" s="83" t="str">
        <f>IFERROR(__xludf.DUMMYFUNCTION("""COMPUTED_VALUE"""),"Школа 1530")</f>
        <v>Школа 1530</v>
      </c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114" t="s">
        <v>30</v>
      </c>
      <c r="B270" s="83" t="s">
        <v>4004</v>
      </c>
      <c r="C270" s="83" t="s">
        <v>3643</v>
      </c>
      <c r="D270" s="83" t="s">
        <v>3616</v>
      </c>
      <c r="E270" s="167" t="s">
        <v>4270</v>
      </c>
      <c r="F270" s="83" t="s">
        <v>1133</v>
      </c>
      <c r="G270" s="83" t="s">
        <v>2446</v>
      </c>
      <c r="H270" s="83" t="str">
        <f>IFERROR(__xludf.DUMMYFUNCTION("""COMPUTED_VALUE"""),"Школа 1534")</f>
        <v>Школа 1534</v>
      </c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114" t="s">
        <v>30</v>
      </c>
      <c r="B271" s="83" t="s">
        <v>4005</v>
      </c>
      <c r="C271" s="83" t="s">
        <v>3644</v>
      </c>
      <c r="D271" s="83" t="s">
        <v>3616</v>
      </c>
      <c r="E271" s="167" t="s">
        <v>4271</v>
      </c>
      <c r="F271" s="83" t="s">
        <v>4272</v>
      </c>
      <c r="G271" s="83" t="s">
        <v>2422</v>
      </c>
      <c r="H271" s="83" t="str">
        <f>IFERROR(__xludf.DUMMYFUNCTION("""COMPUTED_VALUE"""),"Школа 1535")</f>
        <v>Школа 1535</v>
      </c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114" t="s">
        <v>30</v>
      </c>
      <c r="B272" s="83" t="s">
        <v>4006</v>
      </c>
      <c r="C272" s="83" t="s">
        <v>3645</v>
      </c>
      <c r="D272" s="83" t="s">
        <v>3616</v>
      </c>
      <c r="E272" s="167" t="s">
        <v>4273</v>
      </c>
      <c r="F272" s="83" t="s">
        <v>4274</v>
      </c>
      <c r="G272" s="83" t="s">
        <v>2419</v>
      </c>
      <c r="H272" s="83" t="str">
        <f>IFERROR(__xludf.DUMMYFUNCTION("""COMPUTED_VALUE"""),"Школа 1538")</f>
        <v>Школа 1538</v>
      </c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114" t="s">
        <v>30</v>
      </c>
      <c r="B273" s="83" t="s">
        <v>4007</v>
      </c>
      <c r="C273" s="83" t="s">
        <v>3446</v>
      </c>
      <c r="D273" s="83" t="s">
        <v>3616</v>
      </c>
      <c r="E273" s="167" t="s">
        <v>4275</v>
      </c>
      <c r="F273" s="83" t="s">
        <v>4276</v>
      </c>
      <c r="G273" s="83" t="s">
        <v>2416</v>
      </c>
      <c r="H273" s="83" t="str">
        <f>IFERROR(__xludf.DUMMYFUNCTION("""COMPUTED_VALUE"""),"Школа 1539")</f>
        <v>Школа 1539</v>
      </c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114" t="s">
        <v>30</v>
      </c>
      <c r="B274" s="83" t="s">
        <v>4008</v>
      </c>
      <c r="C274" s="83" t="s">
        <v>3407</v>
      </c>
      <c r="D274" s="83" t="s">
        <v>3616</v>
      </c>
      <c r="E274" s="167" t="s">
        <v>4277</v>
      </c>
      <c r="F274" s="83" t="s">
        <v>4278</v>
      </c>
      <c r="G274" s="83" t="s">
        <v>2406</v>
      </c>
      <c r="H274" s="83" t="str">
        <f>IFERROR(__xludf.DUMMYFUNCTION("""COMPUTED_VALUE"""),"Школа 1541")</f>
        <v>Школа 1541</v>
      </c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114" t="s">
        <v>30</v>
      </c>
      <c r="B275" s="83" t="s">
        <v>4009</v>
      </c>
      <c r="C275" s="83" t="s">
        <v>3479</v>
      </c>
      <c r="D275" s="83" t="s">
        <v>3935</v>
      </c>
      <c r="E275" s="167" t="s">
        <v>4279</v>
      </c>
      <c r="F275" s="83" t="s">
        <v>4280</v>
      </c>
      <c r="G275" s="83" t="s">
        <v>2419</v>
      </c>
      <c r="H275" s="83" t="str">
        <f>IFERROR(__xludf.DUMMYFUNCTION("""COMPUTED_VALUE"""),"Школа 1544")</f>
        <v>Школа 1544</v>
      </c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114" t="s">
        <v>30</v>
      </c>
      <c r="B276" s="83" t="s">
        <v>4010</v>
      </c>
      <c r="C276" s="83" t="s">
        <v>3448</v>
      </c>
      <c r="D276" s="83" t="s">
        <v>3616</v>
      </c>
      <c r="E276" s="167" t="s">
        <v>4281</v>
      </c>
      <c r="F276" s="83" t="s">
        <v>1180</v>
      </c>
      <c r="G276" s="83" t="s">
        <v>2439</v>
      </c>
      <c r="H276" s="83" t="str">
        <f>IFERROR(__xludf.DUMMYFUNCTION("""COMPUTED_VALUE"""),"Школа 1552")</f>
        <v>Школа 1552</v>
      </c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114" t="s">
        <v>30</v>
      </c>
      <c r="B277" s="83" t="s">
        <v>4011</v>
      </c>
      <c r="C277" s="83" t="s">
        <v>3646</v>
      </c>
      <c r="D277" s="83" t="s">
        <v>3616</v>
      </c>
      <c r="E277" s="167" t="s">
        <v>4282</v>
      </c>
      <c r="F277" s="83" t="s">
        <v>4283</v>
      </c>
      <c r="G277" s="83" t="s">
        <v>2453</v>
      </c>
      <c r="H277" s="83" t="str">
        <f>IFERROR(__xludf.DUMMYFUNCTION("""COMPUTED_VALUE"""),"Школа 1553")</f>
        <v>Школа 1553</v>
      </c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114" t="s">
        <v>30</v>
      </c>
      <c r="B278" s="83" t="s">
        <v>4012</v>
      </c>
      <c r="C278" s="83" t="s">
        <v>3647</v>
      </c>
      <c r="D278" s="83" t="s">
        <v>3616</v>
      </c>
      <c r="E278" s="167" t="s">
        <v>4284</v>
      </c>
      <c r="F278" s="83" t="s">
        <v>4285</v>
      </c>
      <c r="G278" s="83" t="s">
        <v>2487</v>
      </c>
      <c r="H278" s="83" t="str">
        <f>IFERROR(__xludf.DUMMYFUNCTION("""COMPUTED_VALUE"""),"Школа 1557")</f>
        <v>Школа 1557</v>
      </c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114" t="s">
        <v>30</v>
      </c>
      <c r="B279" s="83" t="s">
        <v>4013</v>
      </c>
      <c r="C279" s="83" t="s">
        <v>3648</v>
      </c>
      <c r="D279" s="83" t="s">
        <v>3616</v>
      </c>
      <c r="E279" s="167" t="s">
        <v>4286</v>
      </c>
      <c r="F279" s="83" t="s">
        <v>4287</v>
      </c>
      <c r="G279" s="83" t="s">
        <v>2419</v>
      </c>
      <c r="H279" s="83" t="str">
        <f>IFERROR(__xludf.DUMMYFUNCTION("""COMPUTED_VALUE"""),"Школа 1560")</f>
        <v>Школа 1560</v>
      </c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114" t="s">
        <v>30</v>
      </c>
      <c r="B280" s="83" t="s">
        <v>4014</v>
      </c>
      <c r="C280" s="83" t="s">
        <v>3649</v>
      </c>
      <c r="D280" s="83" t="s">
        <v>3616</v>
      </c>
      <c r="E280" s="167" t="s">
        <v>4288</v>
      </c>
      <c r="F280" s="83" t="s">
        <v>4289</v>
      </c>
      <c r="G280" s="83" t="s">
        <v>2446</v>
      </c>
      <c r="H280" s="83" t="str">
        <f>IFERROR(__xludf.DUMMYFUNCTION("""COMPUTED_VALUE"""),"Школа 1561")</f>
        <v>Школа 1561</v>
      </c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114" t="s">
        <v>30</v>
      </c>
      <c r="B281" s="83" t="s">
        <v>4015</v>
      </c>
      <c r="C281" s="83" t="s">
        <v>3514</v>
      </c>
      <c r="D281" s="83" t="s">
        <v>3616</v>
      </c>
      <c r="E281" s="167" t="s">
        <v>4290</v>
      </c>
      <c r="F281" s="83" t="s">
        <v>4291</v>
      </c>
      <c r="G281" s="83" t="s">
        <v>2419</v>
      </c>
      <c r="H281" s="83" t="str">
        <f>IFERROR(__xludf.DUMMYFUNCTION("""COMPUTED_VALUE"""),"Школа 1564")</f>
        <v>Школа 1564</v>
      </c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114" t="s">
        <v>30</v>
      </c>
      <c r="B282" s="83" t="s">
        <v>4016</v>
      </c>
      <c r="C282" s="83" t="s">
        <v>3409</v>
      </c>
      <c r="D282" s="83" t="s">
        <v>3616</v>
      </c>
      <c r="E282" s="167" t="s">
        <v>4292</v>
      </c>
      <c r="F282" s="83" t="s">
        <v>4293</v>
      </c>
      <c r="G282" s="83" t="s">
        <v>2453</v>
      </c>
      <c r="H282" s="83" t="str">
        <f>IFERROR(__xludf.DUMMYFUNCTION("""COMPUTED_VALUE"""),"Школа 1569")</f>
        <v>Школа 1569</v>
      </c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114" t="s">
        <v>30</v>
      </c>
      <c r="B283" s="83" t="s">
        <v>4017</v>
      </c>
      <c r="C283" s="83" t="s">
        <v>3650</v>
      </c>
      <c r="D283" s="83" t="s">
        <v>3616</v>
      </c>
      <c r="E283" s="167" t="s">
        <v>4294</v>
      </c>
      <c r="F283" s="83" t="s">
        <v>4295</v>
      </c>
      <c r="G283" s="83" t="s">
        <v>2419</v>
      </c>
      <c r="H283" s="83" t="str">
        <f>IFERROR(__xludf.DUMMYFUNCTION("""COMPUTED_VALUE"""),"Школа 1571")</f>
        <v>Школа 1571</v>
      </c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114" t="s">
        <v>30</v>
      </c>
      <c r="B284" s="83" t="s">
        <v>4018</v>
      </c>
      <c r="C284" s="83" t="s">
        <v>3515</v>
      </c>
      <c r="D284" s="83" t="s">
        <v>3616</v>
      </c>
      <c r="E284" s="167" t="s">
        <v>4296</v>
      </c>
      <c r="F284" s="83" t="s">
        <v>1218</v>
      </c>
      <c r="G284" s="83" t="s">
        <v>2416</v>
      </c>
      <c r="H284" s="83" t="str">
        <f>IFERROR(__xludf.DUMMYFUNCTION("""COMPUTED_VALUE"""),"Школа 1573")</f>
        <v>Школа 1573</v>
      </c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114" t="s">
        <v>30</v>
      </c>
      <c r="B285" s="83" t="s">
        <v>4019</v>
      </c>
      <c r="C285" s="83" t="s">
        <v>3516</v>
      </c>
      <c r="D285" s="83" t="s">
        <v>3616</v>
      </c>
      <c r="E285" s="167" t="s">
        <v>4297</v>
      </c>
      <c r="F285" s="83" t="s">
        <v>4298</v>
      </c>
      <c r="G285" s="83" t="s">
        <v>2422</v>
      </c>
      <c r="H285" s="83" t="str">
        <f>IFERROR(__xludf.DUMMYFUNCTION("""COMPUTED_VALUE"""),"Школа 1574")</f>
        <v>Школа 1574</v>
      </c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114" t="s">
        <v>30</v>
      </c>
      <c r="B286" s="83" t="s">
        <v>4021</v>
      </c>
      <c r="C286" s="83" t="s">
        <v>3651</v>
      </c>
      <c r="D286" s="83" t="s">
        <v>3616</v>
      </c>
      <c r="E286" s="167" t="s">
        <v>4299</v>
      </c>
      <c r="F286" s="83" t="s">
        <v>1242</v>
      </c>
      <c r="G286" s="83" t="s">
        <v>2497</v>
      </c>
      <c r="H286" s="83" t="str">
        <f>IFERROR(__xludf.DUMMYFUNCTION("""COMPUTED_VALUE"""),"Школа 1583")</f>
        <v>Школа 1583</v>
      </c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114" t="s">
        <v>30</v>
      </c>
      <c r="B287" s="83" t="s">
        <v>4022</v>
      </c>
      <c r="C287" s="83" t="s">
        <v>3652</v>
      </c>
      <c r="D287" s="83" t="s">
        <v>3616</v>
      </c>
      <c r="E287" s="167" t="s">
        <v>4300</v>
      </c>
      <c r="F287" s="83" t="s">
        <v>4301</v>
      </c>
      <c r="G287" s="83" t="s">
        <v>2406</v>
      </c>
      <c r="H287" s="83" t="str">
        <f>IFERROR(__xludf.DUMMYFUNCTION("""COMPUTED_VALUE"""),"Школа 1584")</f>
        <v>Школа 1584</v>
      </c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114" t="s">
        <v>30</v>
      </c>
      <c r="B288" s="83" t="s">
        <v>4023</v>
      </c>
      <c r="C288" s="83" t="s">
        <v>4302</v>
      </c>
      <c r="D288" s="83" t="s">
        <v>3935</v>
      </c>
      <c r="E288" s="167" t="s">
        <v>4303</v>
      </c>
      <c r="F288" s="83" t="s">
        <v>4304</v>
      </c>
      <c r="G288" s="83" t="s">
        <v>2419</v>
      </c>
      <c r="H288" s="83" t="str">
        <f>IFERROR(__xludf.DUMMYFUNCTION("""COMPUTED_VALUE"""),"Школа 1619")</f>
        <v>Школа 1619</v>
      </c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114" t="s">
        <v>30</v>
      </c>
      <c r="B289" s="83" t="s">
        <v>4024</v>
      </c>
      <c r="C289" s="83" t="s">
        <v>3653</v>
      </c>
      <c r="D289" s="83" t="s">
        <v>3935</v>
      </c>
      <c r="E289" s="167" t="s">
        <v>4305</v>
      </c>
      <c r="F289" s="83" t="s">
        <v>4306</v>
      </c>
      <c r="G289" s="83" t="s">
        <v>2453</v>
      </c>
      <c r="H289" s="83" t="str">
        <f>IFERROR(__xludf.DUMMYFUNCTION("""COMPUTED_VALUE"""),"Школа 1636")</f>
        <v>Школа 1636</v>
      </c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114" t="s">
        <v>30</v>
      </c>
      <c r="B290" s="83" t="s">
        <v>4025</v>
      </c>
      <c r="C290" s="83" t="s">
        <v>4307</v>
      </c>
      <c r="D290" s="83" t="s">
        <v>3935</v>
      </c>
      <c r="E290" s="167" t="s">
        <v>4308</v>
      </c>
      <c r="F290" s="83" t="s">
        <v>4309</v>
      </c>
      <c r="G290" s="83" t="s">
        <v>2396</v>
      </c>
      <c r="H290" s="83" t="str">
        <f>IFERROR(__xludf.DUMMYFUNCTION("""COMPUTED_VALUE"""),"Московская международная школа")</f>
        <v>Московская международная школа</v>
      </c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114" t="s">
        <v>30</v>
      </c>
      <c r="B291" s="83" t="s">
        <v>4026</v>
      </c>
      <c r="C291" s="83" t="s">
        <v>4078</v>
      </c>
      <c r="D291" s="83" t="s">
        <v>3616</v>
      </c>
      <c r="E291" s="167" t="s">
        <v>4310</v>
      </c>
      <c r="F291" s="83" t="s">
        <v>4311</v>
      </c>
      <c r="G291" s="83" t="s">
        <v>2419</v>
      </c>
      <c r="H291" s="83" t="str">
        <f>IFERROR(__xludf.DUMMYFUNCTION("""COMPUTED_VALUE"""),"Школа 1747")</f>
        <v>Школа 1747</v>
      </c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114" t="s">
        <v>30</v>
      </c>
      <c r="B292" s="83" t="s">
        <v>4027</v>
      </c>
      <c r="C292" s="83" t="s">
        <v>3718</v>
      </c>
      <c r="D292" s="83" t="s">
        <v>3616</v>
      </c>
      <c r="E292" s="167" t="s">
        <v>4312</v>
      </c>
      <c r="F292" s="83" t="s">
        <v>4313</v>
      </c>
      <c r="G292" s="83" t="s">
        <v>2396</v>
      </c>
      <c r="H292" s="83" t="str">
        <f>IFERROR(__xludf.DUMMYFUNCTION("""COMPUTED_VALUE"""),"Школа 1748")</f>
        <v>Школа 1748</v>
      </c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114" t="s">
        <v>30</v>
      </c>
      <c r="B293" s="83" t="s">
        <v>4028</v>
      </c>
      <c r="C293" s="83" t="s">
        <v>3719</v>
      </c>
      <c r="D293" s="83" t="s">
        <v>3616</v>
      </c>
      <c r="E293" s="167" t="s">
        <v>4314</v>
      </c>
      <c r="F293" s="83" t="s">
        <v>4315</v>
      </c>
      <c r="G293" s="83" t="s">
        <v>2453</v>
      </c>
      <c r="H293" s="83" t="str">
        <f>IFERROR(__xludf.DUMMYFUNCTION("""COMPUTED_VALUE"""),"Школа 1770")</f>
        <v>Школа 1770</v>
      </c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114" t="s">
        <v>30</v>
      </c>
      <c r="B294" s="83" t="s">
        <v>4029</v>
      </c>
      <c r="C294" s="83" t="s">
        <v>3334</v>
      </c>
      <c r="D294" s="83" t="s">
        <v>3616</v>
      </c>
      <c r="E294" s="167" t="s">
        <v>4316</v>
      </c>
      <c r="F294" s="83" t="s">
        <v>4317</v>
      </c>
      <c r="G294" s="83" t="s">
        <v>2410</v>
      </c>
      <c r="H294" s="83" t="str">
        <f>IFERROR(__xludf.DUMMYFUNCTION("""COMPUTED_VALUE"""),"Школа 1788")</f>
        <v>Школа 1788</v>
      </c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114" t="s">
        <v>30</v>
      </c>
      <c r="B295" s="83" t="s">
        <v>4030</v>
      </c>
      <c r="C295" s="83" t="s">
        <v>3458</v>
      </c>
      <c r="D295" s="83" t="s">
        <v>3616</v>
      </c>
      <c r="E295" s="167" t="s">
        <v>4318</v>
      </c>
      <c r="F295" s="83" t="s">
        <v>4319</v>
      </c>
      <c r="G295" s="83" t="s">
        <v>2439</v>
      </c>
      <c r="H295" s="83" t="str">
        <f>IFERROR(__xludf.DUMMYFUNCTION("""COMPUTED_VALUE"""),"Школа 1793")</f>
        <v>Школа 1793</v>
      </c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114" t="s">
        <v>30</v>
      </c>
      <c r="B296" s="83" t="s">
        <v>4031</v>
      </c>
      <c r="C296" s="83" t="s">
        <v>3656</v>
      </c>
      <c r="D296" s="83" t="s">
        <v>3935</v>
      </c>
      <c r="E296" s="167" t="s">
        <v>4320</v>
      </c>
      <c r="F296" s="83" t="s">
        <v>4321</v>
      </c>
      <c r="G296" s="83" t="s">
        <v>2422</v>
      </c>
      <c r="H296" s="83" t="str">
        <f>IFERROR(__xludf.DUMMYFUNCTION("""COMPUTED_VALUE"""),"Школа 1799")</f>
        <v>Школа 1799</v>
      </c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114" t="s">
        <v>30</v>
      </c>
      <c r="B297" s="83" t="s">
        <v>4032</v>
      </c>
      <c r="C297" s="83" t="s">
        <v>3657</v>
      </c>
      <c r="D297" s="83" t="s">
        <v>3616</v>
      </c>
      <c r="E297" s="167" t="s">
        <v>4322</v>
      </c>
      <c r="F297" s="83" t="s">
        <v>4323</v>
      </c>
      <c r="G297" s="83" t="s">
        <v>2396</v>
      </c>
      <c r="H297" s="83" t="str">
        <f>IFERROR(__xludf.DUMMYFUNCTION("""COMPUTED_VALUE"""),"Школа 1811")</f>
        <v>Школа 1811</v>
      </c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114" t="s">
        <v>30</v>
      </c>
      <c r="B298" s="83" t="s">
        <v>4033</v>
      </c>
      <c r="C298" s="83" t="s">
        <v>3415</v>
      </c>
      <c r="D298" s="83" t="s">
        <v>3616</v>
      </c>
      <c r="E298" s="167" t="s">
        <v>4324</v>
      </c>
      <c r="F298" s="83" t="s">
        <v>4325</v>
      </c>
      <c r="G298" s="83" t="s">
        <v>2453</v>
      </c>
      <c r="H298" s="83" t="str">
        <f>IFERROR(__xludf.DUMMYFUNCTION("""COMPUTED_VALUE"""),"Школа 1861")</f>
        <v>Школа 1861</v>
      </c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114" t="s">
        <v>30</v>
      </c>
      <c r="B299" s="83" t="s">
        <v>4034</v>
      </c>
      <c r="C299" s="83" t="s">
        <v>3450</v>
      </c>
      <c r="D299" s="83" t="s">
        <v>3616</v>
      </c>
      <c r="E299" s="167" t="s">
        <v>4326</v>
      </c>
      <c r="F299" s="83" t="s">
        <v>4327</v>
      </c>
      <c r="G299" s="83" t="s">
        <v>2453</v>
      </c>
      <c r="H299" s="83" t="str">
        <f>IFERROR(__xludf.DUMMYFUNCTION("""COMPUTED_VALUE"""),"Школа 1862")</f>
        <v>Школа 1862</v>
      </c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114" t="s">
        <v>30</v>
      </c>
      <c r="B300" s="83" t="s">
        <v>4035</v>
      </c>
      <c r="C300" s="83" t="s">
        <v>3658</v>
      </c>
      <c r="D300" s="83" t="s">
        <v>3616</v>
      </c>
      <c r="E300" s="167" t="s">
        <v>4328</v>
      </c>
      <c r="F300" s="83" t="s">
        <v>4329</v>
      </c>
      <c r="G300" s="83" t="s">
        <v>2422</v>
      </c>
      <c r="H300" s="83" t="str">
        <f>IFERROR(__xludf.DUMMYFUNCTION("""COMPUTED_VALUE"""),"Школа 1950")</f>
        <v>Школа 1950</v>
      </c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114" t="s">
        <v>30</v>
      </c>
      <c r="B301" s="83" t="s">
        <v>4036</v>
      </c>
      <c r="C301" s="83" t="s">
        <v>3483</v>
      </c>
      <c r="D301" s="83" t="s">
        <v>3935</v>
      </c>
      <c r="E301" s="167" t="s">
        <v>4330</v>
      </c>
      <c r="F301" s="83" t="s">
        <v>4331</v>
      </c>
      <c r="G301" s="83" t="s">
        <v>2446</v>
      </c>
      <c r="H301" s="83" t="str">
        <f>IFERROR(__xludf.DUMMYFUNCTION("""COMPUTED_VALUE"""),"Школа 1995")</f>
        <v>Школа 1995</v>
      </c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114" t="s">
        <v>30</v>
      </c>
      <c r="B302" s="83" t="s">
        <v>4037</v>
      </c>
      <c r="C302" s="83" t="s">
        <v>3659</v>
      </c>
      <c r="D302" s="83" t="s">
        <v>3616</v>
      </c>
      <c r="E302" s="167" t="s">
        <v>4332</v>
      </c>
      <c r="F302" s="83" t="s">
        <v>4333</v>
      </c>
      <c r="G302" s="83" t="s">
        <v>2419</v>
      </c>
      <c r="H302" s="83" t="str">
        <f>IFERROR(__xludf.DUMMYFUNCTION("""COMPUTED_VALUE"""),"Школа 2005")</f>
        <v>Школа 2005</v>
      </c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114" t="s">
        <v>30</v>
      </c>
      <c r="B303" s="83" t="s">
        <v>4038</v>
      </c>
      <c r="C303" s="83" t="s">
        <v>3421</v>
      </c>
      <c r="D303" s="83" t="s">
        <v>3616</v>
      </c>
      <c r="E303" s="167" t="s">
        <v>4334</v>
      </c>
      <c r="F303" s="83" t="s">
        <v>4335</v>
      </c>
      <c r="G303" s="83" t="s">
        <v>2446</v>
      </c>
      <c r="H303" s="83" t="str">
        <f>IFERROR(__xludf.DUMMYFUNCTION("""COMPUTED_VALUE"""),"Школа 2006")</f>
        <v>Школа 2006</v>
      </c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114" t="s">
        <v>30</v>
      </c>
      <c r="B304" s="83" t="s">
        <v>4039</v>
      </c>
      <c r="C304" s="83" t="s">
        <v>3660</v>
      </c>
      <c r="D304" s="83" t="s">
        <v>3616</v>
      </c>
      <c r="E304" s="167" t="s">
        <v>4336</v>
      </c>
      <c r="F304" s="83" t="s">
        <v>4337</v>
      </c>
      <c r="G304" s="83" t="s">
        <v>2396</v>
      </c>
      <c r="H304" s="83" t="str">
        <f>IFERROR(__xludf.DUMMYFUNCTION("""COMPUTED_VALUE"""),"Школа 2033")</f>
        <v>Школа 2033</v>
      </c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114" t="s">
        <v>30</v>
      </c>
      <c r="B305" s="83" t="s">
        <v>4040</v>
      </c>
      <c r="C305" s="83" t="s">
        <v>3661</v>
      </c>
      <c r="D305" s="83" t="s">
        <v>3616</v>
      </c>
      <c r="E305" s="167" t="s">
        <v>4338</v>
      </c>
      <c r="F305" s="83" t="s">
        <v>4339</v>
      </c>
      <c r="G305" s="83" t="s">
        <v>2396</v>
      </c>
      <c r="H305" s="83" t="str">
        <f>IFERROR(__xludf.DUMMYFUNCTION("""COMPUTED_VALUE"""),"Школа 2036")</f>
        <v>Школа 2036</v>
      </c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114" t="s">
        <v>30</v>
      </c>
      <c r="B306" s="83" t="s">
        <v>4041</v>
      </c>
      <c r="C306" s="83" t="s">
        <v>3358</v>
      </c>
      <c r="D306" s="83" t="s">
        <v>3616</v>
      </c>
      <c r="E306" s="167" t="s">
        <v>4340</v>
      </c>
      <c r="F306" s="83" t="s">
        <v>4341</v>
      </c>
      <c r="G306" s="83" t="s">
        <v>2487</v>
      </c>
      <c r="H306" s="83" t="str">
        <f>IFERROR(__xludf.DUMMYFUNCTION("""COMPUTED_VALUE"""),"Школа 2045")</f>
        <v>Школа 2045</v>
      </c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114" t="s">
        <v>30</v>
      </c>
      <c r="B307" s="83" t="s">
        <v>4042</v>
      </c>
      <c r="C307" s="83" t="s">
        <v>3451</v>
      </c>
      <c r="D307" s="83" t="s">
        <v>3616</v>
      </c>
      <c r="E307" s="167" t="s">
        <v>4342</v>
      </c>
      <c r="F307" s="83" t="s">
        <v>4343</v>
      </c>
      <c r="G307" s="83" t="s">
        <v>2439</v>
      </c>
      <c r="H307" s="83" t="str">
        <f>IFERROR(__xludf.DUMMYFUNCTION("""COMPUTED_VALUE"""),"Школа 2048")</f>
        <v>Школа 2048</v>
      </c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114" t="s">
        <v>30</v>
      </c>
      <c r="B308" s="83" t="s">
        <v>4043</v>
      </c>
      <c r="C308" s="83" t="s">
        <v>3662</v>
      </c>
      <c r="D308" s="83" t="s">
        <v>3939</v>
      </c>
      <c r="E308" s="167" t="s">
        <v>4344</v>
      </c>
      <c r="F308" s="83" t="s">
        <v>4345</v>
      </c>
      <c r="G308" s="83" t="s">
        <v>2439</v>
      </c>
      <c r="H308" s="83" t="str">
        <f>IFERROR(__xludf.DUMMYFUNCTION("""COMPUTED_VALUE"""),"Школа 2051")</f>
        <v>Школа 2051</v>
      </c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114" t="s">
        <v>30</v>
      </c>
      <c r="B309" s="83" t="s">
        <v>4044</v>
      </c>
      <c r="C309" s="83" t="s">
        <v>3611</v>
      </c>
      <c r="D309" s="83" t="s">
        <v>3616</v>
      </c>
      <c r="E309" s="167" t="s">
        <v>4346</v>
      </c>
      <c r="F309" s="83" t="s">
        <v>4347</v>
      </c>
      <c r="G309" s="83" t="s">
        <v>2422</v>
      </c>
      <c r="H309" s="83" t="str">
        <f>IFERROR(__xludf.DUMMYFUNCTION("""COMPUTED_VALUE"""),"Школа 2054")</f>
        <v>Школа 2054</v>
      </c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114" t="s">
        <v>30</v>
      </c>
      <c r="B310" s="83" t="s">
        <v>4045</v>
      </c>
      <c r="C310" s="83" t="s">
        <v>3727</v>
      </c>
      <c r="D310" s="83" t="s">
        <v>3935</v>
      </c>
      <c r="E310" s="167" t="s">
        <v>4348</v>
      </c>
      <c r="F310" s="83" t="s">
        <v>4349</v>
      </c>
      <c r="G310" s="83" t="s">
        <v>2410</v>
      </c>
      <c r="H310" s="83" t="str">
        <f>IFERROR(__xludf.DUMMYFUNCTION("""COMPUTED_VALUE"""),"Школа 2065")</f>
        <v>Школа 2065</v>
      </c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114" t="s">
        <v>30</v>
      </c>
      <c r="B311" s="83" t="s">
        <v>4046</v>
      </c>
      <c r="C311" s="83" t="s">
        <v>3663</v>
      </c>
      <c r="D311" s="83" t="s">
        <v>3616</v>
      </c>
      <c r="E311" s="167" t="s">
        <v>4350</v>
      </c>
      <c r="F311" s="83" t="s">
        <v>4351</v>
      </c>
      <c r="G311" s="83" t="s">
        <v>2410</v>
      </c>
      <c r="H311" s="83" t="str">
        <f>IFERROR(__xludf.DUMMYFUNCTION("""COMPUTED_VALUE"""),"Школа 2070")</f>
        <v>Школа 2070</v>
      </c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114" t="s">
        <v>30</v>
      </c>
      <c r="B312" s="83" t="s">
        <v>4047</v>
      </c>
      <c r="C312" s="83" t="s">
        <v>3664</v>
      </c>
      <c r="D312" s="83" t="s">
        <v>3616</v>
      </c>
      <c r="E312" s="167" t="s">
        <v>4352</v>
      </c>
      <c r="F312" s="83" t="s">
        <v>4353</v>
      </c>
      <c r="G312" s="83" t="s">
        <v>2439</v>
      </c>
      <c r="H312" s="83" t="str">
        <f>IFERROR(__xludf.DUMMYFUNCTION("""COMPUTED_VALUE"""),"Школа 2087")</f>
        <v>Школа 2087</v>
      </c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114" t="s">
        <v>30</v>
      </c>
      <c r="B313" s="83" t="s">
        <v>4048</v>
      </c>
      <c r="C313" s="83" t="s">
        <v>3815</v>
      </c>
      <c r="D313" s="83" t="s">
        <v>3939</v>
      </c>
      <c r="E313" s="167" t="s">
        <v>4354</v>
      </c>
      <c r="F313" s="83" t="s">
        <v>4355</v>
      </c>
      <c r="G313" s="83" t="s">
        <v>2410</v>
      </c>
      <c r="H313" s="83" t="str">
        <f>IFERROR(__xludf.DUMMYFUNCTION("""COMPUTED_VALUE"""),"Школа 2094")</f>
        <v>Школа 2094</v>
      </c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114" t="s">
        <v>30</v>
      </c>
      <c r="B314" s="83" t="s">
        <v>4049</v>
      </c>
      <c r="C314" s="83" t="s">
        <v>3665</v>
      </c>
      <c r="D314" s="83" t="s">
        <v>3616</v>
      </c>
      <c r="E314" s="167" t="s">
        <v>4356</v>
      </c>
      <c r="F314" s="83" t="s">
        <v>4357</v>
      </c>
      <c r="G314" s="83" t="s">
        <v>2419</v>
      </c>
      <c r="H314" s="83" t="str">
        <f>IFERROR(__xludf.DUMMYFUNCTION("""COMPUTED_VALUE"""),"Школа 2097")</f>
        <v>Школа 2097</v>
      </c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114" t="s">
        <v>30</v>
      </c>
      <c r="B315" s="83" t="s">
        <v>4050</v>
      </c>
      <c r="C315" s="83" t="s">
        <v>3666</v>
      </c>
      <c r="D315" s="83" t="s">
        <v>3616</v>
      </c>
      <c r="E315" s="167" t="s">
        <v>4358</v>
      </c>
      <c r="F315" s="83" t="s">
        <v>4359</v>
      </c>
      <c r="G315" s="83" t="s">
        <v>2497</v>
      </c>
      <c r="H315" s="83" t="str">
        <f>IFERROR(__xludf.DUMMYFUNCTION("""COMPUTED_VALUE"""),"Школа 2098")</f>
        <v>Школа 2098</v>
      </c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114" t="s">
        <v>30</v>
      </c>
      <c r="B316" s="83" t="s">
        <v>4051</v>
      </c>
      <c r="C316" s="83" t="s">
        <v>3614</v>
      </c>
      <c r="D316" s="83" t="s">
        <v>3616</v>
      </c>
      <c r="E316" s="167" t="s">
        <v>4360</v>
      </c>
      <c r="F316" s="83" t="s">
        <v>4361</v>
      </c>
      <c r="G316" s="83" t="s">
        <v>2422</v>
      </c>
      <c r="H316" s="83" t="str">
        <f>IFERROR(__xludf.DUMMYFUNCTION("""COMPUTED_VALUE"""),"Школа 2107")</f>
        <v>Школа 2107</v>
      </c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114" t="s">
        <v>30</v>
      </c>
      <c r="B317" s="83" t="s">
        <v>4052</v>
      </c>
      <c r="C317" s="83" t="s">
        <v>3805</v>
      </c>
      <c r="D317" s="83" t="s">
        <v>3939</v>
      </c>
      <c r="E317" s="167" t="s">
        <v>4362</v>
      </c>
      <c r="F317" s="83" t="s">
        <v>4363</v>
      </c>
      <c r="G317" s="83" t="s">
        <v>2410</v>
      </c>
      <c r="H317" s="83" t="str">
        <f>IFERROR(__xludf.DUMMYFUNCTION("""COMPUTED_VALUE"""),"Школа 2117")</f>
        <v>Школа 2117</v>
      </c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114" t="s">
        <v>30</v>
      </c>
      <c r="B318" s="83" t="s">
        <v>4053</v>
      </c>
      <c r="C318" s="83" t="s">
        <v>3426</v>
      </c>
      <c r="D318" s="83" t="s">
        <v>3616</v>
      </c>
      <c r="E318" s="167" t="s">
        <v>4364</v>
      </c>
      <c r="F318" s="83" t="s">
        <v>4365</v>
      </c>
      <c r="G318" s="83" t="s">
        <v>2410</v>
      </c>
      <c r="H318" s="83" t="str">
        <f>IFERROR(__xludf.DUMMYFUNCTION("""COMPUTED_VALUE"""),"Школа 2120")</f>
        <v>Школа 2120</v>
      </c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114" t="s">
        <v>30</v>
      </c>
      <c r="B319" s="83" t="s">
        <v>4054</v>
      </c>
      <c r="C319" s="83" t="s">
        <v>3453</v>
      </c>
      <c r="D319" s="83" t="s">
        <v>3616</v>
      </c>
      <c r="E319" s="167" t="s">
        <v>4366</v>
      </c>
      <c r="F319" s="83" t="s">
        <v>4367</v>
      </c>
      <c r="G319" s="83" t="s">
        <v>2396</v>
      </c>
      <c r="H319" s="83" t="str">
        <f>IFERROR(__xludf.DUMMYFUNCTION("""COMPUTED_VALUE"""),"Школа 2127")</f>
        <v>Школа 2127</v>
      </c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114" t="s">
        <v>30</v>
      </c>
      <c r="B320" s="83" t="s">
        <v>4055</v>
      </c>
      <c r="C320" s="83" t="s">
        <v>4368</v>
      </c>
      <c r="D320" s="83" t="s">
        <v>3616</v>
      </c>
      <c r="E320" s="167" t="s">
        <v>4175</v>
      </c>
      <c r="F320" s="83" t="s">
        <v>4369</v>
      </c>
      <c r="G320" s="83" t="s">
        <v>4370</v>
      </c>
      <c r="H320" s="83" t="str">
        <f>IFERROR(__xludf.DUMMYFUNCTION("""COMPUTED_VALUE"""),"Гимназия им. Н. В. Пушкова")</f>
        <v>Гимназия им. Н. В. Пушкова</v>
      </c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114" t="s">
        <v>30</v>
      </c>
      <c r="B321" s="83" t="s">
        <v>4056</v>
      </c>
      <c r="C321" s="83" t="s">
        <v>3529</v>
      </c>
      <c r="D321" s="83" t="s">
        <v>3616</v>
      </c>
      <c r="E321" s="167" t="s">
        <v>4371</v>
      </c>
      <c r="F321" s="83" t="s">
        <v>936</v>
      </c>
      <c r="G321" s="83" t="s">
        <v>2396</v>
      </c>
      <c r="H321" s="83" t="str">
        <f>IFERROR(__xludf.DUMMYFUNCTION("""COMPUTED_VALUE"""),"Вешняковская школа")</f>
        <v>Вешняковская школа</v>
      </c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114" t="s">
        <v>30</v>
      </c>
      <c r="B322" s="83" t="s">
        <v>4057</v>
      </c>
      <c r="C322" s="83" t="s">
        <v>3667</v>
      </c>
      <c r="D322" s="83" t="s">
        <v>3616</v>
      </c>
      <c r="E322" s="167" t="s">
        <v>4372</v>
      </c>
      <c r="F322" s="83" t="s">
        <v>68</v>
      </c>
      <c r="G322" s="83" t="s">
        <v>2419</v>
      </c>
      <c r="H322" s="83" t="str">
        <f>IFERROR(__xludf.DUMMYFUNCTION("""COMPUTED_VALUE"""),"Курчатовская школа")</f>
        <v>Курчатовская школа</v>
      </c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114" t="s">
        <v>30</v>
      </c>
      <c r="B323" s="83" t="s">
        <v>4058</v>
      </c>
      <c r="C323" s="83" t="s">
        <v>3364</v>
      </c>
      <c r="D323" s="83" t="s">
        <v>3616</v>
      </c>
      <c r="E323" s="167" t="s">
        <v>4373</v>
      </c>
      <c r="F323" s="83" t="s">
        <v>4374</v>
      </c>
      <c r="G323" s="83" t="s">
        <v>2422</v>
      </c>
      <c r="H323" s="83" t="str">
        <f>IFERROR(__xludf.DUMMYFUNCTION("""COMPUTED_VALUE"""),"Романовская школа")</f>
        <v>Романовская школа</v>
      </c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114" t="s">
        <v>30</v>
      </c>
      <c r="B324" s="83" t="s">
        <v>4059</v>
      </c>
      <c r="C324" s="83" t="s">
        <v>3486</v>
      </c>
      <c r="D324" s="83" t="s">
        <v>3616</v>
      </c>
      <c r="E324" s="167" t="s">
        <v>4375</v>
      </c>
      <c r="F324" s="83" t="s">
        <v>4376</v>
      </c>
      <c r="G324" s="83" t="s">
        <v>2497</v>
      </c>
      <c r="H324" s="83" t="str">
        <f>IFERROR(__xludf.DUMMYFUNCTION("""COMPUTED_VALUE"""),"Школа Дмитровский им. Героя Советского Союза В. П. Кислякова")</f>
        <v>Школа Дмитровский им. Героя Советского Союза В. П. Кислякова</v>
      </c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114" t="s">
        <v>30</v>
      </c>
      <c r="B325" s="83" t="s">
        <v>4060</v>
      </c>
      <c r="C325" s="83" t="s">
        <v>3673</v>
      </c>
      <c r="D325" s="83" t="s">
        <v>3616</v>
      </c>
      <c r="E325" s="167" t="s">
        <v>4377</v>
      </c>
      <c r="F325" s="83" t="s">
        <v>4378</v>
      </c>
      <c r="G325" s="83" t="s">
        <v>2406</v>
      </c>
      <c r="H325" s="83" t="str">
        <f>IFERROR(__xludf.DUMMYFUNCTION("""COMPUTED_VALUE"""),"Школа Интеграл")</f>
        <v>Школа Интеграл</v>
      </c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114" t="s">
        <v>30</v>
      </c>
      <c r="B326" s="83" t="s">
        <v>4061</v>
      </c>
      <c r="C326" s="83" t="s">
        <v>3530</v>
      </c>
      <c r="D326" s="83" t="s">
        <v>3935</v>
      </c>
      <c r="E326" s="167" t="s">
        <v>4379</v>
      </c>
      <c r="F326" s="83" t="s">
        <v>4380</v>
      </c>
      <c r="G326" s="83" t="s">
        <v>2439</v>
      </c>
      <c r="H326" s="83" t="str">
        <f>IFERROR(__xludf.DUMMYFUNCTION("""COMPUTED_VALUE"""),"Школа Марьино им. маршала авиации А. Е. Голованова")</f>
        <v>Школа Марьино им. маршала авиации А. Е. Голованова</v>
      </c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114" t="s">
        <v>30</v>
      </c>
      <c r="B327" s="83" t="s">
        <v>4062</v>
      </c>
      <c r="C327" s="83" t="s">
        <v>3671</v>
      </c>
      <c r="D327" s="83" t="s">
        <v>3616</v>
      </c>
      <c r="E327" s="167" t="s">
        <v>4381</v>
      </c>
      <c r="F327" s="83" t="s">
        <v>4382</v>
      </c>
      <c r="G327" s="83" t="s">
        <v>2422</v>
      </c>
      <c r="H327" s="83" t="str">
        <f>IFERROR(__xludf.DUMMYFUNCTION("""COMPUTED_VALUE"""),"Школа Покровский квартал")</f>
        <v>Школа Покровский квартал</v>
      </c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114" t="s">
        <v>30</v>
      </c>
      <c r="B328" s="83" t="s">
        <v>4063</v>
      </c>
      <c r="C328" s="83" t="s">
        <v>3489</v>
      </c>
      <c r="D328" s="83" t="s">
        <v>3935</v>
      </c>
      <c r="E328" s="167" t="s">
        <v>4383</v>
      </c>
      <c r="F328" s="83" t="s">
        <v>4384</v>
      </c>
      <c r="G328" s="83" t="s">
        <v>2439</v>
      </c>
      <c r="H328" s="83" t="str">
        <f>IFERROR(__xludf.DUMMYFUNCTION("""COMPUTED_VALUE"""),"Школа в Капотне")</f>
        <v>Школа в Капотне</v>
      </c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114" t="s">
        <v>30</v>
      </c>
      <c r="B329" s="83" t="s">
        <v>4064</v>
      </c>
      <c r="C329" s="83" t="s">
        <v>3668</v>
      </c>
      <c r="D329" s="83" t="s">
        <v>3616</v>
      </c>
      <c r="E329" s="167" t="s">
        <v>4385</v>
      </c>
      <c r="F329" s="83" t="s">
        <v>4386</v>
      </c>
      <c r="G329" s="83" t="s">
        <v>2439</v>
      </c>
      <c r="H329" s="83" t="str">
        <f>IFERROR(__xludf.DUMMYFUNCTION("""COMPUTED_VALUE"""),"Школа в Некрасовке")</f>
        <v>Школа в Некрасовке</v>
      </c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114" t="s">
        <v>30</v>
      </c>
      <c r="B330" s="83" t="s">
        <v>4065</v>
      </c>
      <c r="C330" s="83" t="s">
        <v>3367</v>
      </c>
      <c r="D330" s="83" t="s">
        <v>3616</v>
      </c>
      <c r="E330" s="167" t="s">
        <v>4387</v>
      </c>
      <c r="F330" s="83" t="s">
        <v>4388</v>
      </c>
      <c r="G330" s="83" t="s">
        <v>2439</v>
      </c>
      <c r="H330" s="83" t="str">
        <f>IFERROR(__xludf.DUMMYFUNCTION("""COMPUTED_VALUE"""),"Школа им. В. В. Маяковского")</f>
        <v>Школа им. В. В. Маяковского</v>
      </c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114" t="s">
        <v>30</v>
      </c>
      <c r="B331" s="83" t="s">
        <v>4066</v>
      </c>
      <c r="C331" s="83" t="s">
        <v>3672</v>
      </c>
      <c r="D331" s="83" t="s">
        <v>3616</v>
      </c>
      <c r="E331" s="167" t="s">
        <v>4389</v>
      </c>
      <c r="F331" s="83" t="s">
        <v>4390</v>
      </c>
      <c r="G331" s="83" t="s">
        <v>2416</v>
      </c>
      <c r="H331" s="83" t="str">
        <f>IFERROR(__xludf.DUMMYFUNCTION("""COMPUTED_VALUE"""),"Школа Марьина Роща им. В. Ф. Орлова")</f>
        <v>Школа Марьина Роща им. В. Ф. Орлова</v>
      </c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114" t="s">
        <v>30</v>
      </c>
      <c r="B332" s="83" t="s">
        <v>4067</v>
      </c>
      <c r="C332" s="83" t="s">
        <v>3669</v>
      </c>
      <c r="D332" s="83" t="s">
        <v>3939</v>
      </c>
      <c r="E332" s="167" t="s">
        <v>4391</v>
      </c>
      <c r="F332" s="83" t="s">
        <v>4392</v>
      </c>
      <c r="G332" s="83" t="s">
        <v>2396</v>
      </c>
      <c r="H332" s="83" t="str">
        <f>IFERROR(__xludf.DUMMYFUNCTION("""COMPUTED_VALUE"""),"Школа Новокосино им. Героя Советского Союза адмирала А. П. Михайловского")</f>
        <v>Школа Новокосино им. Героя Советского Союза адмирала А. П. Михайловского</v>
      </c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7" t="s">
        <v>31</v>
      </c>
      <c r="B333" s="26">
        <v>1.0</v>
      </c>
      <c r="C333" s="83" t="s">
        <v>3430</v>
      </c>
      <c r="D333" s="83" t="s">
        <v>3616</v>
      </c>
      <c r="E333" s="33"/>
      <c r="F333" s="33"/>
      <c r="G333" s="33"/>
      <c r="H333" s="33" t="str">
        <f>IFERROR(__xludf.DUMMYFUNCTION("""COMPUTED_VALUE"""),"Школа 7")</f>
        <v>Школа 7</v>
      </c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7" t="s">
        <v>31</v>
      </c>
      <c r="B334" s="26">
        <v>2.0</v>
      </c>
      <c r="C334" s="83" t="s">
        <v>3492</v>
      </c>
      <c r="D334" s="83" t="s">
        <v>3939</v>
      </c>
      <c r="E334" s="33"/>
      <c r="F334" s="33"/>
      <c r="G334" s="33"/>
      <c r="H334" s="33" t="str">
        <f>IFERROR(__xludf.DUMMYFUNCTION("""COMPUTED_VALUE"""),"Школа 17")</f>
        <v>Школа 17</v>
      </c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7" t="s">
        <v>31</v>
      </c>
      <c r="B335" s="26">
        <v>3.0</v>
      </c>
      <c r="C335" s="83" t="s">
        <v>3737</v>
      </c>
      <c r="D335" s="83" t="s">
        <v>3616</v>
      </c>
      <c r="E335" s="33"/>
      <c r="F335" s="33"/>
      <c r="G335" s="33"/>
      <c r="H335" s="33" t="str">
        <f>IFERROR(__xludf.DUMMYFUNCTION("""COMPUTED_VALUE"""),"Школа 45")</f>
        <v>Школа 45</v>
      </c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7" t="s">
        <v>31</v>
      </c>
      <c r="B336" s="26">
        <v>4.0</v>
      </c>
      <c r="C336" s="83" t="s">
        <v>3340</v>
      </c>
      <c r="D336" s="83" t="s">
        <v>3616</v>
      </c>
      <c r="E336" s="33"/>
      <c r="F336" s="33"/>
      <c r="G336" s="33"/>
      <c r="H336" s="33" t="str">
        <f>IFERROR(__xludf.DUMMYFUNCTION("""COMPUTED_VALUE"""),"Школа 56")</f>
        <v>Школа 56</v>
      </c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7" t="s">
        <v>31</v>
      </c>
      <c r="B337" s="26">
        <v>5.0</v>
      </c>
      <c r="C337" s="83" t="s">
        <v>3738</v>
      </c>
      <c r="D337" s="83" t="s">
        <v>3616</v>
      </c>
      <c r="E337" s="33"/>
      <c r="F337" s="33"/>
      <c r="G337" s="33"/>
      <c r="H337" s="33" t="str">
        <f>IFERROR(__xludf.DUMMYFUNCTION("""COMPUTED_VALUE"""),"Школа 64")</f>
        <v>Школа 64</v>
      </c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7" t="s">
        <v>31</v>
      </c>
      <c r="B338" s="26">
        <v>6.0</v>
      </c>
      <c r="C338" s="83" t="s">
        <v>3341</v>
      </c>
      <c r="D338" s="83" t="s">
        <v>3616</v>
      </c>
      <c r="E338" s="33"/>
      <c r="F338" s="33"/>
      <c r="G338" s="33"/>
      <c r="H338" s="33" t="str">
        <f>IFERROR(__xludf.DUMMYFUNCTION("""COMPUTED_VALUE"""),"Школа 67")</f>
        <v>Школа 67</v>
      </c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7" t="s">
        <v>31</v>
      </c>
      <c r="B339" s="26">
        <v>7.0</v>
      </c>
      <c r="C339" s="83" t="s">
        <v>3369</v>
      </c>
      <c r="D339" s="83" t="s">
        <v>3935</v>
      </c>
      <c r="E339" s="33"/>
      <c r="F339" s="33"/>
      <c r="G339" s="33"/>
      <c r="H339" s="33" t="str">
        <f>IFERROR(__xludf.DUMMYFUNCTION("""COMPUTED_VALUE"""),"Школа 69")</f>
        <v>Школа 69</v>
      </c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7" t="s">
        <v>31</v>
      </c>
      <c r="B340" s="26">
        <v>8.0</v>
      </c>
      <c r="C340" s="83" t="s">
        <v>3549</v>
      </c>
      <c r="D340" s="83" t="s">
        <v>3939</v>
      </c>
      <c r="E340" s="33"/>
      <c r="F340" s="33"/>
      <c r="G340" s="33"/>
      <c r="H340" s="33" t="str">
        <f>IFERROR(__xludf.DUMMYFUNCTION("""COMPUTED_VALUE"""),"Школа 97")</f>
        <v>Школа 97</v>
      </c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7" t="s">
        <v>31</v>
      </c>
      <c r="B341" s="26">
        <v>9.0</v>
      </c>
      <c r="C341" s="83" t="s">
        <v>3370</v>
      </c>
      <c r="D341" s="83" t="s">
        <v>3939</v>
      </c>
      <c r="E341" s="33"/>
      <c r="F341" s="33"/>
      <c r="G341" s="33"/>
      <c r="H341" s="33" t="str">
        <f>IFERROR(__xludf.DUMMYFUNCTION("""COMPUTED_VALUE"""),"Школа 113")</f>
        <v>Школа 113</v>
      </c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7" t="s">
        <v>31</v>
      </c>
      <c r="B342" s="26">
        <v>10.0</v>
      </c>
      <c r="C342" s="83" t="s">
        <v>3739</v>
      </c>
      <c r="D342" s="83" t="s">
        <v>3616</v>
      </c>
      <c r="E342" s="33"/>
      <c r="F342" s="33"/>
      <c r="G342" s="33"/>
      <c r="H342" s="33" t="str">
        <f>IFERROR(__xludf.DUMMYFUNCTION("""COMPUTED_VALUE"""),"Школа 152")</f>
        <v>Школа 152</v>
      </c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7" t="s">
        <v>31</v>
      </c>
      <c r="B343" s="26">
        <v>11.0</v>
      </c>
      <c r="C343" s="83" t="s">
        <v>4393</v>
      </c>
      <c r="D343" s="83" t="s">
        <v>3616</v>
      </c>
      <c r="E343" s="33"/>
      <c r="F343" s="33"/>
      <c r="G343" s="33"/>
      <c r="H343" s="33" t="str">
        <f>IFERROR(__xludf.DUMMYFUNCTION("""COMPUTED_VALUE"""),"Школа 158")</f>
        <v>Школа 158</v>
      </c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7" t="s">
        <v>31</v>
      </c>
      <c r="B344" s="26">
        <v>12.0</v>
      </c>
      <c r="C344" s="83" t="s">
        <v>3434</v>
      </c>
      <c r="D344" s="83" t="s">
        <v>3616</v>
      </c>
      <c r="E344" s="33"/>
      <c r="F344" s="33"/>
      <c r="G344" s="33"/>
      <c r="H344" s="33" t="str">
        <f>IFERROR(__xludf.DUMMYFUNCTION("""COMPUTED_VALUE"""),"Школа 199")</f>
        <v>Школа 199</v>
      </c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7" t="s">
        <v>31</v>
      </c>
      <c r="B345" s="26">
        <v>13.0</v>
      </c>
      <c r="C345" s="83" t="s">
        <v>3798</v>
      </c>
      <c r="D345" s="83" t="s">
        <v>3939</v>
      </c>
      <c r="E345" s="33"/>
      <c r="F345" s="33"/>
      <c r="G345" s="33"/>
      <c r="H345" s="33" t="str">
        <f>IFERROR(__xludf.DUMMYFUNCTION("""COMPUTED_VALUE"""),"Школа 201")</f>
        <v>Школа 201</v>
      </c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7" t="s">
        <v>31</v>
      </c>
      <c r="B346" s="26">
        <v>14.0</v>
      </c>
      <c r="C346" s="83" t="s">
        <v>3372</v>
      </c>
      <c r="D346" s="83" t="s">
        <v>3616</v>
      </c>
      <c r="E346" s="33"/>
      <c r="F346" s="33"/>
      <c r="G346" s="33"/>
      <c r="H346" s="33" t="str">
        <f>IFERROR(__xludf.DUMMYFUNCTION("""COMPUTED_VALUE"""),"Школа 236")</f>
        <v>Школа 236</v>
      </c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7" t="s">
        <v>31</v>
      </c>
      <c r="B347" s="26">
        <v>15.0</v>
      </c>
      <c r="C347" s="83" t="s">
        <v>4394</v>
      </c>
      <c r="D347" s="83" t="s">
        <v>3935</v>
      </c>
      <c r="E347" s="33"/>
      <c r="F347" s="33"/>
      <c r="G347" s="33"/>
      <c r="H347" s="33" t="str">
        <f>IFERROR(__xludf.DUMMYFUNCTION("""COMPUTED_VALUE"""),"Школа 281")</f>
        <v>Школа 281</v>
      </c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7" t="s">
        <v>31</v>
      </c>
      <c r="B348" s="26">
        <v>16.0</v>
      </c>
      <c r="C348" s="83" t="s">
        <v>3494</v>
      </c>
      <c r="D348" s="83" t="s">
        <v>3935</v>
      </c>
      <c r="E348" s="33"/>
      <c r="F348" s="33"/>
      <c r="G348" s="33"/>
      <c r="H348" s="33" t="str">
        <f>IFERROR(__xludf.DUMMYFUNCTION("""COMPUTED_VALUE"""),"Школа 285")</f>
        <v>Школа 285</v>
      </c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7" t="s">
        <v>31</v>
      </c>
      <c r="B349" s="26">
        <v>17.0</v>
      </c>
      <c r="C349" s="83" t="s">
        <v>3740</v>
      </c>
      <c r="D349" s="83" t="s">
        <v>3616</v>
      </c>
      <c r="E349" s="33"/>
      <c r="F349" s="33"/>
      <c r="G349" s="33"/>
      <c r="H349" s="33" t="str">
        <f>IFERROR(__xludf.DUMMYFUNCTION("""COMPUTED_VALUE"""),"Школа 338")</f>
        <v>Школа 338</v>
      </c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7" t="s">
        <v>31</v>
      </c>
      <c r="B350" s="26">
        <v>18.0</v>
      </c>
      <c r="C350" s="83" t="s">
        <v>3677</v>
      </c>
      <c r="D350" s="83" t="s">
        <v>3616</v>
      </c>
      <c r="E350" s="33"/>
      <c r="F350" s="33"/>
      <c r="G350" s="33"/>
      <c r="H350" s="33" t="str">
        <f>IFERROR(__xludf.DUMMYFUNCTION("""COMPUTED_VALUE"""),"Школа 354")</f>
        <v>Школа 354</v>
      </c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7" t="s">
        <v>31</v>
      </c>
      <c r="B351" s="26">
        <v>19.0</v>
      </c>
      <c r="C351" s="83" t="s">
        <v>3532</v>
      </c>
      <c r="D351" s="83" t="s">
        <v>3939</v>
      </c>
      <c r="E351" s="33"/>
      <c r="F351" s="33"/>
      <c r="G351" s="33"/>
      <c r="H351" s="33" t="str">
        <f>IFERROR(__xludf.DUMMYFUNCTION("""COMPUTED_VALUE"""),"Школа 429")</f>
        <v>Школа 429</v>
      </c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7" t="s">
        <v>31</v>
      </c>
      <c r="B352" s="26">
        <v>20.0</v>
      </c>
      <c r="C352" s="83" t="s">
        <v>3619</v>
      </c>
      <c r="D352" s="83" t="s">
        <v>3616</v>
      </c>
      <c r="E352" s="33"/>
      <c r="F352" s="33"/>
      <c r="G352" s="33"/>
      <c r="H352" s="33" t="str">
        <f>IFERROR(__xludf.DUMMYFUNCTION("""COMPUTED_VALUE"""),"Школа 444")</f>
        <v>Школа 444</v>
      </c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7" t="s">
        <v>31</v>
      </c>
      <c r="B353" s="26">
        <v>21.0</v>
      </c>
      <c r="C353" s="83" t="s">
        <v>3741</v>
      </c>
      <c r="D353" s="83" t="s">
        <v>3616</v>
      </c>
      <c r="E353" s="33"/>
      <c r="F353" s="33"/>
      <c r="G353" s="33"/>
      <c r="H353" s="33" t="str">
        <f>IFERROR(__xludf.DUMMYFUNCTION("""COMPUTED_VALUE"""),"Школа 460")</f>
        <v>Школа 460</v>
      </c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7" t="s">
        <v>31</v>
      </c>
      <c r="B354" s="26">
        <v>22.0</v>
      </c>
      <c r="C354" s="83" t="s">
        <v>3552</v>
      </c>
      <c r="D354" s="83" t="s">
        <v>3616</v>
      </c>
      <c r="E354" s="33"/>
      <c r="F354" s="33"/>
      <c r="G354" s="33"/>
      <c r="H354" s="33" t="str">
        <f>IFERROR(__xludf.DUMMYFUNCTION("""COMPUTED_VALUE"""),"Школа 463")</f>
        <v>Школа 463</v>
      </c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7" t="s">
        <v>31</v>
      </c>
      <c r="B355" s="26">
        <v>23.0</v>
      </c>
      <c r="C355" s="83" t="s">
        <v>3743</v>
      </c>
      <c r="D355" s="83" t="s">
        <v>3616</v>
      </c>
      <c r="E355" s="33"/>
      <c r="F355" s="33"/>
      <c r="G355" s="33"/>
      <c r="H355" s="33" t="str">
        <f>IFERROR(__xludf.DUMMYFUNCTION("""COMPUTED_VALUE"""),"Школа 498")</f>
        <v>Школа 498</v>
      </c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7" t="s">
        <v>31</v>
      </c>
      <c r="B356" s="26">
        <v>24.0</v>
      </c>
      <c r="C356" s="83" t="s">
        <v>3553</v>
      </c>
      <c r="D356" s="83" t="s">
        <v>3616</v>
      </c>
      <c r="E356" s="33"/>
      <c r="F356" s="33"/>
      <c r="G356" s="33"/>
      <c r="H356" s="33" t="str">
        <f>IFERROR(__xludf.DUMMYFUNCTION("""COMPUTED_VALUE"""),"Школа 508")</f>
        <v>Школа 508</v>
      </c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7" t="s">
        <v>31</v>
      </c>
      <c r="B357" s="26">
        <v>25.0</v>
      </c>
      <c r="C357" s="83" t="s">
        <v>4395</v>
      </c>
      <c r="D357" s="83" t="s">
        <v>3939</v>
      </c>
      <c r="E357" s="33"/>
      <c r="F357" s="33"/>
      <c r="G357" s="33"/>
      <c r="H357" s="33" t="str">
        <f>IFERROR(__xludf.DUMMYFUNCTION("""COMPUTED_VALUE"""),"Школа 534")</f>
        <v>Школа 534</v>
      </c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7" t="s">
        <v>31</v>
      </c>
      <c r="B358" s="26">
        <v>26.0</v>
      </c>
      <c r="C358" s="83" t="s">
        <v>3343</v>
      </c>
      <c r="D358" s="83" t="s">
        <v>3616</v>
      </c>
      <c r="E358" s="33"/>
      <c r="F358" s="33"/>
      <c r="G358" s="33"/>
      <c r="H358" s="33" t="str">
        <f>IFERROR(__xludf.DUMMYFUNCTION("""COMPUTED_VALUE"""),"Школа 544")</f>
        <v>Школа 544</v>
      </c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7" t="s">
        <v>31</v>
      </c>
      <c r="B359" s="26">
        <v>27.0</v>
      </c>
      <c r="C359" s="83" t="s">
        <v>3620</v>
      </c>
      <c r="D359" s="83" t="s">
        <v>3616</v>
      </c>
      <c r="E359" s="33"/>
      <c r="F359" s="33"/>
      <c r="G359" s="33"/>
      <c r="H359" s="33" t="str">
        <f>IFERROR(__xludf.DUMMYFUNCTION("""COMPUTED_VALUE"""),"Школа 548")</f>
        <v>Школа 548</v>
      </c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7" t="s">
        <v>31</v>
      </c>
      <c r="B360" s="26">
        <v>28.0</v>
      </c>
      <c r="C360" s="83" t="s">
        <v>3808</v>
      </c>
      <c r="D360" s="83" t="s">
        <v>3616</v>
      </c>
      <c r="E360" s="33"/>
      <c r="F360" s="33"/>
      <c r="G360" s="33"/>
      <c r="H360" s="33" t="str">
        <f>IFERROR(__xludf.DUMMYFUNCTION("""COMPUTED_VALUE"""),"Школа 609")</f>
        <v>Школа 609</v>
      </c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7" t="s">
        <v>31</v>
      </c>
      <c r="B361" s="26">
        <v>29.0</v>
      </c>
      <c r="C361" s="83" t="s">
        <v>3680</v>
      </c>
      <c r="D361" s="83" t="s">
        <v>3616</v>
      </c>
      <c r="E361" s="33"/>
      <c r="F361" s="33"/>
      <c r="G361" s="33"/>
      <c r="H361" s="33" t="str">
        <f>IFERROR(__xludf.DUMMYFUNCTION("""COMPUTED_VALUE"""),"Школа 627")</f>
        <v>Школа 627</v>
      </c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7" t="s">
        <v>31</v>
      </c>
      <c r="B362" s="26">
        <v>30.0</v>
      </c>
      <c r="C362" s="83" t="s">
        <v>3744</v>
      </c>
      <c r="D362" s="83" t="s">
        <v>3616</v>
      </c>
      <c r="E362" s="33"/>
      <c r="F362" s="33"/>
      <c r="G362" s="33"/>
      <c r="H362" s="33" t="str">
        <f>IFERROR(__xludf.DUMMYFUNCTION("""COMPUTED_VALUE"""),"Школа 630")</f>
        <v>Школа 630</v>
      </c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7" t="s">
        <v>31</v>
      </c>
      <c r="B363" s="26">
        <v>31.0</v>
      </c>
      <c r="C363" s="83" t="s">
        <v>3535</v>
      </c>
      <c r="D363" s="83" t="s">
        <v>3616</v>
      </c>
      <c r="E363" s="33"/>
      <c r="F363" s="33"/>
      <c r="G363" s="33"/>
      <c r="H363" s="33" t="str">
        <f>IFERROR(__xludf.DUMMYFUNCTION("""COMPUTED_VALUE"""),"Школа 641")</f>
        <v>Школа 641</v>
      </c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7" t="s">
        <v>31</v>
      </c>
      <c r="B364" s="26">
        <v>32.0</v>
      </c>
      <c r="C364" s="83" t="s">
        <v>3375</v>
      </c>
      <c r="D364" s="83" t="s">
        <v>3616</v>
      </c>
      <c r="E364" s="33"/>
      <c r="F364" s="33"/>
      <c r="G364" s="33"/>
      <c r="H364" s="33" t="str">
        <f>IFERROR(__xludf.DUMMYFUNCTION("""COMPUTED_VALUE"""),"Школа 654")</f>
        <v>Школа 654</v>
      </c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7" t="s">
        <v>31</v>
      </c>
      <c r="B365" s="26">
        <v>33.0</v>
      </c>
      <c r="C365" s="83" t="s">
        <v>3681</v>
      </c>
      <c r="D365" s="83" t="s">
        <v>3935</v>
      </c>
      <c r="E365" s="33"/>
      <c r="F365" s="33"/>
      <c r="G365" s="33"/>
      <c r="H365" s="33" t="str">
        <f>IFERROR(__xludf.DUMMYFUNCTION("""COMPUTED_VALUE"""),"Школа 667")</f>
        <v>Школа 667</v>
      </c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7" t="s">
        <v>31</v>
      </c>
      <c r="B366" s="26">
        <v>34.0</v>
      </c>
      <c r="C366" s="83" t="s">
        <v>3464</v>
      </c>
      <c r="D366" s="83" t="s">
        <v>3616</v>
      </c>
      <c r="E366" s="33"/>
      <c r="F366" s="33"/>
      <c r="G366" s="33"/>
      <c r="H366" s="33" t="str">
        <f>IFERROR(__xludf.DUMMYFUNCTION("""COMPUTED_VALUE"""),"Школа 727")</f>
        <v>Школа 727</v>
      </c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7" t="s">
        <v>31</v>
      </c>
      <c r="B367" s="26">
        <v>35.0</v>
      </c>
      <c r="C367" s="83" t="s">
        <v>3587</v>
      </c>
      <c r="D367" s="83" t="s">
        <v>3616</v>
      </c>
      <c r="E367" s="33"/>
      <c r="F367" s="33"/>
      <c r="G367" s="33"/>
      <c r="H367" s="33" t="str">
        <f>IFERROR(__xludf.DUMMYFUNCTION("""COMPUTED_VALUE"""),"Школа 760")</f>
        <v>Школа 760</v>
      </c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7" t="s">
        <v>31</v>
      </c>
      <c r="B368" s="26">
        <v>36.0</v>
      </c>
      <c r="C368" s="83" t="s">
        <v>3746</v>
      </c>
      <c r="D368" s="83" t="s">
        <v>3616</v>
      </c>
      <c r="E368" s="33"/>
      <c r="F368" s="33"/>
      <c r="G368" s="33"/>
      <c r="H368" s="33" t="str">
        <f>IFERROR(__xludf.DUMMYFUNCTION("""COMPUTED_VALUE"""),"Школа 771")</f>
        <v>Школа 771</v>
      </c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7" t="s">
        <v>31</v>
      </c>
      <c r="B369" s="26">
        <v>37.0</v>
      </c>
      <c r="C369" s="83" t="s">
        <v>3465</v>
      </c>
      <c r="D369" s="83" t="s">
        <v>3616</v>
      </c>
      <c r="E369" s="33"/>
      <c r="F369" s="33"/>
      <c r="G369" s="33"/>
      <c r="H369" s="33" t="str">
        <f>IFERROR(__xludf.DUMMYFUNCTION("""COMPUTED_VALUE"""),"Школа 777")</f>
        <v>Школа 777</v>
      </c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7" t="s">
        <v>31</v>
      </c>
      <c r="B370" s="26">
        <v>38.0</v>
      </c>
      <c r="C370" s="83" t="s">
        <v>3377</v>
      </c>
      <c r="D370" s="83" t="s">
        <v>3616</v>
      </c>
      <c r="E370" s="33"/>
      <c r="F370" s="33"/>
      <c r="G370" s="33"/>
      <c r="H370" s="33" t="str">
        <f>IFERROR(__xludf.DUMMYFUNCTION("""COMPUTED_VALUE"""),"Школа 814")</f>
        <v>Школа 814</v>
      </c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7" t="s">
        <v>31</v>
      </c>
      <c r="B371" s="26">
        <v>39.0</v>
      </c>
      <c r="C371" s="83" t="s">
        <v>3466</v>
      </c>
      <c r="D371" s="83" t="s">
        <v>3616</v>
      </c>
      <c r="E371" s="33"/>
      <c r="F371" s="33"/>
      <c r="G371" s="33"/>
      <c r="H371" s="33" t="str">
        <f>IFERROR(__xludf.DUMMYFUNCTION("""COMPUTED_VALUE"""),"Школа 853")</f>
        <v>Школа 853</v>
      </c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7" t="s">
        <v>31</v>
      </c>
      <c r="B372" s="26">
        <v>40.0</v>
      </c>
      <c r="C372" s="83" t="s">
        <v>3437</v>
      </c>
      <c r="D372" s="83" t="s">
        <v>3616</v>
      </c>
      <c r="E372" s="33"/>
      <c r="F372" s="33"/>
      <c r="G372" s="33"/>
      <c r="H372" s="33" t="str">
        <f>IFERROR(__xludf.DUMMYFUNCTION("""COMPUTED_VALUE"""),"Школа 947")</f>
        <v>Школа 947</v>
      </c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7" t="s">
        <v>31</v>
      </c>
      <c r="B373" s="26">
        <v>41.0</v>
      </c>
      <c r="C373" s="83" t="s">
        <v>3537</v>
      </c>
      <c r="D373" s="83" t="s">
        <v>3616</v>
      </c>
      <c r="E373" s="33"/>
      <c r="F373" s="33"/>
      <c r="G373" s="33"/>
      <c r="H373" s="33" t="str">
        <f>IFERROR(__xludf.DUMMYFUNCTION("""COMPUTED_VALUE"""),"Школа 949")</f>
        <v>Школа 949</v>
      </c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7" t="s">
        <v>31</v>
      </c>
      <c r="B374" s="26">
        <v>42.0</v>
      </c>
      <c r="C374" s="83" t="s">
        <v>3502</v>
      </c>
      <c r="D374" s="83" t="s">
        <v>3616</v>
      </c>
      <c r="E374" s="33"/>
      <c r="F374" s="33"/>
      <c r="G374" s="33"/>
      <c r="H374" s="33" t="str">
        <f>IFERROR(__xludf.DUMMYFUNCTION("""COMPUTED_VALUE"""),"Школа 962")</f>
        <v>Школа 962</v>
      </c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7" t="s">
        <v>31</v>
      </c>
      <c r="B375" s="26">
        <v>43.0</v>
      </c>
      <c r="C375" s="83" t="s">
        <v>3439</v>
      </c>
      <c r="D375" s="83" t="s">
        <v>3935</v>
      </c>
      <c r="E375" s="33"/>
      <c r="F375" s="33"/>
      <c r="G375" s="33"/>
      <c r="H375" s="33" t="str">
        <f>IFERROR(__xludf.DUMMYFUNCTION("""COMPUTED_VALUE"""),"Школа 998")</f>
        <v>Школа 998</v>
      </c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7" t="s">
        <v>31</v>
      </c>
      <c r="B376" s="26">
        <v>44.0</v>
      </c>
      <c r="C376" s="83" t="s">
        <v>3747</v>
      </c>
      <c r="D376" s="83" t="s">
        <v>3616</v>
      </c>
      <c r="E376" s="33"/>
      <c r="F376" s="33"/>
      <c r="G376" s="33"/>
      <c r="H376" s="33" t="str">
        <f>IFERROR(__xludf.DUMMYFUNCTION("""COMPUTED_VALUE"""),"Школа 1000")</f>
        <v>Школа 1000</v>
      </c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7" t="s">
        <v>31</v>
      </c>
      <c r="B377" s="26">
        <v>45.0</v>
      </c>
      <c r="C377" s="83" t="s">
        <v>3468</v>
      </c>
      <c r="D377" s="83" t="s">
        <v>3935</v>
      </c>
      <c r="E377" s="33"/>
      <c r="F377" s="33"/>
      <c r="G377" s="33"/>
      <c r="H377" s="33" t="str">
        <f>IFERROR(__xludf.DUMMYFUNCTION("""COMPUTED_VALUE"""),"Школа 1101")</f>
        <v>Школа 1101</v>
      </c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7" t="s">
        <v>31</v>
      </c>
      <c r="B378" s="26">
        <v>46.0</v>
      </c>
      <c r="C378" s="83" t="s">
        <v>3539</v>
      </c>
      <c r="D378" s="83" t="s">
        <v>3939</v>
      </c>
      <c r="E378" s="33"/>
      <c r="F378" s="33"/>
      <c r="G378" s="33"/>
      <c r="H378" s="33" t="str">
        <f>IFERROR(__xludf.DUMMYFUNCTION("""COMPUTED_VALUE"""),"Школа 1103")</f>
        <v>Школа 1103</v>
      </c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7" t="s">
        <v>31</v>
      </c>
      <c r="B379" s="26">
        <v>47.0</v>
      </c>
      <c r="C379" s="83" t="s">
        <v>3809</v>
      </c>
      <c r="D379" s="83" t="s">
        <v>3935</v>
      </c>
      <c r="E379" s="33"/>
      <c r="F379" s="33"/>
      <c r="G379" s="33"/>
      <c r="H379" s="33" t="str">
        <f>IFERROR(__xludf.DUMMYFUNCTION("""COMPUTED_VALUE"""),"Школа 1155")</f>
        <v>Школа 1155</v>
      </c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7" t="s">
        <v>31</v>
      </c>
      <c r="B380" s="26">
        <v>48.0</v>
      </c>
      <c r="C380" s="83" t="s">
        <v>3623</v>
      </c>
      <c r="D380" s="83" t="s">
        <v>3616</v>
      </c>
      <c r="E380" s="33"/>
      <c r="F380" s="33"/>
      <c r="G380" s="33"/>
      <c r="H380" s="33" t="str">
        <f>IFERROR(__xludf.DUMMYFUNCTION("""COMPUTED_VALUE"""),"Школа 1158")</f>
        <v>Школа 1158</v>
      </c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7" t="s">
        <v>31</v>
      </c>
      <c r="B381" s="26">
        <v>49.0</v>
      </c>
      <c r="C381" s="83" t="s">
        <v>3624</v>
      </c>
      <c r="D381" s="83" t="s">
        <v>3616</v>
      </c>
      <c r="E381" s="33"/>
      <c r="F381" s="33"/>
      <c r="G381" s="33"/>
      <c r="H381" s="33" t="str">
        <f>IFERROR(__xludf.DUMMYFUNCTION("""COMPUTED_VALUE"""),"Школа 1194")</f>
        <v>Школа 1194</v>
      </c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7" t="s">
        <v>31</v>
      </c>
      <c r="B382" s="26">
        <v>50.0</v>
      </c>
      <c r="C382" s="83" t="s">
        <v>3345</v>
      </c>
      <c r="D382" s="83" t="s">
        <v>3935</v>
      </c>
      <c r="E382" s="33"/>
      <c r="F382" s="33"/>
      <c r="G382" s="33"/>
      <c r="H382" s="33" t="str">
        <f>IFERROR(__xludf.DUMMYFUNCTION("""COMPUTED_VALUE"""),"Школа 1195")</f>
        <v>Школа 1195</v>
      </c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7" t="s">
        <v>31</v>
      </c>
      <c r="B383" s="26">
        <v>51.0</v>
      </c>
      <c r="C383" s="83" t="s">
        <v>3385</v>
      </c>
      <c r="D383" s="83" t="s">
        <v>3616</v>
      </c>
      <c r="E383" s="33"/>
      <c r="F383" s="33"/>
      <c r="G383" s="33"/>
      <c r="H383" s="33" t="str">
        <f>IFERROR(__xludf.DUMMYFUNCTION("""COMPUTED_VALUE"""),"Школа 1208")</f>
        <v>Школа 1208</v>
      </c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7" t="s">
        <v>31</v>
      </c>
      <c r="B384" s="26">
        <v>52.0</v>
      </c>
      <c r="C384" s="83" t="s">
        <v>3748</v>
      </c>
      <c r="D384" s="83" t="s">
        <v>3935</v>
      </c>
      <c r="E384" s="33"/>
      <c r="F384" s="33"/>
      <c r="G384" s="33"/>
      <c r="H384" s="33" t="str">
        <f>IFERROR(__xludf.DUMMYFUNCTION("""COMPUTED_VALUE"""),"Школа 1212")</f>
        <v>Школа 1212</v>
      </c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7" t="s">
        <v>31</v>
      </c>
      <c r="B385" s="26">
        <v>53.0</v>
      </c>
      <c r="C385" s="83" t="s">
        <v>3386</v>
      </c>
      <c r="D385" s="83" t="s">
        <v>3935</v>
      </c>
      <c r="E385" s="33"/>
      <c r="F385" s="33"/>
      <c r="G385" s="33"/>
      <c r="H385" s="33" t="str">
        <f>IFERROR(__xludf.DUMMYFUNCTION("""COMPUTED_VALUE"""),"Школа 1231")</f>
        <v>Школа 1231</v>
      </c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7" t="s">
        <v>31</v>
      </c>
      <c r="B386" s="26">
        <v>54.0</v>
      </c>
      <c r="C386" s="83" t="s">
        <v>3387</v>
      </c>
      <c r="D386" s="83" t="s">
        <v>3616</v>
      </c>
      <c r="E386" s="33"/>
      <c r="F386" s="33"/>
      <c r="G386" s="33"/>
      <c r="H386" s="33" t="str">
        <f>IFERROR(__xludf.DUMMYFUNCTION("""COMPUTED_VALUE"""),"Школа 1238")</f>
        <v>Школа 1238</v>
      </c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7" t="s">
        <v>31</v>
      </c>
      <c r="B387" s="26">
        <v>55.0</v>
      </c>
      <c r="C387" s="83" t="s">
        <v>3749</v>
      </c>
      <c r="D387" s="83" t="s">
        <v>3616</v>
      </c>
      <c r="E387" s="33"/>
      <c r="F387" s="33"/>
      <c r="G387" s="33"/>
      <c r="H387" s="33" t="str">
        <f>IFERROR(__xludf.DUMMYFUNCTION("""COMPUTED_VALUE"""),"Школа 1252")</f>
        <v>Школа 1252</v>
      </c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7" t="s">
        <v>31</v>
      </c>
      <c r="B388" s="26">
        <v>56.0</v>
      </c>
      <c r="C388" s="83" t="s">
        <v>3346</v>
      </c>
      <c r="D388" s="83" t="s">
        <v>3616</v>
      </c>
      <c r="E388" s="33"/>
      <c r="F388" s="33"/>
      <c r="G388" s="33"/>
      <c r="H388" s="33" t="str">
        <f>IFERROR(__xludf.DUMMYFUNCTION("""COMPUTED_VALUE"""),"Школа 1273")</f>
        <v>Школа 1273</v>
      </c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7" t="s">
        <v>31</v>
      </c>
      <c r="B389" s="26">
        <v>57.0</v>
      </c>
      <c r="C389" s="83" t="s">
        <v>3600</v>
      </c>
      <c r="D389" s="83" t="s">
        <v>3616</v>
      </c>
      <c r="E389" s="33"/>
      <c r="F389" s="33"/>
      <c r="G389" s="33"/>
      <c r="H389" s="33" t="str">
        <f>IFERROR(__xludf.DUMMYFUNCTION("""COMPUTED_VALUE"""),"Школа 1279")</f>
        <v>Школа 1279</v>
      </c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7" t="s">
        <v>31</v>
      </c>
      <c r="B390" s="26">
        <v>58.0</v>
      </c>
      <c r="C390" s="83" t="s">
        <v>3541</v>
      </c>
      <c r="D390" s="83" t="s">
        <v>3616</v>
      </c>
      <c r="E390" s="33"/>
      <c r="F390" s="33"/>
      <c r="G390" s="33"/>
      <c r="H390" s="33" t="str">
        <f>IFERROR(__xludf.DUMMYFUNCTION("""COMPUTED_VALUE"""),"Школа 1287")</f>
        <v>Школа 1287</v>
      </c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7" t="s">
        <v>31</v>
      </c>
      <c r="B391" s="26">
        <v>59.0</v>
      </c>
      <c r="C391" s="83" t="s">
        <v>3393</v>
      </c>
      <c r="D391" s="83" t="s">
        <v>3616</v>
      </c>
      <c r="E391" s="33"/>
      <c r="F391" s="33"/>
      <c r="G391" s="33"/>
      <c r="H391" s="33" t="str">
        <f>IFERROR(__xludf.DUMMYFUNCTION("""COMPUTED_VALUE"""),"Школа 1290")</f>
        <v>Школа 1290</v>
      </c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7" t="s">
        <v>31</v>
      </c>
      <c r="B392" s="26">
        <v>60.0</v>
      </c>
      <c r="C392" s="83" t="s">
        <v>3394</v>
      </c>
      <c r="D392" s="83" t="s">
        <v>3616</v>
      </c>
      <c r="E392" s="33"/>
      <c r="F392" s="33"/>
      <c r="G392" s="33"/>
      <c r="H392" s="33" t="str">
        <f>IFERROR(__xludf.DUMMYFUNCTION("""COMPUTED_VALUE"""),"Школа 1298")</f>
        <v>Школа 1298</v>
      </c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7" t="s">
        <v>31</v>
      </c>
      <c r="B393" s="26">
        <v>61.0</v>
      </c>
      <c r="C393" s="83" t="s">
        <v>3750</v>
      </c>
      <c r="D393" s="83" t="s">
        <v>3939</v>
      </c>
      <c r="E393" s="33"/>
      <c r="F393" s="33"/>
      <c r="G393" s="33"/>
      <c r="H393" s="33" t="str">
        <f>IFERROR(__xludf.DUMMYFUNCTION("""COMPUTED_VALUE"""),"Школа 1302")</f>
        <v>Школа 1302</v>
      </c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7" t="s">
        <v>31</v>
      </c>
      <c r="B394" s="26">
        <v>62.0</v>
      </c>
      <c r="C394" s="83" t="s">
        <v>3751</v>
      </c>
      <c r="D394" s="83" t="s">
        <v>3616</v>
      </c>
      <c r="E394" s="33"/>
      <c r="F394" s="33"/>
      <c r="G394" s="33"/>
      <c r="H394" s="33" t="str">
        <f>IFERROR(__xludf.DUMMYFUNCTION("""COMPUTED_VALUE"""),"Школа 1317")</f>
        <v>Школа 1317</v>
      </c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7" t="s">
        <v>31</v>
      </c>
      <c r="B395" s="26">
        <v>63.0</v>
      </c>
      <c r="C395" s="83" t="s">
        <v>3626</v>
      </c>
      <c r="D395" s="83" t="s">
        <v>3616</v>
      </c>
      <c r="E395" s="33"/>
      <c r="F395" s="33"/>
      <c r="G395" s="33"/>
      <c r="H395" s="33" t="str">
        <f>IFERROR(__xludf.DUMMYFUNCTION("""COMPUTED_VALUE"""),"Школа 1329")</f>
        <v>Школа 1329</v>
      </c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7" t="s">
        <v>31</v>
      </c>
      <c r="B396" s="26">
        <v>64.0</v>
      </c>
      <c r="C396" s="83" t="s">
        <v>3397</v>
      </c>
      <c r="D396" s="83" t="s">
        <v>3935</v>
      </c>
      <c r="E396" s="33"/>
      <c r="F396" s="33"/>
      <c r="G396" s="33"/>
      <c r="H396" s="33" t="str">
        <f>IFERROR(__xludf.DUMMYFUNCTION("""COMPUTED_VALUE"""),"Школа 1347")</f>
        <v>Школа 1347</v>
      </c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7" t="s">
        <v>31</v>
      </c>
      <c r="B397" s="26">
        <v>65.0</v>
      </c>
      <c r="C397" s="83" t="s">
        <v>3543</v>
      </c>
      <c r="D397" s="83" t="s">
        <v>3939</v>
      </c>
      <c r="E397" s="33"/>
      <c r="F397" s="33"/>
      <c r="G397" s="33"/>
      <c r="H397" s="33" t="str">
        <f>IFERROR(__xludf.DUMMYFUNCTION("""COMPUTED_VALUE"""),"Школа 1352")</f>
        <v>Школа 1352</v>
      </c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7" t="s">
        <v>31</v>
      </c>
      <c r="B398" s="26">
        <v>66.0</v>
      </c>
      <c r="C398" s="83" t="s">
        <v>3398</v>
      </c>
      <c r="D398" s="83" t="s">
        <v>3616</v>
      </c>
      <c r="E398" s="33"/>
      <c r="F398" s="33"/>
      <c r="G398" s="33"/>
      <c r="H398" s="33" t="str">
        <f>IFERROR(__xludf.DUMMYFUNCTION("""COMPUTED_VALUE"""),"Школа 1353")</f>
        <v>Школа 1353</v>
      </c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7" t="s">
        <v>31</v>
      </c>
      <c r="B399" s="26">
        <v>67.0</v>
      </c>
      <c r="C399" s="83" t="s">
        <v>3627</v>
      </c>
      <c r="D399" s="83" t="s">
        <v>3939</v>
      </c>
      <c r="E399" s="33"/>
      <c r="F399" s="33"/>
      <c r="G399" s="33"/>
      <c r="H399" s="33" t="str">
        <f>IFERROR(__xludf.DUMMYFUNCTION("""COMPUTED_VALUE"""),"Школа 1354")</f>
        <v>Школа 1354</v>
      </c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7" t="s">
        <v>31</v>
      </c>
      <c r="B400" s="26">
        <v>68.0</v>
      </c>
      <c r="C400" s="83" t="s">
        <v>3347</v>
      </c>
      <c r="D400" s="83" t="s">
        <v>3616</v>
      </c>
      <c r="E400" s="33"/>
      <c r="F400" s="33"/>
      <c r="G400" s="33"/>
      <c r="H400" s="33" t="str">
        <f>IFERROR(__xludf.DUMMYFUNCTION("""COMPUTED_VALUE"""),"Школа 1355")</f>
        <v>Школа 1355</v>
      </c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7" t="s">
        <v>31</v>
      </c>
      <c r="B401" s="26">
        <v>69.0</v>
      </c>
      <c r="C401" s="83" t="s">
        <v>3603</v>
      </c>
      <c r="D401" s="83" t="s">
        <v>3616</v>
      </c>
      <c r="E401" s="33"/>
      <c r="F401" s="33"/>
      <c r="G401" s="33"/>
      <c r="H401" s="33" t="str">
        <f>IFERROR(__xludf.DUMMYFUNCTION("""COMPUTED_VALUE"""),"Школа 1357")</f>
        <v>Школа 1357</v>
      </c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7" t="s">
        <v>31</v>
      </c>
      <c r="B402" s="26">
        <v>70.0</v>
      </c>
      <c r="C402" s="83" t="s">
        <v>3752</v>
      </c>
      <c r="D402" s="83" t="s">
        <v>3616</v>
      </c>
      <c r="E402" s="33"/>
      <c r="F402" s="33"/>
      <c r="G402" s="33"/>
      <c r="H402" s="33" t="str">
        <f>IFERROR(__xludf.DUMMYFUNCTION("""COMPUTED_VALUE"""),"Школа 1358")</f>
        <v>Школа 1358</v>
      </c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7" t="s">
        <v>31</v>
      </c>
      <c r="B403" s="26">
        <v>71.0</v>
      </c>
      <c r="C403" s="83" t="s">
        <v>3628</v>
      </c>
      <c r="D403" s="83" t="s">
        <v>3616</v>
      </c>
      <c r="E403" s="33"/>
      <c r="F403" s="33"/>
      <c r="G403" s="33"/>
      <c r="H403" s="33" t="str">
        <f>IFERROR(__xludf.DUMMYFUNCTION("""COMPUTED_VALUE"""),"Школа 1363")</f>
        <v>Школа 1363</v>
      </c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7" t="s">
        <v>31</v>
      </c>
      <c r="B404" s="26">
        <v>72.0</v>
      </c>
      <c r="C404" s="83" t="s">
        <v>3629</v>
      </c>
      <c r="D404" s="83" t="s">
        <v>3616</v>
      </c>
      <c r="E404" s="33"/>
      <c r="F404" s="33"/>
      <c r="G404" s="33"/>
      <c r="H404" s="33" t="str">
        <f>IFERROR(__xludf.DUMMYFUNCTION("""COMPUTED_VALUE"""),"Школа 1367")</f>
        <v>Школа 1367</v>
      </c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7" t="s">
        <v>31</v>
      </c>
      <c r="B405" s="26">
        <v>73.0</v>
      </c>
      <c r="C405" s="83" t="s">
        <v>3774</v>
      </c>
      <c r="D405" s="83" t="s">
        <v>3616</v>
      </c>
      <c r="E405" s="33"/>
      <c r="F405" s="33"/>
      <c r="G405" s="33"/>
      <c r="H405" s="33" t="str">
        <f>IFERROR(__xludf.DUMMYFUNCTION("""COMPUTED_VALUE"""),"Школа 1370")</f>
        <v>Школа 1370</v>
      </c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7" t="s">
        <v>31</v>
      </c>
      <c r="B406" s="26">
        <v>74.0</v>
      </c>
      <c r="C406" s="83" t="s">
        <v>3400</v>
      </c>
      <c r="D406" s="83" t="s">
        <v>3939</v>
      </c>
      <c r="E406" s="33"/>
      <c r="F406" s="33"/>
      <c r="G406" s="33"/>
      <c r="H406" s="33" t="str">
        <f>IFERROR(__xludf.DUMMYFUNCTION("""COMPUTED_VALUE"""),"Школа 1371")</f>
        <v>Школа 1371</v>
      </c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7" t="s">
        <v>31</v>
      </c>
      <c r="B407" s="26">
        <v>75.0</v>
      </c>
      <c r="C407" s="83" t="s">
        <v>3630</v>
      </c>
      <c r="D407" s="83" t="s">
        <v>3616</v>
      </c>
      <c r="E407" s="33"/>
      <c r="F407" s="33"/>
      <c r="G407" s="33"/>
      <c r="H407" s="33" t="str">
        <f>IFERROR(__xludf.DUMMYFUNCTION("""COMPUTED_VALUE"""),"Школа 1375")</f>
        <v>Школа 1375</v>
      </c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7" t="s">
        <v>31</v>
      </c>
      <c r="B408" s="26">
        <v>76.0</v>
      </c>
      <c r="C408" s="83" t="s">
        <v>3810</v>
      </c>
      <c r="D408" s="83" t="s">
        <v>3616</v>
      </c>
      <c r="E408" s="33"/>
      <c r="F408" s="33"/>
      <c r="G408" s="33"/>
      <c r="H408" s="33" t="str">
        <f>IFERROR(__xludf.DUMMYFUNCTION("""COMPUTED_VALUE"""),"Школа 1381")</f>
        <v>Школа 1381</v>
      </c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7" t="s">
        <v>31</v>
      </c>
      <c r="B409" s="26">
        <v>77.0</v>
      </c>
      <c r="C409" s="83" t="s">
        <v>3753</v>
      </c>
      <c r="D409" s="83" t="s">
        <v>3616</v>
      </c>
      <c r="E409" s="33"/>
      <c r="F409" s="33"/>
      <c r="G409" s="33"/>
      <c r="H409" s="33" t="str">
        <f>IFERROR(__xludf.DUMMYFUNCTION("""COMPUTED_VALUE"""),"Школа 1384")</f>
        <v>Школа 1384</v>
      </c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7" t="s">
        <v>31</v>
      </c>
      <c r="B410" s="26">
        <v>78.0</v>
      </c>
      <c r="C410" s="83" t="s">
        <v>3441</v>
      </c>
      <c r="D410" s="83" t="s">
        <v>3616</v>
      </c>
      <c r="E410" s="33"/>
      <c r="F410" s="33"/>
      <c r="G410" s="33"/>
      <c r="H410" s="33" t="str">
        <f>IFERROR(__xludf.DUMMYFUNCTION("""COMPUTED_VALUE"""),"Школа 1387")</f>
        <v>Школа 1387</v>
      </c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7" t="s">
        <v>31</v>
      </c>
      <c r="B411" s="26">
        <v>79.0</v>
      </c>
      <c r="C411" s="83" t="s">
        <v>3474</v>
      </c>
      <c r="D411" s="83" t="s">
        <v>3616</v>
      </c>
      <c r="E411" s="33"/>
      <c r="F411" s="33"/>
      <c r="G411" s="33"/>
      <c r="H411" s="33" t="str">
        <f>IFERROR(__xludf.DUMMYFUNCTION("""COMPUTED_VALUE"""),"Школа 1400")</f>
        <v>Школа 1400</v>
      </c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7" t="s">
        <v>31</v>
      </c>
      <c r="B412" s="26">
        <v>80.0</v>
      </c>
      <c r="C412" s="83" t="s">
        <v>3631</v>
      </c>
      <c r="D412" s="83" t="s">
        <v>3616</v>
      </c>
      <c r="E412" s="33"/>
      <c r="F412" s="33"/>
      <c r="G412" s="33"/>
      <c r="H412" s="33" t="str">
        <f>IFERROR(__xludf.DUMMYFUNCTION("""COMPUTED_VALUE"""),"Школа 1409")</f>
        <v>Школа 1409</v>
      </c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7" t="s">
        <v>31</v>
      </c>
      <c r="B413" s="26">
        <v>81.0</v>
      </c>
      <c r="C413" s="83" t="s">
        <v>3632</v>
      </c>
      <c r="D413" s="83" t="s">
        <v>3616</v>
      </c>
      <c r="E413" s="33"/>
      <c r="F413" s="33"/>
      <c r="G413" s="33"/>
      <c r="H413" s="33" t="str">
        <f>IFERROR(__xludf.DUMMYFUNCTION("""COMPUTED_VALUE"""),"Школа 1420")</f>
        <v>Школа 1420</v>
      </c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7" t="s">
        <v>31</v>
      </c>
      <c r="B414" s="26">
        <v>82.0</v>
      </c>
      <c r="C414" s="83" t="s">
        <v>3754</v>
      </c>
      <c r="D414" s="83" t="s">
        <v>3616</v>
      </c>
      <c r="E414" s="33"/>
      <c r="F414" s="33"/>
      <c r="G414" s="33"/>
      <c r="H414" s="33" t="str">
        <f>IFERROR(__xludf.DUMMYFUNCTION("""COMPUTED_VALUE"""),"Школа 1448")</f>
        <v>Школа 1448</v>
      </c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7" t="s">
        <v>31</v>
      </c>
      <c r="B415" s="26">
        <v>83.0</v>
      </c>
      <c r="C415" s="83" t="s">
        <v>3443</v>
      </c>
      <c r="D415" s="83" t="s">
        <v>3616</v>
      </c>
      <c r="E415" s="33"/>
      <c r="F415" s="33"/>
      <c r="G415" s="33"/>
      <c r="H415" s="33" t="str">
        <f>IFERROR(__xludf.DUMMYFUNCTION("""COMPUTED_VALUE"""),"Школа 1449")</f>
        <v>Школа 1449</v>
      </c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7" t="s">
        <v>31</v>
      </c>
      <c r="B416" s="26">
        <v>84.0</v>
      </c>
      <c r="C416" s="83" t="s">
        <v>3476</v>
      </c>
      <c r="D416" s="83" t="s">
        <v>3616</v>
      </c>
      <c r="E416" s="33"/>
      <c r="F416" s="33"/>
      <c r="G416" s="33"/>
      <c r="H416" s="33" t="str">
        <f>IFERROR(__xludf.DUMMYFUNCTION("""COMPUTED_VALUE"""),"Школа 1454")</f>
        <v>Школа 1454</v>
      </c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7" t="s">
        <v>31</v>
      </c>
      <c r="B417" s="26">
        <v>85.0</v>
      </c>
      <c r="C417" s="83" t="s">
        <v>3635</v>
      </c>
      <c r="D417" s="83" t="s">
        <v>3616</v>
      </c>
      <c r="E417" s="33"/>
      <c r="F417" s="33"/>
      <c r="G417" s="33"/>
      <c r="H417" s="33" t="str">
        <f>IFERROR(__xludf.DUMMYFUNCTION("""COMPUTED_VALUE"""),"Школа 1474")</f>
        <v>Школа 1474</v>
      </c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7" t="s">
        <v>31</v>
      </c>
      <c r="B418" s="26">
        <v>86.0</v>
      </c>
      <c r="C418" s="83" t="s">
        <v>3348</v>
      </c>
      <c r="D418" s="83" t="s">
        <v>3935</v>
      </c>
      <c r="E418" s="33"/>
      <c r="F418" s="33"/>
      <c r="G418" s="33"/>
      <c r="H418" s="33" t="str">
        <f>IFERROR(__xludf.DUMMYFUNCTION("""COMPUTED_VALUE"""),"Школа 1498")</f>
        <v>Школа 1498</v>
      </c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7" t="s">
        <v>31</v>
      </c>
      <c r="B419" s="26">
        <v>87.0</v>
      </c>
      <c r="C419" s="83" t="s">
        <v>3636</v>
      </c>
      <c r="D419" s="83" t="s">
        <v>3616</v>
      </c>
      <c r="E419" s="33"/>
      <c r="F419" s="33"/>
      <c r="G419" s="33"/>
      <c r="H419" s="33" t="str">
        <f>IFERROR(__xludf.DUMMYFUNCTION("""COMPUTED_VALUE"""),"Школа 1501")</f>
        <v>Школа 1501</v>
      </c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7" t="s">
        <v>31</v>
      </c>
      <c r="B420" s="26">
        <v>88.0</v>
      </c>
      <c r="C420" s="83" t="s">
        <v>3637</v>
      </c>
      <c r="D420" s="83" t="s">
        <v>3616</v>
      </c>
      <c r="E420" s="33"/>
      <c r="F420" s="33"/>
      <c r="G420" s="33"/>
      <c r="H420" s="33" t="str">
        <f>IFERROR(__xludf.DUMMYFUNCTION("""COMPUTED_VALUE"""),"Школа 1502")</f>
        <v>Школа 1502</v>
      </c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7" t="s">
        <v>31</v>
      </c>
      <c r="B421" s="26">
        <v>89.0</v>
      </c>
      <c r="C421" s="83" t="s">
        <v>3756</v>
      </c>
      <c r="D421" s="83" t="s">
        <v>3935</v>
      </c>
      <c r="E421" s="33"/>
      <c r="F421" s="33"/>
      <c r="G421" s="33"/>
      <c r="H421" s="33" t="str">
        <f>IFERROR(__xludf.DUMMYFUNCTION("""COMPUTED_VALUE"""),"Школа 1503")</f>
        <v>Школа 1503</v>
      </c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7" t="s">
        <v>31</v>
      </c>
      <c r="B422" s="26">
        <v>90.0</v>
      </c>
      <c r="C422" s="83" t="s">
        <v>3757</v>
      </c>
      <c r="D422" s="83" t="s">
        <v>3616</v>
      </c>
      <c r="E422" s="33"/>
      <c r="F422" s="33"/>
      <c r="G422" s="33"/>
      <c r="H422" s="33" t="str">
        <f>IFERROR(__xludf.DUMMYFUNCTION("""COMPUTED_VALUE"""),"Школа 1504")</f>
        <v>Школа 1504</v>
      </c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7" t="s">
        <v>31</v>
      </c>
      <c r="B423" s="26">
        <v>91.0</v>
      </c>
      <c r="C423" s="83" t="s">
        <v>3323</v>
      </c>
      <c r="D423" s="83" t="s">
        <v>3616</v>
      </c>
      <c r="E423" s="33"/>
      <c r="F423" s="33"/>
      <c r="G423" s="33"/>
      <c r="H423" s="33" t="str">
        <f>IFERROR(__xludf.DUMMYFUNCTION("""COMPUTED_VALUE"""),"Школа 1505")</f>
        <v>Школа 1505</v>
      </c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7" t="s">
        <v>31</v>
      </c>
      <c r="B424" s="26">
        <v>92.0</v>
      </c>
      <c r="C424" s="83" t="s">
        <v>3405</v>
      </c>
      <c r="D424" s="83" t="s">
        <v>3616</v>
      </c>
      <c r="E424" s="33"/>
      <c r="F424" s="33"/>
      <c r="G424" s="33"/>
      <c r="H424" s="33" t="str">
        <f>IFERROR(__xludf.DUMMYFUNCTION("""COMPUTED_VALUE"""),"Школа 1508")</f>
        <v>Школа 1508</v>
      </c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7" t="s">
        <v>31</v>
      </c>
      <c r="B425" s="26">
        <v>93.0</v>
      </c>
      <c r="C425" s="83" t="s">
        <v>3640</v>
      </c>
      <c r="D425" s="83" t="s">
        <v>3616</v>
      </c>
      <c r="E425" s="33"/>
      <c r="F425" s="33"/>
      <c r="G425" s="33"/>
      <c r="H425" s="33" t="str">
        <f>IFERROR(__xludf.DUMMYFUNCTION("""COMPUTED_VALUE"""),"Школа 1517")</f>
        <v>Школа 1517</v>
      </c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7" t="s">
        <v>31</v>
      </c>
      <c r="B426" s="26">
        <v>94.0</v>
      </c>
      <c r="C426" s="83" t="s">
        <v>3758</v>
      </c>
      <c r="D426" s="83" t="s">
        <v>3616</v>
      </c>
      <c r="E426" s="33"/>
      <c r="F426" s="33"/>
      <c r="G426" s="33"/>
      <c r="H426" s="33" t="str">
        <f>IFERROR(__xludf.DUMMYFUNCTION("""COMPUTED_VALUE"""),"Школа 1518")</f>
        <v>Школа 1518</v>
      </c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7" t="s">
        <v>31</v>
      </c>
      <c r="B427" s="26">
        <v>95.0</v>
      </c>
      <c r="C427" s="83" t="s">
        <v>3704</v>
      </c>
      <c r="D427" s="83" t="s">
        <v>3616</v>
      </c>
      <c r="E427" s="33"/>
      <c r="F427" s="33"/>
      <c r="G427" s="33"/>
      <c r="H427" s="33" t="str">
        <f>IFERROR(__xludf.DUMMYFUNCTION("""COMPUTED_VALUE"""),"Школа 1530")</f>
        <v>Школа 1530</v>
      </c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7" t="s">
        <v>31</v>
      </c>
      <c r="B428" s="26">
        <v>96.0</v>
      </c>
      <c r="C428" s="83" t="s">
        <v>3705</v>
      </c>
      <c r="D428" s="83" t="s">
        <v>3616</v>
      </c>
      <c r="E428" s="33"/>
      <c r="F428" s="33"/>
      <c r="G428" s="33"/>
      <c r="H428" s="33" t="str">
        <f>IFERROR(__xludf.DUMMYFUNCTION("""COMPUTED_VALUE"""),"Школа 1532")</f>
        <v>Школа 1532</v>
      </c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7" t="s">
        <v>31</v>
      </c>
      <c r="B429" s="26">
        <v>97.0</v>
      </c>
      <c r="C429" s="83" t="s">
        <v>3512</v>
      </c>
      <c r="D429" s="83" t="s">
        <v>3616</v>
      </c>
      <c r="E429" s="33"/>
      <c r="F429" s="33"/>
      <c r="G429" s="33"/>
      <c r="H429" s="33" t="str">
        <f>IFERROR(__xludf.DUMMYFUNCTION("""COMPUTED_VALUE"""),"Школа 1533")</f>
        <v>Школа 1533</v>
      </c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7" t="s">
        <v>31</v>
      </c>
      <c r="B430" s="26">
        <v>98.0</v>
      </c>
      <c r="C430" s="83" t="s">
        <v>3643</v>
      </c>
      <c r="D430" s="83" t="s">
        <v>3616</v>
      </c>
      <c r="E430" s="33"/>
      <c r="F430" s="33"/>
      <c r="G430" s="33"/>
      <c r="H430" s="33" t="str">
        <f>IFERROR(__xludf.DUMMYFUNCTION("""COMPUTED_VALUE"""),"Школа 1534")</f>
        <v>Школа 1534</v>
      </c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7" t="s">
        <v>31</v>
      </c>
      <c r="B431" s="26">
        <v>99.0</v>
      </c>
      <c r="C431" s="83" t="s">
        <v>3644</v>
      </c>
      <c r="D431" s="83" t="s">
        <v>3616</v>
      </c>
      <c r="E431" s="33"/>
      <c r="F431" s="33"/>
      <c r="G431" s="33"/>
      <c r="H431" s="33" t="str">
        <f>IFERROR(__xludf.DUMMYFUNCTION("""COMPUTED_VALUE"""),"Школа 1535")</f>
        <v>Школа 1535</v>
      </c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7" t="s">
        <v>31</v>
      </c>
      <c r="B432" s="26">
        <v>100.0</v>
      </c>
      <c r="C432" s="83" t="s">
        <v>3706</v>
      </c>
      <c r="D432" s="83" t="s">
        <v>3616</v>
      </c>
      <c r="E432" s="33"/>
      <c r="F432" s="33"/>
      <c r="G432" s="33"/>
      <c r="H432" s="33" t="str">
        <f>IFERROR(__xludf.DUMMYFUNCTION("""COMPUTED_VALUE"""),"Школа 1537")</f>
        <v>Школа 1537</v>
      </c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7" t="s">
        <v>31</v>
      </c>
      <c r="B433" s="26">
        <v>101.0</v>
      </c>
      <c r="C433" s="83" t="s">
        <v>3645</v>
      </c>
      <c r="D433" s="83" t="s">
        <v>3616</v>
      </c>
      <c r="E433" s="33"/>
      <c r="F433" s="33"/>
      <c r="G433" s="33"/>
      <c r="H433" s="33" t="str">
        <f>IFERROR(__xludf.DUMMYFUNCTION("""COMPUTED_VALUE"""),"Школа 1538")</f>
        <v>Школа 1538</v>
      </c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7" t="s">
        <v>31</v>
      </c>
      <c r="B434" s="26">
        <v>102.0</v>
      </c>
      <c r="C434" s="83" t="s">
        <v>3446</v>
      </c>
      <c r="D434" s="83" t="s">
        <v>3616</v>
      </c>
      <c r="E434" s="33"/>
      <c r="F434" s="33"/>
      <c r="G434" s="33"/>
      <c r="H434" s="33" t="str">
        <f>IFERROR(__xludf.DUMMYFUNCTION("""COMPUTED_VALUE"""),"Школа 1539")</f>
        <v>Школа 1539</v>
      </c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7" t="s">
        <v>31</v>
      </c>
      <c r="B435" s="26">
        <v>103.0</v>
      </c>
      <c r="C435" s="83" t="s">
        <v>3811</v>
      </c>
      <c r="D435" s="83" t="s">
        <v>3935</v>
      </c>
      <c r="E435" s="33"/>
      <c r="F435" s="33"/>
      <c r="G435" s="33"/>
      <c r="H435" s="33" t="str">
        <f>IFERROR(__xludf.DUMMYFUNCTION("""COMPUTED_VALUE"""),"Школа 1540")</f>
        <v>Школа 1540</v>
      </c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7" t="s">
        <v>31</v>
      </c>
      <c r="B436" s="26">
        <v>104.0</v>
      </c>
      <c r="C436" s="83" t="s">
        <v>3479</v>
      </c>
      <c r="D436" s="83" t="s">
        <v>3935</v>
      </c>
      <c r="E436" s="33"/>
      <c r="F436" s="33"/>
      <c r="G436" s="33"/>
      <c r="H436" s="33" t="str">
        <f>IFERROR(__xludf.DUMMYFUNCTION("""COMPUTED_VALUE"""),"Школа 1544")</f>
        <v>Школа 1544</v>
      </c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7" t="s">
        <v>31</v>
      </c>
      <c r="B437" s="26">
        <v>105.0</v>
      </c>
      <c r="C437" s="83" t="s">
        <v>3707</v>
      </c>
      <c r="D437" s="83" t="s">
        <v>3616</v>
      </c>
      <c r="E437" s="33"/>
      <c r="F437" s="33"/>
      <c r="G437" s="33"/>
      <c r="H437" s="33" t="str">
        <f>IFERROR(__xludf.DUMMYFUNCTION("""COMPUTED_VALUE"""),"Школа 1547")</f>
        <v>Школа 1547</v>
      </c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7" t="s">
        <v>31</v>
      </c>
      <c r="B438" s="26">
        <v>106.0</v>
      </c>
      <c r="C438" s="83" t="s">
        <v>3646</v>
      </c>
      <c r="D438" s="83" t="s">
        <v>3616</v>
      </c>
      <c r="E438" s="33"/>
      <c r="F438" s="33"/>
      <c r="G438" s="33"/>
      <c r="H438" s="33" t="str">
        <f>IFERROR(__xludf.DUMMYFUNCTION("""COMPUTED_VALUE"""),"Школа 1553")</f>
        <v>Школа 1553</v>
      </c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7" t="s">
        <v>31</v>
      </c>
      <c r="B439" s="26">
        <v>107.0</v>
      </c>
      <c r="C439" s="83" t="s">
        <v>3759</v>
      </c>
      <c r="D439" s="83" t="s">
        <v>3616</v>
      </c>
      <c r="E439" s="33"/>
      <c r="F439" s="33"/>
      <c r="G439" s="33"/>
      <c r="H439" s="33" t="str">
        <f>IFERROR(__xludf.DUMMYFUNCTION("""COMPUTED_VALUE"""),"Школа 1554")</f>
        <v>Школа 1554</v>
      </c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7" t="s">
        <v>31</v>
      </c>
      <c r="B440" s="26">
        <v>108.0</v>
      </c>
      <c r="C440" s="83" t="s">
        <v>3647</v>
      </c>
      <c r="D440" s="83" t="s">
        <v>3616</v>
      </c>
      <c r="E440" s="33"/>
      <c r="F440" s="33"/>
      <c r="G440" s="33"/>
      <c r="H440" s="33" t="str">
        <f>IFERROR(__xludf.DUMMYFUNCTION("""COMPUTED_VALUE"""),"Школа 1557")</f>
        <v>Школа 1557</v>
      </c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7" t="s">
        <v>31</v>
      </c>
      <c r="B441" s="26">
        <v>109.0</v>
      </c>
      <c r="C441" s="83" t="s">
        <v>3648</v>
      </c>
      <c r="D441" s="83" t="s">
        <v>3616</v>
      </c>
      <c r="E441" s="33"/>
      <c r="F441" s="33"/>
      <c r="G441" s="33"/>
      <c r="H441" s="33" t="str">
        <f>IFERROR(__xludf.DUMMYFUNCTION("""COMPUTED_VALUE"""),"Школа 1560")</f>
        <v>Школа 1560</v>
      </c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7" t="s">
        <v>31</v>
      </c>
      <c r="B442" s="26">
        <v>110.0</v>
      </c>
      <c r="C442" s="83" t="s">
        <v>3649</v>
      </c>
      <c r="D442" s="83" t="s">
        <v>3616</v>
      </c>
      <c r="E442" s="33"/>
      <c r="F442" s="33"/>
      <c r="G442" s="33"/>
      <c r="H442" s="33" t="str">
        <f>IFERROR(__xludf.DUMMYFUNCTION("""COMPUTED_VALUE"""),"Школа 1561")</f>
        <v>Школа 1561</v>
      </c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7" t="s">
        <v>31</v>
      </c>
      <c r="B443" s="26">
        <v>111.0</v>
      </c>
      <c r="C443" s="83" t="s">
        <v>3514</v>
      </c>
      <c r="D443" s="83" t="s">
        <v>3616</v>
      </c>
      <c r="E443" s="33"/>
      <c r="F443" s="33"/>
      <c r="G443" s="33"/>
      <c r="H443" s="33" t="str">
        <f>IFERROR(__xludf.DUMMYFUNCTION("""COMPUTED_VALUE"""),"Школа 1564")</f>
        <v>Школа 1564</v>
      </c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7" t="s">
        <v>31</v>
      </c>
      <c r="B444" s="26">
        <v>112.0</v>
      </c>
      <c r="C444" s="83" t="s">
        <v>3351</v>
      </c>
      <c r="D444" s="83" t="s">
        <v>3616</v>
      </c>
      <c r="E444" s="33"/>
      <c r="F444" s="33"/>
      <c r="G444" s="33"/>
      <c r="H444" s="33" t="str">
        <f>IFERROR(__xludf.DUMMYFUNCTION("""COMPUTED_VALUE"""),"Школа 1566")</f>
        <v>Школа 1566</v>
      </c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7" t="s">
        <v>31</v>
      </c>
      <c r="B445" s="26">
        <v>113.0</v>
      </c>
      <c r="C445" s="83" t="s">
        <v>3710</v>
      </c>
      <c r="D445" s="83" t="s">
        <v>3616</v>
      </c>
      <c r="E445" s="33"/>
      <c r="F445" s="33"/>
      <c r="G445" s="33"/>
      <c r="H445" s="33" t="str">
        <f>IFERROR(__xludf.DUMMYFUNCTION("""COMPUTED_VALUE"""),"Школа 1568")</f>
        <v>Школа 1568</v>
      </c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7" t="s">
        <v>31</v>
      </c>
      <c r="B446" s="26">
        <v>114.0</v>
      </c>
      <c r="C446" s="83" t="s">
        <v>3410</v>
      </c>
      <c r="D446" s="83" t="s">
        <v>3616</v>
      </c>
      <c r="E446" s="33"/>
      <c r="F446" s="33"/>
      <c r="G446" s="33"/>
      <c r="H446" s="33" t="str">
        <f>IFERROR(__xludf.DUMMYFUNCTION("""COMPUTED_VALUE"""),"Школа 1570")</f>
        <v>Школа 1570</v>
      </c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7" t="s">
        <v>31</v>
      </c>
      <c r="B447" s="26">
        <v>115.0</v>
      </c>
      <c r="C447" s="83" t="s">
        <v>3650</v>
      </c>
      <c r="D447" s="83" t="s">
        <v>3616</v>
      </c>
      <c r="E447" s="33"/>
      <c r="F447" s="33"/>
      <c r="G447" s="33"/>
      <c r="H447" s="33" t="str">
        <f>IFERROR(__xludf.DUMMYFUNCTION("""COMPUTED_VALUE"""),"Школа 1571")</f>
        <v>Школа 1571</v>
      </c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7" t="s">
        <v>31</v>
      </c>
      <c r="B448" s="26">
        <v>116.0</v>
      </c>
      <c r="C448" s="83" t="s">
        <v>3515</v>
      </c>
      <c r="D448" s="83" t="s">
        <v>3616</v>
      </c>
      <c r="E448" s="33"/>
      <c r="F448" s="33"/>
      <c r="G448" s="33"/>
      <c r="H448" s="33" t="str">
        <f>IFERROR(__xludf.DUMMYFUNCTION("""COMPUTED_VALUE"""),"Школа 1573")</f>
        <v>Школа 1573</v>
      </c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7" t="s">
        <v>31</v>
      </c>
      <c r="B449" s="26">
        <v>117.0</v>
      </c>
      <c r="C449" s="83" t="s">
        <v>3711</v>
      </c>
      <c r="D449" s="83" t="s">
        <v>3616</v>
      </c>
      <c r="E449" s="33"/>
      <c r="F449" s="33"/>
      <c r="G449" s="33"/>
      <c r="H449" s="33" t="str">
        <f>IFERROR(__xludf.DUMMYFUNCTION("""COMPUTED_VALUE"""),"Школа 1575")</f>
        <v>Школа 1575</v>
      </c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7" t="s">
        <v>31</v>
      </c>
      <c r="B450" s="26">
        <v>118.0</v>
      </c>
      <c r="C450" s="83" t="s">
        <v>3712</v>
      </c>
      <c r="D450" s="83" t="s">
        <v>3616</v>
      </c>
      <c r="E450" s="33"/>
      <c r="F450" s="33"/>
      <c r="G450" s="33"/>
      <c r="H450" s="33" t="str">
        <f>IFERROR(__xludf.DUMMYFUNCTION("""COMPUTED_VALUE"""),"Школа 1576")</f>
        <v>Школа 1576</v>
      </c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7" t="s">
        <v>31</v>
      </c>
      <c r="B451" s="26">
        <v>119.0</v>
      </c>
      <c r="C451" s="83" t="s">
        <v>3518</v>
      </c>
      <c r="D451" s="83" t="s">
        <v>3616</v>
      </c>
      <c r="E451" s="33"/>
      <c r="F451" s="33"/>
      <c r="G451" s="33"/>
      <c r="H451" s="33" t="str">
        <f>IFERROR(__xludf.DUMMYFUNCTION("""COMPUTED_VALUE"""),"Школа 1579")</f>
        <v>Школа 1579</v>
      </c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7" t="s">
        <v>31</v>
      </c>
      <c r="B452" s="26">
        <v>120.0</v>
      </c>
      <c r="C452" s="83" t="s">
        <v>3713</v>
      </c>
      <c r="D452" s="83" t="s">
        <v>3616</v>
      </c>
      <c r="E452" s="33"/>
      <c r="F452" s="33"/>
      <c r="G452" s="33"/>
      <c r="H452" s="33" t="str">
        <f>IFERROR(__xludf.DUMMYFUNCTION("""COMPUTED_VALUE"""),"Школа 1580")</f>
        <v>Школа 1580</v>
      </c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7" t="s">
        <v>31</v>
      </c>
      <c r="B453" s="26">
        <v>121.0</v>
      </c>
      <c r="C453" s="83" t="s">
        <v>3714</v>
      </c>
      <c r="D453" s="83" t="s">
        <v>3616</v>
      </c>
      <c r="E453" s="33"/>
      <c r="F453" s="33"/>
      <c r="G453" s="33"/>
      <c r="H453" s="33" t="str">
        <f>IFERROR(__xludf.DUMMYFUNCTION("""COMPUTED_VALUE"""),"Школа 1581")</f>
        <v>Школа 1581</v>
      </c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7" t="s">
        <v>31</v>
      </c>
      <c r="B454" s="26">
        <v>122.0</v>
      </c>
      <c r="C454" s="83" t="s">
        <v>3412</v>
      </c>
      <c r="D454" s="83" t="s">
        <v>3616</v>
      </c>
      <c r="E454" s="33"/>
      <c r="F454" s="33"/>
      <c r="G454" s="33"/>
      <c r="H454" s="33" t="str">
        <f>IFERROR(__xludf.DUMMYFUNCTION("""COMPUTED_VALUE"""),"Школа 1582")</f>
        <v>Школа 1582</v>
      </c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7" t="s">
        <v>31</v>
      </c>
      <c r="B455" s="26">
        <v>123.0</v>
      </c>
      <c r="C455" s="83" t="s">
        <v>3652</v>
      </c>
      <c r="D455" s="83" t="s">
        <v>3616</v>
      </c>
      <c r="E455" s="33"/>
      <c r="F455" s="33"/>
      <c r="G455" s="33"/>
      <c r="H455" s="33" t="str">
        <f>IFERROR(__xludf.DUMMYFUNCTION("""COMPUTED_VALUE"""),"Школа 1584")</f>
        <v>Школа 1584</v>
      </c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7" t="s">
        <v>31</v>
      </c>
      <c r="B456" s="26">
        <v>124.0</v>
      </c>
      <c r="C456" s="83" t="s">
        <v>3765</v>
      </c>
      <c r="D456" s="83" t="s">
        <v>3939</v>
      </c>
      <c r="E456" s="33"/>
      <c r="F456" s="33"/>
      <c r="G456" s="33"/>
      <c r="H456" s="33" t="str">
        <f>IFERROR(__xludf.DUMMYFUNCTION("""COMPUTED_VALUE"""),"Школа 1589")</f>
        <v>Школа 1589</v>
      </c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7" t="s">
        <v>31</v>
      </c>
      <c r="B457" s="26">
        <v>125.0</v>
      </c>
      <c r="C457" s="83" t="s">
        <v>3572</v>
      </c>
      <c r="D457" s="83" t="s">
        <v>3616</v>
      </c>
      <c r="E457" s="33"/>
      <c r="F457" s="33"/>
      <c r="G457" s="33"/>
      <c r="H457" s="33" t="str">
        <f>IFERROR(__xludf.DUMMYFUNCTION("""COMPUTED_VALUE"""),"Школа 1596")</f>
        <v>Школа 1596</v>
      </c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7" t="s">
        <v>31</v>
      </c>
      <c r="B458" s="26">
        <v>126.0</v>
      </c>
      <c r="C458" s="83" t="s">
        <v>3812</v>
      </c>
      <c r="D458" s="83" t="s">
        <v>3616</v>
      </c>
      <c r="E458" s="33"/>
      <c r="F458" s="33"/>
      <c r="G458" s="33"/>
      <c r="H458" s="33" t="str">
        <f>IFERROR(__xludf.DUMMYFUNCTION("""COMPUTED_VALUE"""),"Школа 1598")</f>
        <v>Школа 1598</v>
      </c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7" t="s">
        <v>31</v>
      </c>
      <c r="B459" s="26">
        <v>127.0</v>
      </c>
      <c r="C459" s="83" t="s">
        <v>3653</v>
      </c>
      <c r="D459" s="83" t="s">
        <v>3616</v>
      </c>
      <c r="E459" s="33"/>
      <c r="F459" s="33"/>
      <c r="G459" s="33"/>
      <c r="H459" s="33" t="str">
        <f>IFERROR(__xludf.DUMMYFUNCTION("""COMPUTED_VALUE"""),"Школа 1636")</f>
        <v>Школа 1636</v>
      </c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7" t="s">
        <v>31</v>
      </c>
      <c r="B460" s="26">
        <v>128.0</v>
      </c>
      <c r="C460" s="83" t="s">
        <v>3813</v>
      </c>
      <c r="D460" s="83" t="s">
        <v>3935</v>
      </c>
      <c r="E460" s="33"/>
      <c r="F460" s="33"/>
      <c r="G460" s="33"/>
      <c r="H460" s="33" t="str">
        <f>IFERROR(__xludf.DUMMYFUNCTION("""COMPUTED_VALUE"""),"Школа 1694")</f>
        <v>Школа 1694</v>
      </c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7" t="s">
        <v>31</v>
      </c>
      <c r="B461" s="26">
        <v>129.0</v>
      </c>
      <c r="C461" s="83" t="s">
        <v>3334</v>
      </c>
      <c r="D461" s="83" t="s">
        <v>3616</v>
      </c>
      <c r="E461" s="33"/>
      <c r="F461" s="33"/>
      <c r="G461" s="33"/>
      <c r="H461" s="33" t="str">
        <f>IFERROR(__xludf.DUMMYFUNCTION("""COMPUTED_VALUE"""),"Школа 1788")</f>
        <v>Школа 1788</v>
      </c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7" t="s">
        <v>31</v>
      </c>
      <c r="B462" s="26">
        <v>130.0</v>
      </c>
      <c r="C462" s="83" t="s">
        <v>4396</v>
      </c>
      <c r="D462" s="83" t="s">
        <v>3939</v>
      </c>
      <c r="E462" s="33"/>
      <c r="F462" s="33"/>
      <c r="G462" s="33"/>
      <c r="H462" s="33" t="str">
        <f>IFERROR(__xludf.DUMMYFUNCTION("""COMPUTED_VALUE"""),"Школа 1794")</f>
        <v>Школа 1794</v>
      </c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7" t="s">
        <v>31</v>
      </c>
      <c r="B463" s="26">
        <v>131.0</v>
      </c>
      <c r="C463" s="83" t="s">
        <v>3656</v>
      </c>
      <c r="D463" s="83" t="s">
        <v>3616</v>
      </c>
      <c r="E463" s="33"/>
      <c r="F463" s="33"/>
      <c r="G463" s="33"/>
      <c r="H463" s="33" t="str">
        <f>IFERROR(__xludf.DUMMYFUNCTION("""COMPUTED_VALUE"""),"Школа 1799")</f>
        <v>Школа 1799</v>
      </c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7" t="s">
        <v>31</v>
      </c>
      <c r="B464" s="26">
        <v>132.0</v>
      </c>
      <c r="C464" s="83" t="s">
        <v>3415</v>
      </c>
      <c r="D464" s="83" t="s">
        <v>3616</v>
      </c>
      <c r="E464" s="33"/>
      <c r="F464" s="33"/>
      <c r="G464" s="33"/>
      <c r="H464" s="33" t="str">
        <f>IFERROR(__xludf.DUMMYFUNCTION("""COMPUTED_VALUE"""),"Школа 1861")</f>
        <v>Школа 1861</v>
      </c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7" t="s">
        <v>31</v>
      </c>
      <c r="B465" s="26">
        <v>133.0</v>
      </c>
      <c r="C465" s="83" t="s">
        <v>3450</v>
      </c>
      <c r="D465" s="83" t="s">
        <v>3616</v>
      </c>
      <c r="E465" s="33"/>
      <c r="F465" s="33"/>
      <c r="G465" s="33"/>
      <c r="H465" s="33" t="str">
        <f>IFERROR(__xludf.DUMMYFUNCTION("""COMPUTED_VALUE"""),"Школа 1862")</f>
        <v>Школа 1862</v>
      </c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7" t="s">
        <v>31</v>
      </c>
      <c r="B466" s="26">
        <v>134.0</v>
      </c>
      <c r="C466" s="83" t="s">
        <v>3802</v>
      </c>
      <c r="D466" s="83" t="s">
        <v>3616</v>
      </c>
      <c r="E466" s="33"/>
      <c r="F466" s="33"/>
      <c r="G466" s="33"/>
      <c r="H466" s="33" t="str">
        <f>IFERROR(__xludf.DUMMYFUNCTION("""COMPUTED_VALUE"""),"Школа 1900")</f>
        <v>Школа 1900</v>
      </c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7" t="s">
        <v>31</v>
      </c>
      <c r="B467" s="26">
        <v>135.0</v>
      </c>
      <c r="C467" s="83" t="s">
        <v>3418</v>
      </c>
      <c r="D467" s="83" t="s">
        <v>3935</v>
      </c>
      <c r="E467" s="33"/>
      <c r="F467" s="33"/>
      <c r="G467" s="33"/>
      <c r="H467" s="33" t="str">
        <f>IFERROR(__xludf.DUMMYFUNCTION("""COMPUTED_VALUE"""),"Школа 1945")</f>
        <v>Школа 1945</v>
      </c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7" t="s">
        <v>31</v>
      </c>
      <c r="B468" s="26">
        <v>136.0</v>
      </c>
      <c r="C468" s="83" t="s">
        <v>3659</v>
      </c>
      <c r="D468" s="83" t="s">
        <v>3616</v>
      </c>
      <c r="E468" s="33"/>
      <c r="F468" s="33"/>
      <c r="G468" s="33"/>
      <c r="H468" s="33" t="str">
        <f>IFERROR(__xludf.DUMMYFUNCTION("""COMPUTED_VALUE"""),"Школа 2005")</f>
        <v>Школа 2005</v>
      </c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7" t="s">
        <v>31</v>
      </c>
      <c r="B469" s="26">
        <v>137.0</v>
      </c>
      <c r="C469" s="83" t="s">
        <v>3421</v>
      </c>
      <c r="D469" s="83" t="s">
        <v>3616</v>
      </c>
      <c r="E469" s="33"/>
      <c r="F469" s="33"/>
      <c r="G469" s="33"/>
      <c r="H469" s="33" t="str">
        <f>IFERROR(__xludf.DUMMYFUNCTION("""COMPUTED_VALUE"""),"Школа 2006")</f>
        <v>Школа 2006</v>
      </c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7" t="s">
        <v>31</v>
      </c>
      <c r="B470" s="26">
        <v>138.0</v>
      </c>
      <c r="C470" s="83" t="s">
        <v>3610</v>
      </c>
      <c r="D470" s="83" t="s">
        <v>3616</v>
      </c>
      <c r="E470" s="33"/>
      <c r="F470" s="33"/>
      <c r="G470" s="33"/>
      <c r="H470" s="33" t="str">
        <f>IFERROR(__xludf.DUMMYFUNCTION("""COMPUTED_VALUE"""),"Школа 2009")</f>
        <v>Школа 2009</v>
      </c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7" t="s">
        <v>31</v>
      </c>
      <c r="B471" s="26">
        <v>139.0</v>
      </c>
      <c r="C471" s="83" t="s">
        <v>3661</v>
      </c>
      <c r="D471" s="83" t="s">
        <v>3616</v>
      </c>
      <c r="E471" s="33"/>
      <c r="F471" s="33"/>
      <c r="G471" s="33"/>
      <c r="H471" s="33" t="str">
        <f>IFERROR(__xludf.DUMMYFUNCTION("""COMPUTED_VALUE"""),"Школа 2036")</f>
        <v>Школа 2036</v>
      </c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7" t="s">
        <v>31</v>
      </c>
      <c r="B472" s="26">
        <v>140.0</v>
      </c>
      <c r="C472" s="83" t="s">
        <v>3358</v>
      </c>
      <c r="D472" s="83" t="s">
        <v>3616</v>
      </c>
      <c r="E472" s="33"/>
      <c r="F472" s="33"/>
      <c r="G472" s="33"/>
      <c r="H472" s="33" t="str">
        <f>IFERROR(__xludf.DUMMYFUNCTION("""COMPUTED_VALUE"""),"Школа 2045")</f>
        <v>Школа 2045</v>
      </c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7" t="s">
        <v>31</v>
      </c>
      <c r="B473" s="26">
        <v>141.0</v>
      </c>
      <c r="C473" s="83" t="s">
        <v>3727</v>
      </c>
      <c r="D473" s="83" t="s">
        <v>3616</v>
      </c>
      <c r="E473" s="33"/>
      <c r="F473" s="33"/>
      <c r="G473" s="33"/>
      <c r="H473" s="33" t="str">
        <f>IFERROR(__xludf.DUMMYFUNCTION("""COMPUTED_VALUE"""),"Школа 2065")</f>
        <v>Школа 2065</v>
      </c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7" t="s">
        <v>31</v>
      </c>
      <c r="B474" s="26">
        <v>142.0</v>
      </c>
      <c r="C474" s="83" t="s">
        <v>3663</v>
      </c>
      <c r="D474" s="83" t="s">
        <v>3616</v>
      </c>
      <c r="E474" s="33"/>
      <c r="F474" s="33"/>
      <c r="G474" s="33"/>
      <c r="H474" s="33" t="str">
        <f>IFERROR(__xludf.DUMMYFUNCTION("""COMPUTED_VALUE"""),"Школа 2070")</f>
        <v>Школа 2070</v>
      </c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7" t="s">
        <v>31</v>
      </c>
      <c r="B475" s="26">
        <v>143.0</v>
      </c>
      <c r="C475" s="83" t="s">
        <v>4397</v>
      </c>
      <c r="D475" s="83" t="s">
        <v>3939</v>
      </c>
      <c r="E475" s="33"/>
      <c r="F475" s="33"/>
      <c r="G475" s="33"/>
      <c r="H475" s="33" t="str">
        <f>IFERROR(__xludf.DUMMYFUNCTION("""COMPUTED_VALUE"""),"Школа 2073")</f>
        <v>Школа 2073</v>
      </c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7" t="s">
        <v>31</v>
      </c>
      <c r="B476" s="26">
        <v>144.0</v>
      </c>
      <c r="C476" s="83" t="s">
        <v>3814</v>
      </c>
      <c r="D476" s="83" t="s">
        <v>3616</v>
      </c>
      <c r="E476" s="33"/>
      <c r="F476" s="33"/>
      <c r="G476" s="33"/>
      <c r="H476" s="33" t="str">
        <f>IFERROR(__xludf.DUMMYFUNCTION("""COMPUTED_VALUE"""),"Школа 2075")</f>
        <v>Школа 2075</v>
      </c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7" t="s">
        <v>31</v>
      </c>
      <c r="B477" s="26">
        <v>145.0</v>
      </c>
      <c r="C477" s="83" t="s">
        <v>3612</v>
      </c>
      <c r="D477" s="83" t="s">
        <v>3616</v>
      </c>
      <c r="E477" s="33"/>
      <c r="F477" s="33"/>
      <c r="G477" s="33"/>
      <c r="H477" s="33" t="str">
        <f>IFERROR(__xludf.DUMMYFUNCTION("""COMPUTED_VALUE"""),"Школа 2086")</f>
        <v>Школа 2086</v>
      </c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7" t="s">
        <v>31</v>
      </c>
      <c r="B478" s="26">
        <v>146.0</v>
      </c>
      <c r="C478" s="83" t="s">
        <v>3664</v>
      </c>
      <c r="D478" s="83" t="s">
        <v>3616</v>
      </c>
      <c r="E478" s="33"/>
      <c r="F478" s="33"/>
      <c r="G478" s="33"/>
      <c r="H478" s="33" t="str">
        <f>IFERROR(__xludf.DUMMYFUNCTION("""COMPUTED_VALUE"""),"Школа 2087")</f>
        <v>Школа 2087</v>
      </c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7" t="s">
        <v>31</v>
      </c>
      <c r="B479" s="26">
        <v>147.0</v>
      </c>
      <c r="C479" s="83" t="s">
        <v>3815</v>
      </c>
      <c r="D479" s="83" t="s">
        <v>3616</v>
      </c>
      <c r="E479" s="33"/>
      <c r="F479" s="33"/>
      <c r="G479" s="33"/>
      <c r="H479" s="33" t="str">
        <f>IFERROR(__xludf.DUMMYFUNCTION("""COMPUTED_VALUE"""),"Школа 2094")</f>
        <v>Школа 2094</v>
      </c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7" t="s">
        <v>31</v>
      </c>
      <c r="B480" s="26">
        <v>148.0</v>
      </c>
      <c r="C480" s="83" t="s">
        <v>3665</v>
      </c>
      <c r="D480" s="83" t="s">
        <v>3616</v>
      </c>
      <c r="E480" s="33"/>
      <c r="F480" s="33"/>
      <c r="G480" s="33"/>
      <c r="H480" s="33" t="str">
        <f>IFERROR(__xludf.DUMMYFUNCTION("""COMPUTED_VALUE"""),"Школа 2097")</f>
        <v>Школа 2097</v>
      </c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7" t="s">
        <v>31</v>
      </c>
      <c r="B481" s="26">
        <v>149.0</v>
      </c>
      <c r="C481" s="83" t="s">
        <v>3666</v>
      </c>
      <c r="D481" s="83" t="s">
        <v>3616</v>
      </c>
      <c r="E481" s="33"/>
      <c r="F481" s="33"/>
      <c r="G481" s="33"/>
      <c r="H481" s="33" t="str">
        <f>IFERROR(__xludf.DUMMYFUNCTION("""COMPUTED_VALUE"""),"Школа 2098")</f>
        <v>Школа 2098</v>
      </c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7" t="s">
        <v>31</v>
      </c>
      <c r="B482" s="26">
        <v>150.0</v>
      </c>
      <c r="C482" s="83" t="s">
        <v>3613</v>
      </c>
      <c r="D482" s="83" t="s">
        <v>3616</v>
      </c>
      <c r="E482" s="33"/>
      <c r="F482" s="33"/>
      <c r="G482" s="33"/>
      <c r="H482" s="33" t="str">
        <f>IFERROR(__xludf.DUMMYFUNCTION("""COMPUTED_VALUE"""),"Школа 2103")</f>
        <v>Школа 2103</v>
      </c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7" t="s">
        <v>31</v>
      </c>
      <c r="B483" s="26">
        <v>151.0</v>
      </c>
      <c r="C483" s="83" t="s">
        <v>3614</v>
      </c>
      <c r="D483" s="83" t="s">
        <v>3616</v>
      </c>
      <c r="E483" s="33"/>
      <c r="F483" s="33"/>
      <c r="G483" s="33"/>
      <c r="H483" s="33" t="str">
        <f>IFERROR(__xludf.DUMMYFUNCTION("""COMPUTED_VALUE"""),"Школа 2107")</f>
        <v>Школа 2107</v>
      </c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7" t="s">
        <v>31</v>
      </c>
      <c r="B484" s="26">
        <v>152.0</v>
      </c>
      <c r="C484" s="83" t="s">
        <v>3730</v>
      </c>
      <c r="D484" s="83" t="s">
        <v>3616</v>
      </c>
      <c r="E484" s="33"/>
      <c r="F484" s="33"/>
      <c r="G484" s="33"/>
      <c r="H484" s="33" t="str">
        <f>IFERROR(__xludf.DUMMYFUNCTION("""COMPUTED_VALUE"""),"Школа 2109")</f>
        <v>Школа 2109</v>
      </c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7" t="s">
        <v>31</v>
      </c>
      <c r="B485" s="26">
        <v>153.0</v>
      </c>
      <c r="C485" s="83" t="s">
        <v>3731</v>
      </c>
      <c r="D485" s="83" t="s">
        <v>3616</v>
      </c>
      <c r="E485" s="33"/>
      <c r="F485" s="33"/>
      <c r="G485" s="33"/>
      <c r="H485" s="33" t="str">
        <f>IFERROR(__xludf.DUMMYFUNCTION("""COMPUTED_VALUE"""),"Школа 2114")</f>
        <v>Школа 2114</v>
      </c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7" t="s">
        <v>31</v>
      </c>
      <c r="B486" s="26">
        <v>154.0</v>
      </c>
      <c r="C486" s="83" t="s">
        <v>3805</v>
      </c>
      <c r="D486" s="83" t="s">
        <v>3939</v>
      </c>
      <c r="E486" s="33"/>
      <c r="F486" s="33"/>
      <c r="G486" s="33"/>
      <c r="H486" s="33" t="str">
        <f>IFERROR(__xludf.DUMMYFUNCTION("""COMPUTED_VALUE"""),"Школа 2117")</f>
        <v>Школа 2117</v>
      </c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7" t="s">
        <v>31</v>
      </c>
      <c r="B487" s="26">
        <v>155.0</v>
      </c>
      <c r="C487" s="83" t="s">
        <v>3426</v>
      </c>
      <c r="D487" s="83" t="s">
        <v>3616</v>
      </c>
      <c r="E487" s="33"/>
      <c r="F487" s="33"/>
      <c r="G487" s="33"/>
      <c r="H487" s="33" t="str">
        <f>IFERROR(__xludf.DUMMYFUNCTION("""COMPUTED_VALUE"""),"Школа 2120")</f>
        <v>Школа 2120</v>
      </c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7" t="s">
        <v>31</v>
      </c>
      <c r="B488" s="26">
        <v>156.0</v>
      </c>
      <c r="C488" s="83" t="s">
        <v>3453</v>
      </c>
      <c r="D488" s="83" t="s">
        <v>3616</v>
      </c>
      <c r="E488" s="33"/>
      <c r="F488" s="33"/>
      <c r="G488" s="33"/>
      <c r="H488" s="33" t="str">
        <f>IFERROR(__xludf.DUMMYFUNCTION("""COMPUTED_VALUE"""),"Школа 2127")</f>
        <v>Школа 2127</v>
      </c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7" t="s">
        <v>31</v>
      </c>
      <c r="B489" s="26">
        <v>157.0</v>
      </c>
      <c r="C489" s="83" t="s">
        <v>3767</v>
      </c>
      <c r="D489" s="83" t="s">
        <v>3616</v>
      </c>
      <c r="E489" s="33"/>
      <c r="F489" s="33"/>
      <c r="G489" s="33"/>
      <c r="H489" s="33" t="str">
        <f>IFERROR(__xludf.DUMMYFUNCTION("""COMPUTED_VALUE"""),"Школа 2129")</f>
        <v>Школа 2129</v>
      </c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7" t="s">
        <v>31</v>
      </c>
      <c r="B490" s="26">
        <v>158.0</v>
      </c>
      <c r="C490" s="83" t="s">
        <v>3427</v>
      </c>
      <c r="D490" s="83" t="s">
        <v>3616</v>
      </c>
      <c r="E490" s="33"/>
      <c r="F490" s="33"/>
      <c r="G490" s="33"/>
      <c r="H490" s="33" t="str">
        <f>IFERROR(__xludf.DUMMYFUNCTION("""COMPUTED_VALUE"""),"Школа 2200")</f>
        <v>Школа 2200</v>
      </c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7" t="s">
        <v>31</v>
      </c>
      <c r="B491" s="26">
        <v>159.0</v>
      </c>
      <c r="C491" s="83" t="s">
        <v>4398</v>
      </c>
      <c r="D491" s="83" t="s">
        <v>3616</v>
      </c>
      <c r="E491" s="33"/>
      <c r="F491" s="33"/>
      <c r="G491" s="33"/>
      <c r="H491" s="33" t="str">
        <f>IFERROR(__xludf.DUMMYFUNCTION("""COMPUTED_VALUE"""),"образовательное высшего образования Московский городской педагогический университет")</f>
        <v>образовательное высшего образования Московский городской педагогический университет</v>
      </c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7" t="s">
        <v>31</v>
      </c>
      <c r="B492" s="26">
        <v>160.0</v>
      </c>
      <c r="C492" s="83" t="s">
        <v>4368</v>
      </c>
      <c r="D492" s="83" t="s">
        <v>3616</v>
      </c>
      <c r="E492" s="33"/>
      <c r="F492" s="33"/>
      <c r="G492" s="33"/>
      <c r="H492" s="33" t="str">
        <f>IFERROR(__xludf.DUMMYFUNCTION("""COMPUTED_VALUE"""),"Гимназия им. Н. В. Пушкова")</f>
        <v>Гимназия им. Н. В. Пушкова</v>
      </c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7" t="s">
        <v>31</v>
      </c>
      <c r="B493" s="26">
        <v>161.0</v>
      </c>
      <c r="C493" s="83" t="s">
        <v>4134</v>
      </c>
      <c r="D493" s="83" t="s">
        <v>3935</v>
      </c>
      <c r="E493" s="33"/>
      <c r="F493" s="33"/>
      <c r="G493" s="33"/>
      <c r="H493" s="33" t="str">
        <f>IFERROR(__xludf.DUMMYFUNCTION("""COMPUTED_VALUE"""),"Гимназия г. Троицка")</f>
        <v>Гимназия г. Троицка</v>
      </c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7" t="s">
        <v>31</v>
      </c>
      <c r="B494" s="26">
        <v>162.0</v>
      </c>
      <c r="C494" s="83" t="s">
        <v>3529</v>
      </c>
      <c r="D494" s="83" t="s">
        <v>3616</v>
      </c>
      <c r="E494" s="33"/>
      <c r="F494" s="33"/>
      <c r="G494" s="33"/>
      <c r="H494" s="33" t="str">
        <f>IFERROR(__xludf.DUMMYFUNCTION("""COMPUTED_VALUE"""),"Вешняковская школа")</f>
        <v>Вешняковская школа</v>
      </c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7" t="s">
        <v>31</v>
      </c>
      <c r="B495" s="26">
        <v>163.0</v>
      </c>
      <c r="C495" s="83" t="s">
        <v>3429</v>
      </c>
      <c r="D495" s="83" t="s">
        <v>3935</v>
      </c>
      <c r="E495" s="33"/>
      <c r="F495" s="33"/>
      <c r="G495" s="33"/>
      <c r="H495" s="33" t="str">
        <f>IFERROR(__xludf.DUMMYFUNCTION("""COMPUTED_VALUE"""),"Инженерно-техническая школа им. дважды Героя Советского Союза П. Р. Поповича")</f>
        <v>Инженерно-техническая школа им. дважды Героя Советского Союза П. Р. Поповича</v>
      </c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7" t="s">
        <v>31</v>
      </c>
      <c r="B496" s="26">
        <v>164.0</v>
      </c>
      <c r="C496" s="83" t="s">
        <v>3670</v>
      </c>
      <c r="D496" s="83" t="s">
        <v>3616</v>
      </c>
      <c r="E496" s="33"/>
      <c r="F496" s="33"/>
      <c r="G496" s="33"/>
      <c r="H496" s="33" t="str">
        <f>IFERROR(__xludf.DUMMYFUNCTION("""COMPUTED_VALUE"""),"Образовательный центр Протон")</f>
        <v>Образовательный центр Протон</v>
      </c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7" t="s">
        <v>31</v>
      </c>
      <c r="B497" s="26">
        <v>165.0</v>
      </c>
      <c r="C497" s="83" t="s">
        <v>3364</v>
      </c>
      <c r="D497" s="83" t="s">
        <v>3616</v>
      </c>
      <c r="E497" s="33"/>
      <c r="F497" s="33"/>
      <c r="G497" s="33"/>
      <c r="H497" s="33" t="str">
        <f>IFERROR(__xludf.DUMMYFUNCTION("""COMPUTED_VALUE"""),"Романовская школа")</f>
        <v>Романовская школа</v>
      </c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7" t="s">
        <v>31</v>
      </c>
      <c r="B498" s="26">
        <v>166.0</v>
      </c>
      <c r="C498" s="83" t="s">
        <v>3363</v>
      </c>
      <c r="D498" s="83" t="s">
        <v>3939</v>
      </c>
      <c r="E498" s="33"/>
      <c r="F498" s="33"/>
      <c r="G498" s="33"/>
      <c r="H498" s="33" t="str">
        <f>IFERROR(__xludf.DUMMYFUNCTION("""COMPUTED_VALUE"""),"Школа Бескудниково")</f>
        <v>Школа Бескудниково</v>
      </c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7" t="s">
        <v>31</v>
      </c>
      <c r="B499" s="26">
        <v>167.0</v>
      </c>
      <c r="C499" s="83" t="s">
        <v>3530</v>
      </c>
      <c r="D499" s="83" t="s">
        <v>3616</v>
      </c>
      <c r="E499" s="33"/>
      <c r="F499" s="33"/>
      <c r="G499" s="33"/>
      <c r="H499" s="33" t="str">
        <f>IFERROR(__xludf.DUMMYFUNCTION("""COMPUTED_VALUE"""),"Школа Марьино им. маршала авиации А. Е. Голованова")</f>
        <v>Школа Марьино им. маршала авиации А. Е. Голованова</v>
      </c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7" t="s">
        <v>31</v>
      </c>
      <c r="B500" s="26">
        <v>168.0</v>
      </c>
      <c r="C500" s="83" t="s">
        <v>3576</v>
      </c>
      <c r="D500" s="83" t="s">
        <v>3616</v>
      </c>
      <c r="E500" s="33"/>
      <c r="F500" s="33"/>
      <c r="G500" s="33"/>
      <c r="H500" s="33" t="str">
        <f>IFERROR(__xludf.DUMMYFUNCTION("""COMPUTED_VALUE"""),"Школа Свиблово")</f>
        <v>Школа Свиблово</v>
      </c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7" t="s">
        <v>31</v>
      </c>
      <c r="B501" s="26">
        <v>169.0</v>
      </c>
      <c r="C501" s="83" t="s">
        <v>3489</v>
      </c>
      <c r="D501" s="83" t="s">
        <v>3935</v>
      </c>
      <c r="E501" s="33"/>
      <c r="F501" s="33"/>
      <c r="G501" s="33"/>
      <c r="H501" s="33" t="str">
        <f>IFERROR(__xludf.DUMMYFUNCTION("""COMPUTED_VALUE"""),"Школа в Капотне")</f>
        <v>Школа в Капотне</v>
      </c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7" t="s">
        <v>31</v>
      </c>
      <c r="B502" s="26">
        <v>170.0</v>
      </c>
      <c r="C502" s="83" t="s">
        <v>3668</v>
      </c>
      <c r="D502" s="83" t="s">
        <v>3939</v>
      </c>
      <c r="E502" s="33"/>
      <c r="F502" s="33"/>
      <c r="G502" s="33"/>
      <c r="H502" s="33" t="str">
        <f>IFERROR(__xludf.DUMMYFUNCTION("""COMPUTED_VALUE"""),"Школа в Некрасовке")</f>
        <v>Школа в Некрасовке</v>
      </c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7" t="s">
        <v>31</v>
      </c>
      <c r="B503" s="26">
        <v>171.0</v>
      </c>
      <c r="C503" s="83" t="s">
        <v>3367</v>
      </c>
      <c r="D503" s="83" t="s">
        <v>3616</v>
      </c>
      <c r="E503" s="33"/>
      <c r="F503" s="33"/>
      <c r="G503" s="33"/>
      <c r="H503" s="33" t="str">
        <f>IFERROR(__xludf.DUMMYFUNCTION("""COMPUTED_VALUE"""),"Школа им. В. В. Маяковского")</f>
        <v>Школа им. В. В. Маяковского</v>
      </c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7" t="s">
        <v>31</v>
      </c>
      <c r="B504" s="26">
        <v>172.0</v>
      </c>
      <c r="C504" s="83" t="s">
        <v>3366</v>
      </c>
      <c r="D504" s="83" t="s">
        <v>3616</v>
      </c>
      <c r="E504" s="33"/>
      <c r="F504" s="33"/>
      <c r="G504" s="33"/>
      <c r="H504" s="33" t="str">
        <f>IFERROR(__xludf.DUMMYFUNCTION("""COMPUTED_VALUE"""),"Школа им. дважды Героя Советского Союза И. С. Полбина")</f>
        <v>Школа им. дважды Героя Советского Союза И. С. Полбина</v>
      </c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7" t="s">
        <v>31</v>
      </c>
      <c r="B505" s="26">
        <v>173.0</v>
      </c>
      <c r="C505" s="83" t="s">
        <v>3456</v>
      </c>
      <c r="D505" s="83" t="s">
        <v>3939</v>
      </c>
      <c r="E505" s="33"/>
      <c r="F505" s="33"/>
      <c r="G505" s="33"/>
      <c r="H505" s="33" t="str">
        <f>IFERROR(__xludf.DUMMYFUNCTION("""COMPUTED_VALUE"""),"Школа им. Ф. М. Достоевского")</f>
        <v>Школа им. Ф. М. Достоевского</v>
      </c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7" t="s">
        <v>31</v>
      </c>
      <c r="B506" s="26">
        <v>174.0</v>
      </c>
      <c r="C506" s="83" t="s">
        <v>3672</v>
      </c>
      <c r="D506" s="83" t="s">
        <v>3616</v>
      </c>
      <c r="E506" s="33"/>
      <c r="F506" s="33"/>
      <c r="G506" s="33"/>
      <c r="H506" s="33" t="str">
        <f>IFERROR(__xludf.DUMMYFUNCTION("""COMPUTED_VALUE"""),"Школа Марьина Роща им. В. Ф. Орлова")</f>
        <v>Школа Марьина Роща им. В. Ф. Орлова</v>
      </c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7" t="s">
        <v>31</v>
      </c>
      <c r="B507" s="26">
        <v>175.0</v>
      </c>
      <c r="C507" s="83" t="s">
        <v>3735</v>
      </c>
      <c r="D507" s="83" t="s">
        <v>3939</v>
      </c>
      <c r="E507" s="33"/>
      <c r="F507" s="33"/>
      <c r="G507" s="33"/>
      <c r="H507" s="33" t="str">
        <f>IFERROR(__xludf.DUMMYFUNCTION("""COMPUTED_VALUE"""),"Школа на проспекте Вернадского")</f>
        <v>Школа на проспекте Вернадского</v>
      </c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7" t="s">
        <v>31</v>
      </c>
      <c r="B508" s="26">
        <v>176.0</v>
      </c>
      <c r="C508" s="83" t="s">
        <v>3736</v>
      </c>
      <c r="D508" s="83" t="s">
        <v>3939</v>
      </c>
      <c r="E508" s="33"/>
      <c r="F508" s="33"/>
      <c r="G508" s="33"/>
      <c r="H508" s="33" t="str">
        <f>IFERROR(__xludf.DUMMYFUNCTION("""COMPUTED_VALUE"""),"профессиональное образовательное Первый Московский Образовательный Комплекс")</f>
        <v>профессиональное образовательное Первый Московский Образовательный Комплекс</v>
      </c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7" t="s">
        <v>34</v>
      </c>
      <c r="B509" s="26">
        <v>1.0</v>
      </c>
      <c r="C509" s="83" t="s">
        <v>3387</v>
      </c>
      <c r="D509" s="83" t="s">
        <v>3935</v>
      </c>
      <c r="E509" s="33"/>
      <c r="F509" s="33"/>
      <c r="G509" s="33"/>
      <c r="H509" s="33" t="str">
        <f>IFERROR(__xludf.DUMMYFUNCTION("""COMPUTED_VALUE"""),"Школа 1238")</f>
        <v>Школа 1238</v>
      </c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7" t="s">
        <v>34</v>
      </c>
      <c r="B510" s="26">
        <v>2.0</v>
      </c>
      <c r="C510" s="83" t="s">
        <v>3458</v>
      </c>
      <c r="D510" s="83" t="s">
        <v>3935</v>
      </c>
      <c r="E510" s="33"/>
      <c r="F510" s="33"/>
      <c r="G510" s="33"/>
      <c r="H510" s="33" t="str">
        <f>IFERROR(__xludf.DUMMYFUNCTION("""COMPUTED_VALUE"""),"Школа 1793")</f>
        <v>Школа 1793</v>
      </c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7" t="s">
        <v>34</v>
      </c>
      <c r="B511" s="26">
        <v>3.0</v>
      </c>
      <c r="C511" s="83" t="s">
        <v>3614</v>
      </c>
      <c r="D511" s="83" t="s">
        <v>3935</v>
      </c>
      <c r="E511" s="33"/>
      <c r="F511" s="33"/>
      <c r="G511" s="33"/>
      <c r="H511" s="33" t="str">
        <f>IFERROR(__xludf.DUMMYFUNCTION("""COMPUTED_VALUE"""),"Школа 2107")</f>
        <v>Школа 2107</v>
      </c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7" t="s">
        <v>34</v>
      </c>
      <c r="B512" s="26">
        <v>4.0</v>
      </c>
      <c r="C512" s="83" t="s">
        <v>3426</v>
      </c>
      <c r="D512" s="83" t="s">
        <v>3935</v>
      </c>
      <c r="E512" s="33"/>
      <c r="F512" s="33"/>
      <c r="G512" s="33"/>
      <c r="H512" s="33" t="str">
        <f>IFERROR(__xludf.DUMMYFUNCTION("""COMPUTED_VALUE"""),"Школа 2120")</f>
        <v>Школа 2120</v>
      </c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7" t="s">
        <v>34</v>
      </c>
      <c r="B513" s="26">
        <v>5.0</v>
      </c>
      <c r="C513" s="83" t="s">
        <v>3816</v>
      </c>
      <c r="D513" s="83" t="s">
        <v>3935</v>
      </c>
      <c r="E513" s="33"/>
      <c r="F513" s="33"/>
      <c r="G513" s="33"/>
      <c r="H513" s="33" t="str">
        <f>IFERROR(__xludf.DUMMYFUNCTION("""COMPUTED_VALUE"""),"Школа Перспектива")</f>
        <v>Школа Перспектива</v>
      </c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114" t="s">
        <v>33</v>
      </c>
      <c r="B514" s="83">
        <v>1.0</v>
      </c>
      <c r="C514" s="83" t="s">
        <v>3788</v>
      </c>
      <c r="D514" s="83" t="s">
        <v>3616</v>
      </c>
      <c r="F514" s="83" t="s">
        <v>4399</v>
      </c>
      <c r="G514" s="83" t="s">
        <v>2406</v>
      </c>
      <c r="H514" s="33" t="str">
        <f>IFERROR(__xludf.DUMMYFUNCTION("""COMPUTED_VALUE"""),"Школа 1306")</f>
        <v>Школа 1306</v>
      </c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114" t="s">
        <v>33</v>
      </c>
      <c r="B515" s="83">
        <v>2.0</v>
      </c>
      <c r="C515" s="83" t="s">
        <v>3529</v>
      </c>
      <c r="D515" s="83" t="s">
        <v>3616</v>
      </c>
      <c r="F515" s="83" t="s">
        <v>4400</v>
      </c>
      <c r="G515" s="83" t="s">
        <v>2396</v>
      </c>
      <c r="H515" s="33" t="str">
        <f>IFERROR(__xludf.DUMMYFUNCTION("""COMPUTED_VALUE"""),"Вешняковская школа")</f>
        <v>Вешняковская школа</v>
      </c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114" t="s">
        <v>33</v>
      </c>
      <c r="B516" s="83">
        <v>3.0</v>
      </c>
      <c r="C516" s="83" t="s">
        <v>3405</v>
      </c>
      <c r="D516" s="83" t="s">
        <v>3616</v>
      </c>
      <c r="F516" s="83" t="s">
        <v>4401</v>
      </c>
      <c r="G516" s="83" t="s">
        <v>2396</v>
      </c>
      <c r="H516" s="33" t="str">
        <f>IFERROR(__xludf.DUMMYFUNCTION("""COMPUTED_VALUE"""),"Школа 1508")</f>
        <v>Школа 1508</v>
      </c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114" t="s">
        <v>33</v>
      </c>
      <c r="B517" s="83">
        <v>4.0</v>
      </c>
      <c r="C517" s="83" t="s">
        <v>3667</v>
      </c>
      <c r="D517" s="83" t="s">
        <v>3616</v>
      </c>
      <c r="F517" s="83" t="s">
        <v>4402</v>
      </c>
      <c r="G517" s="83" t="s">
        <v>2419</v>
      </c>
      <c r="H517" s="33" t="str">
        <f>IFERROR(__xludf.DUMMYFUNCTION("""COMPUTED_VALUE"""),"Курчатовская школа")</f>
        <v>Курчатовская школа</v>
      </c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114" t="s">
        <v>33</v>
      </c>
      <c r="B518" s="83">
        <v>5.0</v>
      </c>
      <c r="C518" s="83" t="s">
        <v>3351</v>
      </c>
      <c r="D518" s="83" t="s">
        <v>3616</v>
      </c>
      <c r="F518" s="83" t="s">
        <v>4403</v>
      </c>
      <c r="G518" s="83" t="s">
        <v>2439</v>
      </c>
      <c r="H518" s="33" t="str">
        <f>IFERROR(__xludf.DUMMYFUNCTION("""COMPUTED_VALUE"""),"Школа 1566")</f>
        <v>Школа 1566</v>
      </c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114" t="s">
        <v>33</v>
      </c>
      <c r="B519" s="83">
        <v>6.0</v>
      </c>
      <c r="C519" s="83" t="s">
        <v>3670</v>
      </c>
      <c r="D519" s="83" t="s">
        <v>3616</v>
      </c>
      <c r="F519" s="83" t="s">
        <v>4404</v>
      </c>
      <c r="G519" s="83" t="s">
        <v>2406</v>
      </c>
      <c r="H519" s="33" t="str">
        <f>IFERROR(__xludf.DUMMYFUNCTION("""COMPUTED_VALUE"""),"Образовательный центр Протон")</f>
        <v>Образовательный центр Протон</v>
      </c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114" t="s">
        <v>33</v>
      </c>
      <c r="B520" s="83">
        <v>7.0</v>
      </c>
      <c r="C520" s="83" t="s">
        <v>3331</v>
      </c>
      <c r="D520" s="83" t="s">
        <v>3616</v>
      </c>
      <c r="F520" s="83" t="s">
        <v>4405</v>
      </c>
      <c r="G520" s="83" t="s">
        <v>2422</v>
      </c>
      <c r="H520" s="33" t="str">
        <f>IFERROR(__xludf.DUMMYFUNCTION("""COMPUTED_VALUE"""),"Школа 1500")</f>
        <v>Школа 1500</v>
      </c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114" t="s">
        <v>33</v>
      </c>
      <c r="B521" s="83">
        <v>8.0</v>
      </c>
      <c r="C521" s="83" t="s">
        <v>3364</v>
      </c>
      <c r="D521" s="83" t="s">
        <v>3939</v>
      </c>
      <c r="F521" s="83" t="s">
        <v>4406</v>
      </c>
      <c r="G521" s="83" t="s">
        <v>2422</v>
      </c>
      <c r="H521" s="33" t="str">
        <f>IFERROR(__xludf.DUMMYFUNCTION("""COMPUTED_VALUE"""),"Романовская школа")</f>
        <v>Романовская школа</v>
      </c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114" t="s">
        <v>33</v>
      </c>
      <c r="B522" s="83">
        <v>9.0</v>
      </c>
      <c r="C522" s="83" t="s">
        <v>3486</v>
      </c>
      <c r="D522" s="83" t="s">
        <v>3616</v>
      </c>
      <c r="F522" s="83" t="s">
        <v>4407</v>
      </c>
      <c r="G522" s="83" t="s">
        <v>2497</v>
      </c>
      <c r="H522" s="33" t="str">
        <f>IFERROR(__xludf.DUMMYFUNCTION("""COMPUTED_VALUE"""),"Школа Дмитровский им. Героя Советского Союза В. П. Кислякова")</f>
        <v>Школа Дмитровский им. Героя Советского Союза В. П. Кислякова</v>
      </c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114" t="s">
        <v>33</v>
      </c>
      <c r="B523" s="83">
        <v>10.0</v>
      </c>
      <c r="C523" s="83" t="s">
        <v>3673</v>
      </c>
      <c r="D523" s="83" t="s">
        <v>3616</v>
      </c>
      <c r="F523" s="83" t="s">
        <v>4404</v>
      </c>
      <c r="G523" s="83" t="s">
        <v>2406</v>
      </c>
      <c r="H523" s="33" t="str">
        <f>IFERROR(__xludf.DUMMYFUNCTION("""COMPUTED_VALUE"""),"Школа Интеграл")</f>
        <v>Школа Интеграл</v>
      </c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114" t="s">
        <v>33</v>
      </c>
      <c r="B524" s="83">
        <v>11.0</v>
      </c>
      <c r="C524" s="83" t="s">
        <v>3530</v>
      </c>
      <c r="D524" s="83" t="s">
        <v>3616</v>
      </c>
      <c r="F524" s="83" t="s">
        <v>4403</v>
      </c>
      <c r="G524" s="83" t="s">
        <v>2439</v>
      </c>
      <c r="H524" s="33" t="str">
        <f>IFERROR(__xludf.DUMMYFUNCTION("""COMPUTED_VALUE"""),"Школа Марьино им. маршала авиации А. Е. Голованова")</f>
        <v>Школа Марьино им. маршала авиации А. Е. Голованова</v>
      </c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114" t="s">
        <v>33</v>
      </c>
      <c r="B525" s="83">
        <v>12.0</v>
      </c>
      <c r="C525" s="83" t="s">
        <v>3671</v>
      </c>
      <c r="D525" s="83" t="s">
        <v>3616</v>
      </c>
      <c r="F525" s="83" t="s">
        <v>4408</v>
      </c>
      <c r="G525" s="83" t="s">
        <v>2422</v>
      </c>
      <c r="H525" s="33" t="str">
        <f>IFERROR(__xludf.DUMMYFUNCTION("""COMPUTED_VALUE"""),"Школа Покровский квартал")</f>
        <v>Школа Покровский квартал</v>
      </c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114" t="s">
        <v>33</v>
      </c>
      <c r="B526" s="83">
        <v>13.0</v>
      </c>
      <c r="C526" s="83" t="s">
        <v>3576</v>
      </c>
      <c r="D526" s="83" t="s">
        <v>3616</v>
      </c>
      <c r="F526" s="83" t="s">
        <v>4409</v>
      </c>
      <c r="G526" s="83" t="s">
        <v>2416</v>
      </c>
      <c r="H526" s="33" t="str">
        <f>IFERROR(__xludf.DUMMYFUNCTION("""COMPUTED_VALUE"""),"Школа Свиблово")</f>
        <v>Школа Свиблово</v>
      </c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114" t="s">
        <v>33</v>
      </c>
      <c r="B527" s="83">
        <v>14.0</v>
      </c>
      <c r="C527" s="83" t="s">
        <v>3455</v>
      </c>
      <c r="D527" s="83" t="s">
        <v>3616</v>
      </c>
      <c r="F527" s="83" t="s">
        <v>4410</v>
      </c>
      <c r="G527" s="83" t="s">
        <v>2406</v>
      </c>
      <c r="H527" s="33" t="str">
        <f>IFERROR(__xludf.DUMMYFUNCTION("""COMPUTED_VALUE"""),"Школа Тропарево")</f>
        <v>Школа Тропарево</v>
      </c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114" t="s">
        <v>33</v>
      </c>
      <c r="B528" s="83">
        <v>15.0</v>
      </c>
      <c r="C528" s="83" t="s">
        <v>3687</v>
      </c>
      <c r="D528" s="83" t="s">
        <v>3939</v>
      </c>
      <c r="F528" s="83" t="s">
        <v>4411</v>
      </c>
      <c r="G528" s="83" t="s">
        <v>2487</v>
      </c>
      <c r="H528" s="33" t="str">
        <f>IFERROR(__xludf.DUMMYFUNCTION("""COMPUTED_VALUE"""),"Школа 1151")</f>
        <v>Школа 1151</v>
      </c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114" t="s">
        <v>33</v>
      </c>
      <c r="B529" s="83">
        <v>16.0</v>
      </c>
      <c r="C529" s="83" t="s">
        <v>3623</v>
      </c>
      <c r="D529" s="83" t="s">
        <v>3616</v>
      </c>
      <c r="F529" s="83" t="s">
        <v>4412</v>
      </c>
      <c r="G529" s="83" t="s">
        <v>2453</v>
      </c>
      <c r="H529" s="33" t="str">
        <f>IFERROR(__xludf.DUMMYFUNCTION("""COMPUTED_VALUE"""),"Школа 1158")</f>
        <v>Школа 1158</v>
      </c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114" t="s">
        <v>33</v>
      </c>
      <c r="B530" s="83">
        <v>17.0</v>
      </c>
      <c r="C530" s="83" t="s">
        <v>3688</v>
      </c>
      <c r="D530" s="83" t="s">
        <v>3939</v>
      </c>
      <c r="F530" s="83" t="s">
        <v>4413</v>
      </c>
      <c r="G530" s="83" t="s">
        <v>2419</v>
      </c>
      <c r="H530" s="33" t="str">
        <f>IFERROR(__xludf.DUMMYFUNCTION("""COMPUTED_VALUE"""),"Школа 1191")</f>
        <v>Школа 1191</v>
      </c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>
      <c r="A531" s="114" t="s">
        <v>33</v>
      </c>
      <c r="B531" s="83">
        <v>18.0</v>
      </c>
      <c r="C531" s="83" t="s">
        <v>3624</v>
      </c>
      <c r="D531" s="83" t="s">
        <v>3616</v>
      </c>
      <c r="F531" s="83" t="s">
        <v>4411</v>
      </c>
      <c r="G531" s="83" t="s">
        <v>2487</v>
      </c>
      <c r="H531" s="33" t="str">
        <f>IFERROR(__xludf.DUMMYFUNCTION("""COMPUTED_VALUE"""),"Школа 1194")</f>
        <v>Школа 1194</v>
      </c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114" t="s">
        <v>33</v>
      </c>
      <c r="B532" s="83">
        <v>19.0</v>
      </c>
      <c r="C532" s="83" t="s">
        <v>3345</v>
      </c>
      <c r="D532" s="83" t="s">
        <v>3935</v>
      </c>
      <c r="F532" s="83" t="s">
        <v>4414</v>
      </c>
      <c r="G532" s="83" t="s">
        <v>2406</v>
      </c>
      <c r="H532" s="33" t="str">
        <f>IFERROR(__xludf.DUMMYFUNCTION("""COMPUTED_VALUE"""),"Школа 1195")</f>
        <v>Школа 1195</v>
      </c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114" t="s">
        <v>33</v>
      </c>
      <c r="B533" s="83">
        <v>20.0</v>
      </c>
      <c r="C533" s="83" t="s">
        <v>3328</v>
      </c>
      <c r="D533" s="83" t="s">
        <v>3616</v>
      </c>
      <c r="F533" s="83" t="s">
        <v>4415</v>
      </c>
      <c r="G533" s="83" t="s">
        <v>2453</v>
      </c>
      <c r="H533" s="33" t="str">
        <f>IFERROR(__xludf.DUMMYFUNCTION("""COMPUTED_VALUE"""),"Школа 1207")</f>
        <v>Школа 1207</v>
      </c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114" t="s">
        <v>33</v>
      </c>
      <c r="B534" s="83">
        <v>21.0</v>
      </c>
      <c r="C534" s="83" t="s">
        <v>3385</v>
      </c>
      <c r="D534" s="83" t="s">
        <v>3616</v>
      </c>
      <c r="F534" s="83" t="s">
        <v>4416</v>
      </c>
      <c r="G534" s="83" t="s">
        <v>2439</v>
      </c>
      <c r="H534" s="33" t="str">
        <f>IFERROR(__xludf.DUMMYFUNCTION("""COMPUTED_VALUE"""),"Школа 1208")</f>
        <v>Школа 1208</v>
      </c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114" t="s">
        <v>33</v>
      </c>
      <c r="B535" s="83">
        <v>22.0</v>
      </c>
      <c r="C535" s="83" t="s">
        <v>3469</v>
      </c>
      <c r="D535" s="83" t="s">
        <v>3935</v>
      </c>
      <c r="F535" s="83" t="s">
        <v>4402</v>
      </c>
      <c r="G535" s="83" t="s">
        <v>2419</v>
      </c>
      <c r="H535" s="33" t="str">
        <f>IFERROR(__xludf.DUMMYFUNCTION("""COMPUTED_VALUE"""),"Школа 1210")</f>
        <v>Школа 1210</v>
      </c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>
      <c r="A536" s="114" t="s">
        <v>33</v>
      </c>
      <c r="B536" s="83">
        <v>23.0</v>
      </c>
      <c r="C536" s="83" t="s">
        <v>3748</v>
      </c>
      <c r="D536" s="83" t="s">
        <v>3935</v>
      </c>
      <c r="F536" s="83" t="s">
        <v>4402</v>
      </c>
      <c r="G536" s="83" t="s">
        <v>2419</v>
      </c>
      <c r="H536" s="33" t="str">
        <f>IFERROR(__xludf.DUMMYFUNCTION("""COMPUTED_VALUE"""),"Школа 1212")</f>
        <v>Школа 1212</v>
      </c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>
      <c r="A537" s="114" t="s">
        <v>33</v>
      </c>
      <c r="B537" s="83">
        <v>24.0</v>
      </c>
      <c r="C537" s="83" t="s">
        <v>3505</v>
      </c>
      <c r="D537" s="83" t="s">
        <v>3939</v>
      </c>
      <c r="F537" s="83" t="s">
        <v>4417</v>
      </c>
      <c r="G537" s="83" t="s">
        <v>2439</v>
      </c>
      <c r="H537" s="33" t="str">
        <f>IFERROR(__xludf.DUMMYFUNCTION("""COMPUTED_VALUE"""),"Школа 1228")</f>
        <v>Школа 1228</v>
      </c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>
      <c r="A538" s="114" t="s">
        <v>33</v>
      </c>
      <c r="B538" s="83">
        <v>25.0</v>
      </c>
      <c r="C538" s="83" t="s">
        <v>3431</v>
      </c>
      <c r="D538" s="83" t="s">
        <v>3935</v>
      </c>
      <c r="F538" s="83" t="s">
        <v>4406</v>
      </c>
      <c r="G538" s="83" t="s">
        <v>2422</v>
      </c>
      <c r="H538" s="33" t="str">
        <f>IFERROR(__xludf.DUMMYFUNCTION("""COMPUTED_VALUE"""),"Школа 123")</f>
        <v>Школа 123</v>
      </c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>
      <c r="A539" s="114" t="s">
        <v>33</v>
      </c>
      <c r="B539" s="83">
        <v>26.0</v>
      </c>
      <c r="C539" s="83" t="s">
        <v>3386</v>
      </c>
      <c r="D539" s="83" t="s">
        <v>3616</v>
      </c>
      <c r="F539" s="83" t="s">
        <v>4418</v>
      </c>
      <c r="G539" s="83" t="s">
        <v>2422</v>
      </c>
      <c r="H539" s="33" t="str">
        <f>IFERROR(__xludf.DUMMYFUNCTION("""COMPUTED_VALUE"""),"Школа 1231")</f>
        <v>Школа 1231</v>
      </c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114" t="s">
        <v>33</v>
      </c>
      <c r="B540" s="83">
        <v>27.0</v>
      </c>
      <c r="C540" s="83" t="s">
        <v>3387</v>
      </c>
      <c r="D540" s="83" t="s">
        <v>3616</v>
      </c>
      <c r="F540" s="83" t="s">
        <v>4419</v>
      </c>
      <c r="G540" s="83" t="s">
        <v>2406</v>
      </c>
      <c r="H540" s="33" t="str">
        <f>IFERROR(__xludf.DUMMYFUNCTION("""COMPUTED_VALUE"""),"Школа 1238")</f>
        <v>Школа 1238</v>
      </c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114" t="s">
        <v>33</v>
      </c>
      <c r="B541" s="83">
        <v>28.0</v>
      </c>
      <c r="C541" s="83" t="s">
        <v>3389</v>
      </c>
      <c r="D541" s="83" t="s">
        <v>3935</v>
      </c>
      <c r="F541" s="83" t="s">
        <v>4420</v>
      </c>
      <c r="G541" s="83" t="s">
        <v>2497</v>
      </c>
      <c r="H541" s="33" t="str">
        <f>IFERROR(__xludf.DUMMYFUNCTION("""COMPUTED_VALUE"""),"Школа 1251")</f>
        <v>Школа 1251</v>
      </c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114" t="s">
        <v>33</v>
      </c>
      <c r="B542" s="83">
        <v>29.0</v>
      </c>
      <c r="C542" s="83" t="s">
        <v>3749</v>
      </c>
      <c r="D542" s="83" t="s">
        <v>3939</v>
      </c>
      <c r="F542" s="83" t="s">
        <v>4420</v>
      </c>
      <c r="G542" s="83" t="s">
        <v>2497</v>
      </c>
      <c r="H542" s="33" t="str">
        <f>IFERROR(__xludf.DUMMYFUNCTION("""COMPUTED_VALUE"""),"Школа 1252")</f>
        <v>Школа 1252</v>
      </c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114" t="s">
        <v>33</v>
      </c>
      <c r="B543" s="83">
        <v>30.0</v>
      </c>
      <c r="C543" s="83" t="s">
        <v>3625</v>
      </c>
      <c r="D543" s="83" t="s">
        <v>3616</v>
      </c>
      <c r="F543" s="83" t="s">
        <v>4421</v>
      </c>
      <c r="G543" s="83" t="s">
        <v>2422</v>
      </c>
      <c r="H543" s="33" t="str">
        <f>IFERROR(__xludf.DUMMYFUNCTION("""COMPUTED_VALUE"""),"Школа 1253")</f>
        <v>Школа 1253</v>
      </c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114" t="s">
        <v>33</v>
      </c>
      <c r="B544" s="83">
        <v>31.0</v>
      </c>
      <c r="C544" s="83" t="s">
        <v>3599</v>
      </c>
      <c r="D544" s="83" t="s">
        <v>3939</v>
      </c>
      <c r="F544" s="83" t="s">
        <v>4422</v>
      </c>
      <c r="G544" s="83" t="s">
        <v>2453</v>
      </c>
      <c r="H544" s="33" t="str">
        <f>IFERROR(__xludf.DUMMYFUNCTION("""COMPUTED_VALUE"""),"Школа 1272")</f>
        <v>Школа 1272</v>
      </c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114" t="s">
        <v>33</v>
      </c>
      <c r="B545" s="83">
        <v>32.0</v>
      </c>
      <c r="C545" s="83" t="s">
        <v>3565</v>
      </c>
      <c r="D545" s="83" t="s">
        <v>3616</v>
      </c>
      <c r="F545" s="83" t="s">
        <v>4423</v>
      </c>
      <c r="G545" s="83" t="s">
        <v>2396</v>
      </c>
      <c r="H545" s="33" t="str">
        <f>IFERROR(__xludf.DUMMYFUNCTION("""COMPUTED_VALUE"""),"Школа 1282")</f>
        <v>Школа 1282</v>
      </c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114" t="s">
        <v>33</v>
      </c>
      <c r="B546" s="83">
        <v>33.0</v>
      </c>
      <c r="C546" s="83" t="s">
        <v>3541</v>
      </c>
      <c r="D546" s="83" t="s">
        <v>3616</v>
      </c>
      <c r="F546" s="83" t="s">
        <v>4424</v>
      </c>
      <c r="G546" s="83" t="s">
        <v>2497</v>
      </c>
      <c r="H546" s="33" t="str">
        <f>IFERROR(__xludf.DUMMYFUNCTION("""COMPUTED_VALUE"""),"Школа 1287")</f>
        <v>Школа 1287</v>
      </c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114" t="s">
        <v>33</v>
      </c>
      <c r="B547" s="83">
        <v>34.0</v>
      </c>
      <c r="C547" s="83" t="s">
        <v>3394</v>
      </c>
      <c r="D547" s="83" t="s">
        <v>3616</v>
      </c>
      <c r="F547" s="83" t="s">
        <v>4425</v>
      </c>
      <c r="G547" s="83" t="s">
        <v>2419</v>
      </c>
      <c r="H547" s="33" t="str">
        <f>IFERROR(__xludf.DUMMYFUNCTION("""COMPUTED_VALUE"""),"Школа 1298")</f>
        <v>Школа 1298</v>
      </c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114" t="s">
        <v>33</v>
      </c>
      <c r="B548" s="83">
        <v>35.0</v>
      </c>
      <c r="C548" s="83" t="s">
        <v>3395</v>
      </c>
      <c r="D548" s="83" t="s">
        <v>3939</v>
      </c>
      <c r="F548" s="83" t="s">
        <v>4426</v>
      </c>
      <c r="G548" s="83" t="s">
        <v>2446</v>
      </c>
      <c r="H548" s="33" t="str">
        <f>IFERROR(__xludf.DUMMYFUNCTION("""COMPUTED_VALUE"""),"Школа 1311")</f>
        <v>Школа 1311</v>
      </c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114" t="s">
        <v>33</v>
      </c>
      <c r="B549" s="83">
        <v>36.0</v>
      </c>
      <c r="C549" s="83" t="s">
        <v>3751</v>
      </c>
      <c r="D549" s="83" t="s">
        <v>3616</v>
      </c>
      <c r="F549" s="83" t="s">
        <v>4410</v>
      </c>
      <c r="G549" s="83" t="s">
        <v>2406</v>
      </c>
      <c r="H549" s="33" t="str">
        <f>IFERROR(__xludf.DUMMYFUNCTION("""COMPUTED_VALUE"""),"Школа 1317")</f>
        <v>Школа 1317</v>
      </c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114" t="s">
        <v>33</v>
      </c>
      <c r="B550" s="83">
        <v>37.0</v>
      </c>
      <c r="C550" s="83" t="s">
        <v>3542</v>
      </c>
      <c r="D550" s="83" t="s">
        <v>3935</v>
      </c>
      <c r="F550" s="83" t="s">
        <v>4427</v>
      </c>
      <c r="G550" s="83" t="s">
        <v>2396</v>
      </c>
      <c r="H550" s="33" t="str">
        <f>IFERROR(__xludf.DUMMYFUNCTION("""COMPUTED_VALUE"""),"Школа 1324")</f>
        <v>Школа 1324</v>
      </c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114" t="s">
        <v>33</v>
      </c>
      <c r="B551" s="83">
        <v>38.0</v>
      </c>
      <c r="C551" s="83" t="s">
        <v>3626</v>
      </c>
      <c r="D551" s="83" t="s">
        <v>3616</v>
      </c>
      <c r="F551" s="83" t="s">
        <v>4410</v>
      </c>
      <c r="G551" s="83" t="s">
        <v>2406</v>
      </c>
      <c r="H551" s="33" t="str">
        <f>IFERROR(__xludf.DUMMYFUNCTION("""COMPUTED_VALUE"""),"Школа 1329")</f>
        <v>Школа 1329</v>
      </c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114" t="s">
        <v>33</v>
      </c>
      <c r="B552" s="83">
        <v>39.0</v>
      </c>
      <c r="C552" s="83" t="s">
        <v>3397</v>
      </c>
      <c r="D552" s="83" t="s">
        <v>3616</v>
      </c>
      <c r="F552" s="83" t="s">
        <v>4428</v>
      </c>
      <c r="G552" s="83" t="s">
        <v>2406</v>
      </c>
      <c r="H552" s="33" t="str">
        <f>IFERROR(__xludf.DUMMYFUNCTION("""COMPUTED_VALUE"""),"Школа 1347")</f>
        <v>Школа 1347</v>
      </c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114" t="s">
        <v>33</v>
      </c>
      <c r="B553" s="83">
        <v>40.0</v>
      </c>
      <c r="C553" s="83" t="s">
        <v>3398</v>
      </c>
      <c r="D553" s="83" t="s">
        <v>3616</v>
      </c>
      <c r="F553" s="83" t="s">
        <v>4429</v>
      </c>
      <c r="G553" s="83" t="s">
        <v>2487</v>
      </c>
      <c r="H553" s="33" t="str">
        <f>IFERROR(__xludf.DUMMYFUNCTION("""COMPUTED_VALUE"""),"Школа 1353")</f>
        <v>Школа 1353</v>
      </c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114" t="s">
        <v>33</v>
      </c>
      <c r="B554" s="83">
        <v>41.0</v>
      </c>
      <c r="C554" s="83" t="s">
        <v>3627</v>
      </c>
      <c r="D554" s="83" t="s">
        <v>3616</v>
      </c>
      <c r="F554" s="83" t="s">
        <v>4430</v>
      </c>
      <c r="G554" s="83" t="s">
        <v>2446</v>
      </c>
      <c r="H554" s="33" t="str">
        <f>IFERROR(__xludf.DUMMYFUNCTION("""COMPUTED_VALUE"""),"Школа 1354")</f>
        <v>Школа 1354</v>
      </c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114" t="s">
        <v>33</v>
      </c>
      <c r="B555" s="83">
        <v>42.0</v>
      </c>
      <c r="C555" s="83" t="s">
        <v>3603</v>
      </c>
      <c r="D555" s="83" t="s">
        <v>3616</v>
      </c>
      <c r="F555" s="83" t="s">
        <v>4403</v>
      </c>
      <c r="G555" s="83" t="s">
        <v>2439</v>
      </c>
      <c r="H555" s="33" t="str">
        <f>IFERROR(__xludf.DUMMYFUNCTION("""COMPUTED_VALUE"""),"Школа 1357")</f>
        <v>Школа 1357</v>
      </c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114" t="s">
        <v>33</v>
      </c>
      <c r="B556" s="83">
        <v>43.0</v>
      </c>
      <c r="C556" s="83" t="s">
        <v>3399</v>
      </c>
      <c r="D556" s="83" t="s">
        <v>3616</v>
      </c>
      <c r="F556" s="83" t="s">
        <v>4431</v>
      </c>
      <c r="G556" s="83" t="s">
        <v>2439</v>
      </c>
      <c r="H556" s="33" t="str">
        <f>IFERROR(__xludf.DUMMYFUNCTION("""COMPUTED_VALUE"""),"Школа 1359")</f>
        <v>Школа 1359</v>
      </c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114" t="s">
        <v>33</v>
      </c>
      <c r="B557" s="83">
        <v>44.0</v>
      </c>
      <c r="C557" s="83" t="s">
        <v>3628</v>
      </c>
      <c r="D557" s="83" t="s">
        <v>3616</v>
      </c>
      <c r="F557" s="83" t="s">
        <v>4431</v>
      </c>
      <c r="G557" s="83" t="s">
        <v>2439</v>
      </c>
      <c r="H557" s="33" t="str">
        <f>IFERROR(__xludf.DUMMYFUNCTION("""COMPUTED_VALUE"""),"Школа 1363")</f>
        <v>Школа 1363</v>
      </c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114" t="s">
        <v>33</v>
      </c>
      <c r="B558" s="83">
        <v>45.0</v>
      </c>
      <c r="C558" s="83" t="s">
        <v>3692</v>
      </c>
      <c r="D558" s="83" t="s">
        <v>3939</v>
      </c>
      <c r="F558" s="83" t="s">
        <v>4430</v>
      </c>
      <c r="G558" s="83" t="s">
        <v>2446</v>
      </c>
      <c r="H558" s="33" t="str">
        <f>IFERROR(__xludf.DUMMYFUNCTION("""COMPUTED_VALUE"""),"Школа 1368")</f>
        <v>Школа 1368</v>
      </c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114" t="s">
        <v>33</v>
      </c>
      <c r="B559" s="83">
        <v>46.0</v>
      </c>
      <c r="C559" s="83" t="s">
        <v>3774</v>
      </c>
      <c r="D559" s="83" t="s">
        <v>3935</v>
      </c>
      <c r="F559" s="83" t="s">
        <v>4432</v>
      </c>
      <c r="G559" s="83" t="s">
        <v>2416</v>
      </c>
      <c r="H559" s="33" t="str">
        <f>IFERROR(__xludf.DUMMYFUNCTION("""COMPUTED_VALUE"""),"Школа 1370")</f>
        <v>Школа 1370</v>
      </c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114" t="s">
        <v>33</v>
      </c>
      <c r="B560" s="83">
        <v>47.0</v>
      </c>
      <c r="C560" s="83" t="s">
        <v>3400</v>
      </c>
      <c r="D560" s="83" t="s">
        <v>3616</v>
      </c>
      <c r="F560" s="83" t="s">
        <v>4433</v>
      </c>
      <c r="G560" s="83" t="s">
        <v>2406</v>
      </c>
      <c r="H560" s="33" t="str">
        <f>IFERROR(__xludf.DUMMYFUNCTION("""COMPUTED_VALUE"""),"Школа 1371")</f>
        <v>Школа 1371</v>
      </c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114" t="s">
        <v>33</v>
      </c>
      <c r="B561" s="83">
        <v>48.0</v>
      </c>
      <c r="C561" s="83" t="s">
        <v>3459</v>
      </c>
      <c r="D561" s="83" t="s">
        <v>3935</v>
      </c>
      <c r="F561" s="83" t="s">
        <v>4434</v>
      </c>
      <c r="G561" s="83" t="s">
        <v>2419</v>
      </c>
      <c r="H561" s="33" t="str">
        <f>IFERROR(__xludf.DUMMYFUNCTION("""COMPUTED_VALUE"""),"Школа 138")</f>
        <v>Школа 138</v>
      </c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114" t="s">
        <v>33</v>
      </c>
      <c r="B562" s="83">
        <v>49.0</v>
      </c>
      <c r="C562" s="83" t="s">
        <v>3441</v>
      </c>
      <c r="D562" s="83" t="s">
        <v>3935</v>
      </c>
      <c r="F562" s="83" t="s">
        <v>4425</v>
      </c>
      <c r="G562" s="83" t="s">
        <v>2419</v>
      </c>
      <c r="H562" s="33" t="str">
        <f>IFERROR(__xludf.DUMMYFUNCTION("""COMPUTED_VALUE"""),"Школа 1387")</f>
        <v>Школа 1387</v>
      </c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114" t="s">
        <v>33</v>
      </c>
      <c r="B563" s="83">
        <v>50.0</v>
      </c>
      <c r="C563" s="83" t="s">
        <v>3474</v>
      </c>
      <c r="D563" s="83" t="s">
        <v>3935</v>
      </c>
      <c r="F563" s="83" t="s">
        <v>4414</v>
      </c>
      <c r="G563" s="83" t="s">
        <v>2406</v>
      </c>
      <c r="H563" s="33" t="str">
        <f>IFERROR(__xludf.DUMMYFUNCTION("""COMPUTED_VALUE"""),"Школа 1400")</f>
        <v>Школа 1400</v>
      </c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114" t="s">
        <v>33</v>
      </c>
      <c r="B564" s="83">
        <v>51.0</v>
      </c>
      <c r="C564" s="83" t="s">
        <v>3631</v>
      </c>
      <c r="D564" s="83" t="s">
        <v>3616</v>
      </c>
      <c r="F564" s="83" t="s">
        <v>4424</v>
      </c>
      <c r="G564" s="83" t="s">
        <v>2497</v>
      </c>
      <c r="H564" s="33" t="str">
        <f>IFERROR(__xludf.DUMMYFUNCTION("""COMPUTED_VALUE"""),"Школа 1409")</f>
        <v>Школа 1409</v>
      </c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114" t="s">
        <v>33</v>
      </c>
      <c r="B565" s="83">
        <v>52.0</v>
      </c>
      <c r="C565" s="83" t="s">
        <v>3569</v>
      </c>
      <c r="D565" s="83" t="s">
        <v>3935</v>
      </c>
      <c r="F565" s="83" t="s">
        <v>4435</v>
      </c>
      <c r="G565" s="83" t="s">
        <v>2416</v>
      </c>
      <c r="H565" s="33" t="str">
        <f>IFERROR(__xludf.DUMMYFUNCTION("""COMPUTED_VALUE"""),"Школа 1415")</f>
        <v>Школа 1415</v>
      </c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114" t="s">
        <v>33</v>
      </c>
      <c r="B566" s="83">
        <v>53.0</v>
      </c>
      <c r="C566" s="83" t="s">
        <v>3442</v>
      </c>
      <c r="D566" s="83" t="s">
        <v>3935</v>
      </c>
      <c r="F566" s="83" t="s">
        <v>4436</v>
      </c>
      <c r="G566" s="83" t="s">
        <v>2416</v>
      </c>
      <c r="H566" s="33" t="str">
        <f>IFERROR(__xludf.DUMMYFUNCTION("""COMPUTED_VALUE"""),"Школа 1416")</f>
        <v>Школа 1416</v>
      </c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114" t="s">
        <v>33</v>
      </c>
      <c r="B567" s="83">
        <v>54.0</v>
      </c>
      <c r="C567" s="83" t="s">
        <v>3632</v>
      </c>
      <c r="D567" s="83" t="s">
        <v>3935</v>
      </c>
      <c r="F567" s="83" t="s">
        <v>4431</v>
      </c>
      <c r="G567" s="83" t="s">
        <v>2439</v>
      </c>
      <c r="H567" s="33" t="str">
        <f>IFERROR(__xludf.DUMMYFUNCTION("""COMPUTED_VALUE"""),"Школа 1420")</f>
        <v>Школа 1420</v>
      </c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114" t="s">
        <v>33</v>
      </c>
      <c r="B568" s="83">
        <v>55.0</v>
      </c>
      <c r="C568" s="83" t="s">
        <v>3695</v>
      </c>
      <c r="D568" s="83" t="s">
        <v>3616</v>
      </c>
      <c r="F568" s="83" t="s">
        <v>4433</v>
      </c>
      <c r="G568" s="83" t="s">
        <v>2406</v>
      </c>
      <c r="H568" s="33" t="str">
        <f>IFERROR(__xludf.DUMMYFUNCTION("""COMPUTED_VALUE"""),"Школа 1440")</f>
        <v>Школа 1440</v>
      </c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114" t="s">
        <v>33</v>
      </c>
      <c r="B569" s="83">
        <v>56.0</v>
      </c>
      <c r="C569" s="83" t="s">
        <v>3443</v>
      </c>
      <c r="D569" s="83" t="s">
        <v>3616</v>
      </c>
      <c r="F569" s="83" t="s">
        <v>4436</v>
      </c>
      <c r="G569" s="83" t="s">
        <v>2416</v>
      </c>
      <c r="H569" s="33" t="str">
        <f>IFERROR(__xludf.DUMMYFUNCTION("""COMPUTED_VALUE"""),"Школа 1449")</f>
        <v>Школа 1449</v>
      </c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114" t="s">
        <v>33</v>
      </c>
      <c r="B570" s="83">
        <v>57.0</v>
      </c>
      <c r="C570" s="83" t="s">
        <v>3476</v>
      </c>
      <c r="D570" s="83" t="s">
        <v>3935</v>
      </c>
      <c r="F570" s="83" t="s">
        <v>4437</v>
      </c>
      <c r="G570" s="83" t="s">
        <v>2497</v>
      </c>
      <c r="H570" s="33" t="str">
        <f>IFERROR(__xludf.DUMMYFUNCTION("""COMPUTED_VALUE"""),"Школа 1454")</f>
        <v>Школа 1454</v>
      </c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114" t="s">
        <v>33</v>
      </c>
      <c r="B571" s="83">
        <v>58.0</v>
      </c>
      <c r="C571" s="83" t="s">
        <v>3791</v>
      </c>
      <c r="D571" s="83" t="s">
        <v>3616</v>
      </c>
      <c r="F571" s="83" t="s">
        <v>4438</v>
      </c>
      <c r="G571" s="83" t="s">
        <v>2453</v>
      </c>
      <c r="H571" s="33" t="str">
        <f>IFERROR(__xludf.DUMMYFUNCTION("""COMPUTED_VALUE"""),"Школа 1466")</f>
        <v>Школа 1466</v>
      </c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114" t="s">
        <v>33</v>
      </c>
      <c r="B572" s="83">
        <v>59.0</v>
      </c>
      <c r="C572" s="83" t="s">
        <v>3403</v>
      </c>
      <c r="D572" s="83" t="s">
        <v>3616</v>
      </c>
      <c r="F572" s="83" t="s">
        <v>4439</v>
      </c>
      <c r="G572" s="83" t="s">
        <v>2422</v>
      </c>
      <c r="H572" s="33" t="str">
        <f>IFERROR(__xludf.DUMMYFUNCTION("""COMPUTED_VALUE"""),"Школа 1468")</f>
        <v>Школа 1468</v>
      </c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114" t="s">
        <v>33</v>
      </c>
      <c r="B573" s="83">
        <v>60.0</v>
      </c>
      <c r="C573" s="83" t="s">
        <v>3635</v>
      </c>
      <c r="D573" s="83" t="s">
        <v>3616</v>
      </c>
      <c r="F573" s="83" t="s">
        <v>4440</v>
      </c>
      <c r="G573" s="83" t="s">
        <v>2497</v>
      </c>
      <c r="H573" s="33" t="str">
        <f>IFERROR(__xludf.DUMMYFUNCTION("""COMPUTED_VALUE"""),"Школа 1474")</f>
        <v>Школа 1474</v>
      </c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114" t="s">
        <v>33</v>
      </c>
      <c r="B574" s="83">
        <v>61.0</v>
      </c>
      <c r="C574" s="83" t="s">
        <v>3348</v>
      </c>
      <c r="D574" s="83" t="s">
        <v>3616</v>
      </c>
      <c r="F574" s="83" t="s">
        <v>4399</v>
      </c>
      <c r="G574" s="83" t="s">
        <v>2406</v>
      </c>
      <c r="H574" s="33" t="str">
        <f>IFERROR(__xludf.DUMMYFUNCTION("""COMPUTED_VALUE"""),"Школа 1498")</f>
        <v>Школа 1498</v>
      </c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114" t="s">
        <v>33</v>
      </c>
      <c r="B575" s="83">
        <v>62.0</v>
      </c>
      <c r="C575" s="83" t="s">
        <v>3636</v>
      </c>
      <c r="D575" s="83" t="s">
        <v>3616</v>
      </c>
      <c r="F575" s="83" t="s">
        <v>4441</v>
      </c>
      <c r="G575" s="83" t="s">
        <v>2422</v>
      </c>
      <c r="H575" s="33" t="str">
        <f>IFERROR(__xludf.DUMMYFUNCTION("""COMPUTED_VALUE"""),"Школа 1501")</f>
        <v>Школа 1501</v>
      </c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114" t="s">
        <v>33</v>
      </c>
      <c r="B576" s="83">
        <v>63.0</v>
      </c>
      <c r="C576" s="83" t="s">
        <v>3323</v>
      </c>
      <c r="D576" s="83" t="s">
        <v>3616</v>
      </c>
      <c r="F576" s="83" t="s">
        <v>4442</v>
      </c>
      <c r="G576" s="83" t="s">
        <v>2396</v>
      </c>
      <c r="H576" s="33" t="str">
        <f>IFERROR(__xludf.DUMMYFUNCTION("""COMPUTED_VALUE"""),"Школа 1505")</f>
        <v>Школа 1505</v>
      </c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114" t="s">
        <v>33</v>
      </c>
      <c r="B577" s="83">
        <v>64.0</v>
      </c>
      <c r="C577" s="83" t="s">
        <v>3699</v>
      </c>
      <c r="D577" s="83" t="s">
        <v>3939</v>
      </c>
      <c r="F577" s="83" t="s">
        <v>4400</v>
      </c>
      <c r="G577" s="83" t="s">
        <v>2396</v>
      </c>
      <c r="H577" s="33" t="str">
        <f>IFERROR(__xludf.DUMMYFUNCTION("""COMPUTED_VALUE"""),"Школа 1512")</f>
        <v>Школа 1512</v>
      </c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114" t="s">
        <v>33</v>
      </c>
      <c r="B578" s="83">
        <v>65.0</v>
      </c>
      <c r="C578" s="83" t="s">
        <v>3701</v>
      </c>
      <c r="D578" s="83" t="s">
        <v>3939</v>
      </c>
      <c r="F578" s="83" t="s">
        <v>4443</v>
      </c>
      <c r="G578" s="83" t="s">
        <v>2396</v>
      </c>
      <c r="H578" s="33" t="str">
        <f>IFERROR(__xludf.DUMMYFUNCTION("""COMPUTED_VALUE"""),"Школа 1516")</f>
        <v>Школа 1516</v>
      </c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114" t="s">
        <v>33</v>
      </c>
      <c r="B579" s="83">
        <v>66.0</v>
      </c>
      <c r="C579" s="83" t="s">
        <v>3640</v>
      </c>
      <c r="D579" s="83" t="s">
        <v>3616</v>
      </c>
      <c r="F579" s="83" t="s">
        <v>4434</v>
      </c>
      <c r="G579" s="83" t="s">
        <v>2419</v>
      </c>
      <c r="H579" s="33" t="str">
        <f>IFERROR(__xludf.DUMMYFUNCTION("""COMPUTED_VALUE"""),"Школа 1517")</f>
        <v>Школа 1517</v>
      </c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114" t="s">
        <v>33</v>
      </c>
      <c r="B580" s="83">
        <v>67.0</v>
      </c>
      <c r="C580" s="83" t="s">
        <v>3641</v>
      </c>
      <c r="D580" s="83" t="s">
        <v>3939</v>
      </c>
      <c r="F580" s="83" t="s">
        <v>4444</v>
      </c>
      <c r="G580" s="83" t="s">
        <v>2453</v>
      </c>
      <c r="H580" s="33" t="str">
        <f>IFERROR(__xludf.DUMMYFUNCTION("""COMPUTED_VALUE"""),"Школа 1527")</f>
        <v>Школа 1527</v>
      </c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114" t="s">
        <v>33</v>
      </c>
      <c r="B581" s="83">
        <v>68.0</v>
      </c>
      <c r="C581" s="83" t="s">
        <v>3446</v>
      </c>
      <c r="D581" s="83" t="s">
        <v>3616</v>
      </c>
      <c r="F581" s="83" t="s">
        <v>4445</v>
      </c>
      <c r="G581" s="83" t="s">
        <v>2416</v>
      </c>
      <c r="H581" s="33" t="str">
        <f>IFERROR(__xludf.DUMMYFUNCTION("""COMPUTED_VALUE"""),"Школа 1539")</f>
        <v>Школа 1539</v>
      </c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114" t="s">
        <v>33</v>
      </c>
      <c r="B582" s="83">
        <v>69.0</v>
      </c>
      <c r="C582" s="83" t="s">
        <v>3407</v>
      </c>
      <c r="D582" s="83" t="s">
        <v>3616</v>
      </c>
      <c r="F582" s="83" t="s">
        <v>4446</v>
      </c>
      <c r="G582" s="83" t="s">
        <v>2406</v>
      </c>
      <c r="H582" s="33" t="str">
        <f>IFERROR(__xludf.DUMMYFUNCTION("""COMPUTED_VALUE"""),"Школа 1541")</f>
        <v>Школа 1541</v>
      </c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114" t="s">
        <v>33</v>
      </c>
      <c r="B583" s="83">
        <v>70.0</v>
      </c>
      <c r="C583" s="83" t="s">
        <v>3447</v>
      </c>
      <c r="D583" s="83" t="s">
        <v>3616</v>
      </c>
      <c r="F583" s="83" t="s">
        <v>4428</v>
      </c>
      <c r="G583" s="83" t="s">
        <v>2406</v>
      </c>
      <c r="H583" s="33" t="str">
        <f>IFERROR(__xludf.DUMMYFUNCTION("""COMPUTED_VALUE"""),"Школа 1542")</f>
        <v>Школа 1542</v>
      </c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114" t="s">
        <v>33</v>
      </c>
      <c r="B584" s="83">
        <v>71.0</v>
      </c>
      <c r="C584" s="83" t="s">
        <v>3479</v>
      </c>
      <c r="D584" s="83" t="s">
        <v>3935</v>
      </c>
      <c r="F584" s="83" t="s">
        <v>4413</v>
      </c>
      <c r="G584" s="83" t="s">
        <v>2419</v>
      </c>
      <c r="H584" s="33" t="str">
        <f>IFERROR(__xludf.DUMMYFUNCTION("""COMPUTED_VALUE"""),"Школа 1544")</f>
        <v>Школа 1544</v>
      </c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114" t="s">
        <v>33</v>
      </c>
      <c r="B585" s="83">
        <v>72.0</v>
      </c>
      <c r="C585" s="83" t="s">
        <v>3707</v>
      </c>
      <c r="D585" s="83" t="s">
        <v>3616</v>
      </c>
      <c r="F585" s="83" t="s">
        <v>4403</v>
      </c>
      <c r="G585" s="83" t="s">
        <v>2439</v>
      </c>
      <c r="H585" s="33" t="str">
        <f>IFERROR(__xludf.DUMMYFUNCTION("""COMPUTED_VALUE"""),"Школа 1547")</f>
        <v>Школа 1547</v>
      </c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114" t="s">
        <v>33</v>
      </c>
      <c r="B586" s="83">
        <v>73.0</v>
      </c>
      <c r="C586" s="83" t="s">
        <v>3448</v>
      </c>
      <c r="D586" s="83" t="s">
        <v>3616</v>
      </c>
      <c r="F586" s="83" t="s">
        <v>4447</v>
      </c>
      <c r="G586" s="83" t="s">
        <v>2453</v>
      </c>
      <c r="H586" s="33" t="str">
        <f>IFERROR(__xludf.DUMMYFUNCTION("""COMPUTED_VALUE"""),"Школа 1552")</f>
        <v>Школа 1552</v>
      </c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114" t="s">
        <v>33</v>
      </c>
      <c r="B587" s="83">
        <v>74.0</v>
      </c>
      <c r="C587" s="83" t="s">
        <v>3646</v>
      </c>
      <c r="D587" s="83" t="s">
        <v>3616</v>
      </c>
      <c r="F587" s="83" t="s">
        <v>4422</v>
      </c>
      <c r="G587" s="83" t="s">
        <v>2453</v>
      </c>
      <c r="H587" s="33" t="str">
        <f>IFERROR(__xludf.DUMMYFUNCTION("""COMPUTED_VALUE"""),"Школа 1553")</f>
        <v>Школа 1553</v>
      </c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114" t="s">
        <v>33</v>
      </c>
      <c r="B588" s="83">
        <v>75.0</v>
      </c>
      <c r="C588" s="83" t="s">
        <v>3647</v>
      </c>
      <c r="D588" s="83" t="s">
        <v>3616</v>
      </c>
      <c r="F588" s="83" t="s">
        <v>4448</v>
      </c>
      <c r="G588" s="83" t="s">
        <v>2487</v>
      </c>
      <c r="H588" s="33" t="str">
        <f>IFERROR(__xludf.DUMMYFUNCTION("""COMPUTED_VALUE"""),"Школа 1557")</f>
        <v>Школа 1557</v>
      </c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114" t="s">
        <v>33</v>
      </c>
      <c r="B589" s="83">
        <v>76.0</v>
      </c>
      <c r="C589" s="83" t="s">
        <v>3648</v>
      </c>
      <c r="D589" s="83" t="s">
        <v>3616</v>
      </c>
      <c r="F589" s="83" t="s">
        <v>4434</v>
      </c>
      <c r="G589" s="83" t="s">
        <v>2419</v>
      </c>
      <c r="H589" s="33" t="str">
        <f>IFERROR(__xludf.DUMMYFUNCTION("""COMPUTED_VALUE"""),"Школа 1560")</f>
        <v>Школа 1560</v>
      </c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114" t="s">
        <v>33</v>
      </c>
      <c r="B590" s="83">
        <v>77.0</v>
      </c>
      <c r="C590" s="83" t="s">
        <v>3410</v>
      </c>
      <c r="D590" s="83" t="s">
        <v>3935</v>
      </c>
      <c r="F590" s="83" t="s">
        <v>4449</v>
      </c>
      <c r="G590" s="83" t="s">
        <v>2497</v>
      </c>
      <c r="H590" s="33" t="str">
        <f>IFERROR(__xludf.DUMMYFUNCTION("""COMPUTED_VALUE"""),"Школа 1570")</f>
        <v>Школа 1570</v>
      </c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114" t="s">
        <v>33</v>
      </c>
      <c r="B591" s="83">
        <v>78.0</v>
      </c>
      <c r="C591" s="83" t="s">
        <v>3650</v>
      </c>
      <c r="D591" s="83" t="s">
        <v>3616</v>
      </c>
      <c r="F591" s="83" t="s">
        <v>4450</v>
      </c>
      <c r="G591" s="83" t="s">
        <v>2419</v>
      </c>
      <c r="H591" s="33" t="str">
        <f>IFERROR(__xludf.DUMMYFUNCTION("""COMPUTED_VALUE"""),"Школа 1571")</f>
        <v>Школа 1571</v>
      </c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114" t="s">
        <v>33</v>
      </c>
      <c r="B592" s="83">
        <v>79.0</v>
      </c>
      <c r="C592" s="83" t="s">
        <v>3711</v>
      </c>
      <c r="D592" s="83" t="s">
        <v>3616</v>
      </c>
      <c r="F592" s="83" t="s">
        <v>4451</v>
      </c>
      <c r="G592" s="83" t="s">
        <v>2497</v>
      </c>
      <c r="H592" s="33" t="str">
        <f>IFERROR(__xludf.DUMMYFUNCTION("""COMPUTED_VALUE"""),"Школа 1575")</f>
        <v>Школа 1575</v>
      </c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114" t="s">
        <v>33</v>
      </c>
      <c r="B593" s="83">
        <v>80.0</v>
      </c>
      <c r="C593" s="83" t="s">
        <v>3518</v>
      </c>
      <c r="D593" s="83" t="s">
        <v>3616</v>
      </c>
      <c r="F593" s="83" t="s">
        <v>4452</v>
      </c>
      <c r="G593" s="83" t="s">
        <v>2453</v>
      </c>
      <c r="H593" s="33" t="str">
        <f>IFERROR(__xludf.DUMMYFUNCTION("""COMPUTED_VALUE"""),"Школа 1579")</f>
        <v>Школа 1579</v>
      </c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114" t="s">
        <v>33</v>
      </c>
      <c r="B594" s="83">
        <v>81.0</v>
      </c>
      <c r="C594" s="83" t="s">
        <v>4393</v>
      </c>
      <c r="D594" s="83" t="s">
        <v>3935</v>
      </c>
      <c r="F594" s="83" t="s">
        <v>4453</v>
      </c>
      <c r="G594" s="83" t="s">
        <v>2497</v>
      </c>
      <c r="H594" s="33" t="str">
        <f>IFERROR(__xludf.DUMMYFUNCTION("""COMPUTED_VALUE"""),"Школа 158")</f>
        <v>Школа 158</v>
      </c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114" t="s">
        <v>33</v>
      </c>
      <c r="B595" s="83">
        <v>82.0</v>
      </c>
      <c r="C595" s="83" t="s">
        <v>3651</v>
      </c>
      <c r="D595" s="83" t="s">
        <v>3935</v>
      </c>
      <c r="F595" s="83" t="s">
        <v>4454</v>
      </c>
      <c r="G595" s="83" t="s">
        <v>2497</v>
      </c>
      <c r="H595" s="33" t="str">
        <f>IFERROR(__xludf.DUMMYFUNCTION("""COMPUTED_VALUE"""),"Школа 1583")</f>
        <v>Школа 1583</v>
      </c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114" t="s">
        <v>33</v>
      </c>
      <c r="B596" s="83">
        <v>83.0</v>
      </c>
      <c r="C596" s="83" t="s">
        <v>3652</v>
      </c>
      <c r="D596" s="83" t="s">
        <v>3935</v>
      </c>
      <c r="F596" s="83" t="s">
        <v>4455</v>
      </c>
      <c r="G596" s="83" t="s">
        <v>2406</v>
      </c>
      <c r="H596" s="33" t="str">
        <f>IFERROR(__xludf.DUMMYFUNCTION("""COMPUTED_VALUE"""),"Школа 1584")</f>
        <v>Школа 1584</v>
      </c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114" t="s">
        <v>33</v>
      </c>
      <c r="B597" s="83">
        <v>84.0</v>
      </c>
      <c r="C597" s="83" t="s">
        <v>3653</v>
      </c>
      <c r="D597" s="83" t="s">
        <v>3616</v>
      </c>
      <c r="F597" s="83" t="s">
        <v>4415</v>
      </c>
      <c r="G597" s="83" t="s">
        <v>2453</v>
      </c>
      <c r="H597" s="33" t="str">
        <f>IFERROR(__xludf.DUMMYFUNCTION("""COMPUTED_VALUE"""),"Школа 1636")</f>
        <v>Школа 1636</v>
      </c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114" t="s">
        <v>33</v>
      </c>
      <c r="B598" s="83">
        <v>85.0</v>
      </c>
      <c r="C598" s="83" t="s">
        <v>3492</v>
      </c>
      <c r="D598" s="83" t="s">
        <v>3939</v>
      </c>
      <c r="F598" s="83" t="s">
        <v>4456</v>
      </c>
      <c r="G598" s="83" t="s">
        <v>2446</v>
      </c>
      <c r="H598" s="33" t="str">
        <f>IFERROR(__xludf.DUMMYFUNCTION("""COMPUTED_VALUE"""),"Школа 17")</f>
        <v>Школа 17</v>
      </c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114" t="s">
        <v>33</v>
      </c>
      <c r="B599" s="83">
        <v>86.0</v>
      </c>
      <c r="C599" s="83" t="s">
        <v>3719</v>
      </c>
      <c r="D599" s="83" t="s">
        <v>3616</v>
      </c>
      <c r="F599" s="83" t="s">
        <v>4444</v>
      </c>
      <c r="G599" s="83" t="s">
        <v>2453</v>
      </c>
      <c r="H599" s="33" t="str">
        <f>IFERROR(__xludf.DUMMYFUNCTION("""COMPUTED_VALUE"""),"Школа 1770")</f>
        <v>Школа 1770</v>
      </c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114" t="s">
        <v>33</v>
      </c>
      <c r="B600" s="83">
        <v>87.0</v>
      </c>
      <c r="C600" s="83" t="s">
        <v>3334</v>
      </c>
      <c r="D600" s="83" t="s">
        <v>3939</v>
      </c>
      <c r="F600" s="83" t="s">
        <v>4457</v>
      </c>
      <c r="G600" s="83" t="s">
        <v>4370</v>
      </c>
      <c r="H600" s="33" t="str">
        <f>IFERROR(__xludf.DUMMYFUNCTION("""COMPUTED_VALUE"""),"Школа 1788")</f>
        <v>Школа 1788</v>
      </c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114" t="s">
        <v>33</v>
      </c>
      <c r="B601" s="83">
        <v>88.0</v>
      </c>
      <c r="C601" s="83" t="s">
        <v>3458</v>
      </c>
      <c r="D601" s="83" t="s">
        <v>3616</v>
      </c>
      <c r="F601" s="83" t="s">
        <v>4431</v>
      </c>
      <c r="G601" s="83" t="s">
        <v>2439</v>
      </c>
      <c r="H601" s="33" t="str">
        <f>IFERROR(__xludf.DUMMYFUNCTION("""COMPUTED_VALUE"""),"Школа 1793")</f>
        <v>Школа 1793</v>
      </c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114" t="s">
        <v>33</v>
      </c>
      <c r="B602" s="83">
        <v>89.0</v>
      </c>
      <c r="C602" s="83" t="s">
        <v>3720</v>
      </c>
      <c r="D602" s="83" t="s">
        <v>3935</v>
      </c>
      <c r="F602" s="83" t="s">
        <v>4458</v>
      </c>
      <c r="G602" s="83" t="s">
        <v>2396</v>
      </c>
      <c r="H602" s="33" t="str">
        <f>IFERROR(__xludf.DUMMYFUNCTION("""COMPUTED_VALUE"""),"Школа 1795")</f>
        <v>Школа 1795</v>
      </c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114" t="s">
        <v>33</v>
      </c>
      <c r="B603" s="83">
        <v>90.0</v>
      </c>
      <c r="C603" s="83" t="s">
        <v>3657</v>
      </c>
      <c r="D603" s="83" t="s">
        <v>3616</v>
      </c>
      <c r="F603" s="83" t="s">
        <v>4459</v>
      </c>
      <c r="G603" s="83" t="s">
        <v>2396</v>
      </c>
      <c r="H603" s="33" t="str">
        <f>IFERROR(__xludf.DUMMYFUNCTION("""COMPUTED_VALUE"""),"Школа 1811")</f>
        <v>Школа 1811</v>
      </c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114" t="s">
        <v>33</v>
      </c>
      <c r="B604" s="83">
        <v>91.0</v>
      </c>
      <c r="C604" s="83" t="s">
        <v>3415</v>
      </c>
      <c r="D604" s="83" t="s">
        <v>3616</v>
      </c>
      <c r="F604" s="83" t="s">
        <v>4460</v>
      </c>
      <c r="G604" s="83" t="s">
        <v>2453</v>
      </c>
      <c r="H604" s="33" t="str">
        <f>IFERROR(__xludf.DUMMYFUNCTION("""COMPUTED_VALUE"""),"Школа 1861")</f>
        <v>Школа 1861</v>
      </c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114" t="s">
        <v>33</v>
      </c>
      <c r="B605" s="83">
        <v>92.0</v>
      </c>
      <c r="C605" s="83" t="s">
        <v>3450</v>
      </c>
      <c r="D605" s="83" t="s">
        <v>3935</v>
      </c>
      <c r="F605" s="83" t="s">
        <v>4461</v>
      </c>
      <c r="G605" s="83" t="s">
        <v>2453</v>
      </c>
      <c r="H605" s="33" t="str">
        <f>IFERROR(__xludf.DUMMYFUNCTION("""COMPUTED_VALUE"""),"Школа 1862")</f>
        <v>Школа 1862</v>
      </c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114" t="s">
        <v>33</v>
      </c>
      <c r="B606" s="83">
        <v>93.0</v>
      </c>
      <c r="C606" s="83" t="s">
        <v>3658</v>
      </c>
      <c r="D606" s="83" t="s">
        <v>3616</v>
      </c>
      <c r="F606" s="83" t="s">
        <v>4406</v>
      </c>
      <c r="G606" s="83" t="s">
        <v>2422</v>
      </c>
      <c r="H606" s="33" t="str">
        <f>IFERROR(__xludf.DUMMYFUNCTION("""COMPUTED_VALUE"""),"Школа 1950")</f>
        <v>Школа 1950</v>
      </c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114" t="s">
        <v>33</v>
      </c>
      <c r="B607" s="83">
        <v>94.0</v>
      </c>
      <c r="C607" s="83" t="s">
        <v>3723</v>
      </c>
      <c r="D607" s="83" t="s">
        <v>3616</v>
      </c>
      <c r="F607" s="83" t="s">
        <v>4430</v>
      </c>
      <c r="G607" s="83" t="s">
        <v>2446</v>
      </c>
      <c r="H607" s="33" t="str">
        <f>IFERROR(__xludf.DUMMYFUNCTION("""COMPUTED_VALUE"""),"Школа 1980")</f>
        <v>Школа 1980</v>
      </c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114" t="s">
        <v>33</v>
      </c>
      <c r="B608" s="83">
        <v>95.0</v>
      </c>
      <c r="C608" s="83" t="s">
        <v>3434</v>
      </c>
      <c r="D608" s="83" t="s">
        <v>3935</v>
      </c>
      <c r="F608" s="83" t="s">
        <v>4462</v>
      </c>
      <c r="G608" s="83" t="s">
        <v>2446</v>
      </c>
      <c r="H608" s="33" t="str">
        <f>IFERROR(__xludf.DUMMYFUNCTION("""COMPUTED_VALUE"""),"Школа 199")</f>
        <v>Школа 199</v>
      </c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114" t="s">
        <v>33</v>
      </c>
      <c r="B609" s="83">
        <v>96.0</v>
      </c>
      <c r="C609" s="83" t="s">
        <v>3337</v>
      </c>
      <c r="D609" s="83" t="s">
        <v>3935</v>
      </c>
      <c r="F609" s="83" t="s">
        <v>4452</v>
      </c>
      <c r="G609" s="83" t="s">
        <v>2453</v>
      </c>
      <c r="H609" s="33" t="str">
        <f>IFERROR(__xludf.DUMMYFUNCTION("""COMPUTED_VALUE"""),"Школа 2000")</f>
        <v>Школа 2000</v>
      </c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114" t="s">
        <v>33</v>
      </c>
      <c r="B610" s="83">
        <v>97.0</v>
      </c>
      <c r="C610" s="83" t="s">
        <v>3659</v>
      </c>
      <c r="D610" s="83" t="s">
        <v>3616</v>
      </c>
      <c r="F610" s="83" t="s">
        <v>4425</v>
      </c>
      <c r="G610" s="83" t="s">
        <v>2419</v>
      </c>
      <c r="H610" s="33" t="str">
        <f>IFERROR(__xludf.DUMMYFUNCTION("""COMPUTED_VALUE"""),"Школа 2005")</f>
        <v>Школа 2005</v>
      </c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114" t="s">
        <v>33</v>
      </c>
      <c r="B611" s="83">
        <v>98.0</v>
      </c>
      <c r="C611" s="83" t="s">
        <v>3421</v>
      </c>
      <c r="D611" s="83" t="s">
        <v>3939</v>
      </c>
      <c r="F611" s="83" t="s">
        <v>4463</v>
      </c>
      <c r="G611" s="83" t="s">
        <v>2446</v>
      </c>
      <c r="H611" s="33" t="str">
        <f>IFERROR(__xludf.DUMMYFUNCTION("""COMPUTED_VALUE"""),"Школа 2006")</f>
        <v>Школа 2006</v>
      </c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114" t="s">
        <v>33</v>
      </c>
      <c r="B612" s="83">
        <v>99.0</v>
      </c>
      <c r="C612" s="83" t="s">
        <v>3610</v>
      </c>
      <c r="D612" s="83" t="s">
        <v>3616</v>
      </c>
      <c r="F612" s="83" t="s">
        <v>4430</v>
      </c>
      <c r="G612" s="83" t="s">
        <v>2446</v>
      </c>
      <c r="H612" s="33" t="str">
        <f>IFERROR(__xludf.DUMMYFUNCTION("""COMPUTED_VALUE"""),"Школа 2009")</f>
        <v>Школа 2009</v>
      </c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114" t="s">
        <v>33</v>
      </c>
      <c r="B613" s="83">
        <v>100.0</v>
      </c>
      <c r="C613" s="83" t="s">
        <v>3798</v>
      </c>
      <c r="D613" s="83" t="s">
        <v>3939</v>
      </c>
      <c r="F613" s="83" t="s">
        <v>4464</v>
      </c>
      <c r="G613" s="83" t="s">
        <v>2497</v>
      </c>
      <c r="H613" s="33" t="str">
        <f>IFERROR(__xludf.DUMMYFUNCTION("""COMPUTED_VALUE"""),"Школа 201")</f>
        <v>Школа 201</v>
      </c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114" t="s">
        <v>33</v>
      </c>
      <c r="B614" s="83">
        <v>101.0</v>
      </c>
      <c r="C614" s="83" t="s">
        <v>3793</v>
      </c>
      <c r="D614" s="83" t="s">
        <v>3616</v>
      </c>
      <c r="F614" s="83" t="s">
        <v>4465</v>
      </c>
      <c r="G614" s="83" t="s">
        <v>2396</v>
      </c>
      <c r="H614" s="33" t="str">
        <f>IFERROR(__xludf.DUMMYFUNCTION("""COMPUTED_VALUE"""),"Школа 2031")</f>
        <v>Школа 2031</v>
      </c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114" t="s">
        <v>33</v>
      </c>
      <c r="B615" s="83">
        <v>102.0</v>
      </c>
      <c r="C615" s="83" t="s">
        <v>3661</v>
      </c>
      <c r="D615" s="83" t="s">
        <v>3939</v>
      </c>
      <c r="F615" s="83" t="s">
        <v>4465</v>
      </c>
      <c r="G615" s="83" t="s">
        <v>2396</v>
      </c>
      <c r="H615" s="33" t="str">
        <f>IFERROR(__xludf.DUMMYFUNCTION("""COMPUTED_VALUE"""),"Школа 2036")</f>
        <v>Школа 2036</v>
      </c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114" t="s">
        <v>33</v>
      </c>
      <c r="B616" s="83">
        <v>103.0</v>
      </c>
      <c r="C616" s="83" t="s">
        <v>3358</v>
      </c>
      <c r="D616" s="83" t="s">
        <v>3616</v>
      </c>
      <c r="F616" s="83" t="s">
        <v>4411</v>
      </c>
      <c r="G616" s="83" t="s">
        <v>2487</v>
      </c>
      <c r="H616" s="33" t="str">
        <f>IFERROR(__xludf.DUMMYFUNCTION("""COMPUTED_VALUE"""),"Школа 2045")</f>
        <v>Школа 2045</v>
      </c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114" t="s">
        <v>33</v>
      </c>
      <c r="B617" s="83">
        <v>104.0</v>
      </c>
      <c r="C617" s="83" t="s">
        <v>3451</v>
      </c>
      <c r="D617" s="83" t="s">
        <v>3616</v>
      </c>
      <c r="F617" s="83" t="s">
        <v>4466</v>
      </c>
      <c r="G617" s="83" t="s">
        <v>2439</v>
      </c>
      <c r="H617" s="33" t="str">
        <f>IFERROR(__xludf.DUMMYFUNCTION("""COMPUTED_VALUE"""),"Школа 2048")</f>
        <v>Школа 2048</v>
      </c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114" t="s">
        <v>33</v>
      </c>
      <c r="B618" s="83">
        <v>105.0</v>
      </c>
      <c r="C618" s="83" t="s">
        <v>3611</v>
      </c>
      <c r="D618" s="83" t="s">
        <v>3939</v>
      </c>
      <c r="F618" s="83" t="s">
        <v>4467</v>
      </c>
      <c r="G618" s="83" t="s">
        <v>2422</v>
      </c>
      <c r="H618" s="33" t="str">
        <f>IFERROR(__xludf.DUMMYFUNCTION("""COMPUTED_VALUE"""),"Школа 2054")</f>
        <v>Школа 2054</v>
      </c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114" t="s">
        <v>33</v>
      </c>
      <c r="B619" s="83">
        <v>106.0</v>
      </c>
      <c r="C619" s="83" t="s">
        <v>3727</v>
      </c>
      <c r="D619" s="83" t="s">
        <v>3616</v>
      </c>
      <c r="F619" s="83" t="s">
        <v>2637</v>
      </c>
      <c r="G619" s="83" t="s">
        <v>4370</v>
      </c>
      <c r="H619" s="33" t="str">
        <f>IFERROR(__xludf.DUMMYFUNCTION("""COMPUTED_VALUE"""),"Школа 2065")</f>
        <v>Школа 2065</v>
      </c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114" t="s">
        <v>33</v>
      </c>
      <c r="B620" s="83">
        <v>107.0</v>
      </c>
      <c r="C620" s="83" t="s">
        <v>3663</v>
      </c>
      <c r="D620" s="83" t="s">
        <v>3616</v>
      </c>
      <c r="F620" s="83" t="s">
        <v>2409</v>
      </c>
      <c r="G620" s="83" t="s">
        <v>4370</v>
      </c>
      <c r="H620" s="33" t="str">
        <f>IFERROR(__xludf.DUMMYFUNCTION("""COMPUTED_VALUE"""),"Школа 2070")</f>
        <v>Школа 2070</v>
      </c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114" t="s">
        <v>33</v>
      </c>
      <c r="B621" s="83">
        <v>108.0</v>
      </c>
      <c r="C621" s="83" t="s">
        <v>3728</v>
      </c>
      <c r="D621" s="83" t="s">
        <v>3616</v>
      </c>
      <c r="F621" s="83" t="s">
        <v>2493</v>
      </c>
      <c r="G621" s="83" t="s">
        <v>4370</v>
      </c>
      <c r="H621" s="33" t="str">
        <f>IFERROR(__xludf.DUMMYFUNCTION("""COMPUTED_VALUE"""),"Школа 2083")</f>
        <v>Школа 2083</v>
      </c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114" t="s">
        <v>33</v>
      </c>
      <c r="B622" s="83">
        <v>109.0</v>
      </c>
      <c r="C622" s="83" t="s">
        <v>3664</v>
      </c>
      <c r="D622" s="83" t="s">
        <v>3616</v>
      </c>
      <c r="F622" s="83" t="s">
        <v>4403</v>
      </c>
      <c r="G622" s="83" t="s">
        <v>2439</v>
      </c>
      <c r="H622" s="33" t="str">
        <f>IFERROR(__xludf.DUMMYFUNCTION("""COMPUTED_VALUE"""),"Школа 2087")</f>
        <v>Школа 2087</v>
      </c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114" t="s">
        <v>33</v>
      </c>
      <c r="B623" s="83">
        <v>110.0</v>
      </c>
      <c r="C623" s="83" t="s">
        <v>3815</v>
      </c>
      <c r="D623" s="83" t="s">
        <v>3616</v>
      </c>
      <c r="F623" s="83" t="s">
        <v>4468</v>
      </c>
      <c r="G623" s="83" t="s">
        <v>4370</v>
      </c>
      <c r="H623" s="33" t="str">
        <f>IFERROR(__xludf.DUMMYFUNCTION("""COMPUTED_VALUE"""),"Школа 2094")</f>
        <v>Школа 2094</v>
      </c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114" t="s">
        <v>33</v>
      </c>
      <c r="B624" s="83">
        <v>111.0</v>
      </c>
      <c r="C624" s="83" t="s">
        <v>3665</v>
      </c>
      <c r="D624" s="83" t="s">
        <v>3935</v>
      </c>
      <c r="F624" s="83" t="s">
        <v>4469</v>
      </c>
      <c r="G624" s="83" t="s">
        <v>2419</v>
      </c>
      <c r="H624" s="33" t="str">
        <f>IFERROR(__xludf.DUMMYFUNCTION("""COMPUTED_VALUE"""),"Школа 2097")</f>
        <v>Школа 2097</v>
      </c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114" t="s">
        <v>33</v>
      </c>
      <c r="B625" s="83">
        <v>112.0</v>
      </c>
      <c r="C625" s="83" t="s">
        <v>3666</v>
      </c>
      <c r="D625" s="83" t="s">
        <v>3616</v>
      </c>
      <c r="F625" s="83" t="s">
        <v>4470</v>
      </c>
      <c r="G625" s="83" t="s">
        <v>2497</v>
      </c>
      <c r="H625" s="33" t="str">
        <f>IFERROR(__xludf.DUMMYFUNCTION("""COMPUTED_VALUE"""),"Школа 2098")</f>
        <v>Школа 2098</v>
      </c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114" t="s">
        <v>33</v>
      </c>
      <c r="B626" s="83">
        <v>113.0</v>
      </c>
      <c r="C626" s="83" t="s">
        <v>3452</v>
      </c>
      <c r="D626" s="83" t="s">
        <v>3935</v>
      </c>
      <c r="F626" s="83" t="s">
        <v>4470</v>
      </c>
      <c r="G626" s="83" t="s">
        <v>2497</v>
      </c>
      <c r="H626" s="33" t="str">
        <f>IFERROR(__xludf.DUMMYFUNCTION("""COMPUTED_VALUE"""),"Школа 2100")</f>
        <v>Школа 2100</v>
      </c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114" t="s">
        <v>33</v>
      </c>
      <c r="B627" s="83">
        <v>114.0</v>
      </c>
      <c r="C627" s="83" t="s">
        <v>3614</v>
      </c>
      <c r="D627" s="83" t="s">
        <v>3939</v>
      </c>
      <c r="F627" s="83" t="s">
        <v>4467</v>
      </c>
      <c r="G627" s="83" t="s">
        <v>2422</v>
      </c>
      <c r="H627" s="33" t="str">
        <f>IFERROR(__xludf.DUMMYFUNCTION("""COMPUTED_VALUE"""),"Школа 2107")</f>
        <v>Школа 2107</v>
      </c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114" t="s">
        <v>33</v>
      </c>
      <c r="B628" s="83">
        <v>115.0</v>
      </c>
      <c r="C628" s="83" t="s">
        <v>3426</v>
      </c>
      <c r="D628" s="83" t="s">
        <v>3935</v>
      </c>
      <c r="F628" s="83" t="s">
        <v>2637</v>
      </c>
      <c r="G628" s="83" t="s">
        <v>4370</v>
      </c>
      <c r="H628" s="33" t="str">
        <f>IFERROR(__xludf.DUMMYFUNCTION("""COMPUTED_VALUE"""),"Школа 2120")</f>
        <v>Школа 2120</v>
      </c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114" t="s">
        <v>33</v>
      </c>
      <c r="B629" s="83">
        <v>116.0</v>
      </c>
      <c r="C629" s="83" t="s">
        <v>3794</v>
      </c>
      <c r="D629" s="83" t="s">
        <v>3939</v>
      </c>
      <c r="F629" s="83" t="s">
        <v>4406</v>
      </c>
      <c r="G629" s="83" t="s">
        <v>2422</v>
      </c>
      <c r="H629" s="33" t="str">
        <f>IFERROR(__xludf.DUMMYFUNCTION("""COMPUTED_VALUE"""),"Школа 2123")</f>
        <v>Школа 2123</v>
      </c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114" t="s">
        <v>33</v>
      </c>
      <c r="B630" s="83">
        <v>117.0</v>
      </c>
      <c r="C630" s="83" t="s">
        <v>3453</v>
      </c>
      <c r="D630" s="83" t="s">
        <v>3616</v>
      </c>
      <c r="F630" s="83" t="s">
        <v>4471</v>
      </c>
      <c r="G630" s="83" t="s">
        <v>2396</v>
      </c>
      <c r="H630" s="33" t="str">
        <f>IFERROR(__xludf.DUMMYFUNCTION("""COMPUTED_VALUE"""),"Школа 2127")</f>
        <v>Школа 2127</v>
      </c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114" t="s">
        <v>33</v>
      </c>
      <c r="B631" s="83">
        <v>118.0</v>
      </c>
      <c r="C631" s="83" t="s">
        <v>3767</v>
      </c>
      <c r="D631" s="83" t="s">
        <v>3935</v>
      </c>
      <c r="F631" s="83" t="s">
        <v>4472</v>
      </c>
      <c r="G631" s="83" t="s">
        <v>2439</v>
      </c>
      <c r="H631" s="33" t="str">
        <f>IFERROR(__xludf.DUMMYFUNCTION("""COMPUTED_VALUE"""),"Школа 2129")</f>
        <v>Школа 2129</v>
      </c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114" t="s">
        <v>33</v>
      </c>
      <c r="B632" s="83">
        <v>119.0</v>
      </c>
      <c r="C632" s="83" t="s">
        <v>4473</v>
      </c>
      <c r="D632" s="83" t="s">
        <v>3935</v>
      </c>
      <c r="F632" s="83" t="s">
        <v>4446</v>
      </c>
      <c r="G632" s="83" t="s">
        <v>2406</v>
      </c>
      <c r="H632" s="33" t="str">
        <f>IFERROR(__xludf.DUMMYFUNCTION("""COMPUTED_VALUE"""),"Школа 324")</f>
        <v>Школа 324</v>
      </c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114" t="s">
        <v>33</v>
      </c>
      <c r="B633" s="83">
        <v>120.0</v>
      </c>
      <c r="C633" s="83" t="s">
        <v>3740</v>
      </c>
      <c r="D633" s="83" t="s">
        <v>3939</v>
      </c>
      <c r="F633" s="83" t="s">
        <v>4474</v>
      </c>
      <c r="G633" s="83" t="s">
        <v>4370</v>
      </c>
      <c r="H633" s="33" t="str">
        <f>IFERROR(__xludf.DUMMYFUNCTION("""COMPUTED_VALUE"""),"Школа 338")</f>
        <v>Школа 338</v>
      </c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114" t="s">
        <v>33</v>
      </c>
      <c r="B634" s="83">
        <v>121.0</v>
      </c>
      <c r="C634" s="83" t="s">
        <v>3958</v>
      </c>
      <c r="D634" s="83" t="s">
        <v>3935</v>
      </c>
      <c r="F634" s="83" t="s">
        <v>4403</v>
      </c>
      <c r="G634" s="83" t="s">
        <v>2439</v>
      </c>
      <c r="H634" s="33" t="str">
        <f>IFERROR(__xludf.DUMMYFUNCTION("""COMPUTED_VALUE"""),"Школа 491")</f>
        <v>Школа 491</v>
      </c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114" t="s">
        <v>33</v>
      </c>
      <c r="B635" s="83">
        <v>122.0</v>
      </c>
      <c r="C635" s="83" t="s">
        <v>3743</v>
      </c>
      <c r="D635" s="83" t="s">
        <v>3935</v>
      </c>
      <c r="F635" s="83" t="s">
        <v>4439</v>
      </c>
      <c r="G635" s="83" t="s">
        <v>2422</v>
      </c>
      <c r="H635" s="33" t="str">
        <f>IFERROR(__xludf.DUMMYFUNCTION("""COMPUTED_VALUE"""),"Школа 498")</f>
        <v>Школа 498</v>
      </c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114" t="s">
        <v>33</v>
      </c>
      <c r="B636" s="83">
        <v>123.0</v>
      </c>
      <c r="C636" s="83" t="s">
        <v>3343</v>
      </c>
      <c r="D636" s="83" t="s">
        <v>3616</v>
      </c>
      <c r="F636" s="83" t="s">
        <v>4415</v>
      </c>
      <c r="G636" s="83" t="s">
        <v>2453</v>
      </c>
      <c r="H636" s="33" t="str">
        <f>IFERROR(__xludf.DUMMYFUNCTION("""COMPUTED_VALUE"""),"Школа 544")</f>
        <v>Школа 544</v>
      </c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114" t="s">
        <v>33</v>
      </c>
      <c r="B637" s="83">
        <v>124.0</v>
      </c>
      <c r="C637" s="83" t="s">
        <v>3340</v>
      </c>
      <c r="D637" s="83" t="s">
        <v>3616</v>
      </c>
      <c r="F637" s="83" t="s">
        <v>4475</v>
      </c>
      <c r="G637" s="83" t="s">
        <v>2406</v>
      </c>
      <c r="H637" s="33" t="str">
        <f>IFERROR(__xludf.DUMMYFUNCTION("""COMPUTED_VALUE"""),"Школа 56")</f>
        <v>Школа 56</v>
      </c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114" t="s">
        <v>33</v>
      </c>
      <c r="B638" s="83">
        <v>125.0</v>
      </c>
      <c r="C638" s="83" t="s">
        <v>3786</v>
      </c>
      <c r="D638" s="83" t="s">
        <v>3616</v>
      </c>
      <c r="F638" s="83" t="s">
        <v>4462</v>
      </c>
      <c r="G638" s="83" t="s">
        <v>2446</v>
      </c>
      <c r="H638" s="33" t="str">
        <f>IFERROR(__xludf.DUMMYFUNCTION("""COMPUTED_VALUE"""),"Школа 625")</f>
        <v>Школа 625</v>
      </c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114" t="s">
        <v>33</v>
      </c>
      <c r="B639" s="83">
        <v>126.0</v>
      </c>
      <c r="C639" s="83" t="s">
        <v>3680</v>
      </c>
      <c r="D639" s="83" t="s">
        <v>3616</v>
      </c>
      <c r="F639" s="83" t="s">
        <v>4476</v>
      </c>
      <c r="G639" s="83" t="s">
        <v>2422</v>
      </c>
      <c r="H639" s="33" t="str">
        <f>IFERROR(__xludf.DUMMYFUNCTION("""COMPUTED_VALUE"""),"Школа 627")</f>
        <v>Школа 627</v>
      </c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114" t="s">
        <v>33</v>
      </c>
      <c r="B640" s="83">
        <v>127.0</v>
      </c>
      <c r="C640" s="83" t="s">
        <v>3744</v>
      </c>
      <c r="D640" s="83" t="s">
        <v>3616</v>
      </c>
      <c r="F640" s="83" t="s">
        <v>4477</v>
      </c>
      <c r="G640" s="83" t="s">
        <v>2453</v>
      </c>
      <c r="H640" s="33" t="str">
        <f>IFERROR(__xludf.DUMMYFUNCTION("""COMPUTED_VALUE"""),"Школа 630")</f>
        <v>Школа 630</v>
      </c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114" t="s">
        <v>33</v>
      </c>
      <c r="B641" s="83">
        <v>128.0</v>
      </c>
      <c r="C641" s="83" t="s">
        <v>3430</v>
      </c>
      <c r="D641" s="83" t="s">
        <v>3935</v>
      </c>
      <c r="F641" s="83" t="s">
        <v>4478</v>
      </c>
      <c r="G641" s="83" t="s">
        <v>2446</v>
      </c>
      <c r="H641" s="33" t="str">
        <f>IFERROR(__xludf.DUMMYFUNCTION("""COMPUTED_VALUE"""),"Школа 7")</f>
        <v>Школа 7</v>
      </c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114" t="s">
        <v>33</v>
      </c>
      <c r="B642" s="83">
        <v>129.0</v>
      </c>
      <c r="C642" s="83" t="s">
        <v>3464</v>
      </c>
      <c r="D642" s="83" t="s">
        <v>3616</v>
      </c>
      <c r="F642" s="83" t="s">
        <v>4479</v>
      </c>
      <c r="G642" s="83" t="s">
        <v>2419</v>
      </c>
      <c r="H642" s="33" t="str">
        <f>IFERROR(__xludf.DUMMYFUNCTION("""COMPUTED_VALUE"""),"Школа 727")</f>
        <v>Школа 727</v>
      </c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114" t="s">
        <v>33</v>
      </c>
      <c r="B643" s="83">
        <v>130.0</v>
      </c>
      <c r="C643" s="83" t="s">
        <v>3587</v>
      </c>
      <c r="D643" s="83" t="s">
        <v>3616</v>
      </c>
      <c r="F643" s="83" t="s">
        <v>4480</v>
      </c>
      <c r="G643" s="83" t="s">
        <v>2416</v>
      </c>
      <c r="H643" s="33" t="str">
        <f>IFERROR(__xludf.DUMMYFUNCTION("""COMPUTED_VALUE"""),"Школа 760")</f>
        <v>Школа 760</v>
      </c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114" t="s">
        <v>33</v>
      </c>
      <c r="B644" s="83">
        <v>131.0</v>
      </c>
      <c r="C644" s="83" t="s">
        <v>3746</v>
      </c>
      <c r="D644" s="83" t="s">
        <v>3939</v>
      </c>
      <c r="F644" s="83" t="s">
        <v>4407</v>
      </c>
      <c r="G644" s="83" t="s">
        <v>2497</v>
      </c>
      <c r="H644" s="33" t="str">
        <f>IFERROR(__xludf.DUMMYFUNCTION("""COMPUTED_VALUE"""),"Школа 771")</f>
        <v>Школа 771</v>
      </c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114" t="s">
        <v>33</v>
      </c>
      <c r="B645" s="83">
        <v>132.0</v>
      </c>
      <c r="C645" s="83" t="s">
        <v>3465</v>
      </c>
      <c r="D645" s="83" t="s">
        <v>3935</v>
      </c>
      <c r="F645" s="83" t="s">
        <v>4481</v>
      </c>
      <c r="G645" s="83" t="s">
        <v>2439</v>
      </c>
      <c r="H645" s="33" t="str">
        <f>IFERROR(__xludf.DUMMYFUNCTION("""COMPUTED_VALUE"""),"Школа 777")</f>
        <v>Школа 777</v>
      </c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114" t="s">
        <v>33</v>
      </c>
      <c r="B646" s="83">
        <v>133.0</v>
      </c>
      <c r="C646" s="83" t="s">
        <v>3466</v>
      </c>
      <c r="D646" s="83" t="s">
        <v>3935</v>
      </c>
      <c r="F646" s="83" t="s">
        <v>4482</v>
      </c>
      <c r="G646" s="83" t="s">
        <v>2487</v>
      </c>
      <c r="H646" s="33" t="str">
        <f>IFERROR(__xludf.DUMMYFUNCTION("""COMPUTED_VALUE"""),"Школа 853")</f>
        <v>Школа 853</v>
      </c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114" t="s">
        <v>33</v>
      </c>
      <c r="B647" s="83">
        <v>134.0</v>
      </c>
      <c r="C647" s="83" t="s">
        <v>3942</v>
      </c>
      <c r="D647" s="83" t="s">
        <v>3935</v>
      </c>
      <c r="F647" s="83" t="s">
        <v>4483</v>
      </c>
      <c r="G647" s="83" t="s">
        <v>2419</v>
      </c>
      <c r="H647" s="33" t="str">
        <f>IFERROR(__xludf.DUMMYFUNCTION("""COMPUTED_VALUE"""),"Школа 86")</f>
        <v>Школа 86</v>
      </c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114" t="s">
        <v>33</v>
      </c>
      <c r="B648" s="83">
        <v>135.0</v>
      </c>
      <c r="C648" s="83" t="s">
        <v>4484</v>
      </c>
      <c r="D648" s="83" t="s">
        <v>3935</v>
      </c>
      <c r="F648" s="83" t="s">
        <v>4460</v>
      </c>
      <c r="G648" s="83" t="s">
        <v>2453</v>
      </c>
      <c r="H648" s="33" t="str">
        <f>IFERROR(__xludf.DUMMYFUNCTION("""COMPUTED_VALUE"""),"Школа 902")</f>
        <v>Школа 902</v>
      </c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114" t="s">
        <v>33</v>
      </c>
      <c r="B649" s="83">
        <v>136.0</v>
      </c>
      <c r="C649" s="83" t="s">
        <v>3437</v>
      </c>
      <c r="D649" s="83" t="s">
        <v>3616</v>
      </c>
      <c r="F649" s="83" t="s">
        <v>4460</v>
      </c>
      <c r="G649" s="83" t="s">
        <v>2453</v>
      </c>
      <c r="H649" s="33" t="str">
        <f>IFERROR(__xludf.DUMMYFUNCTION("""COMPUTED_VALUE"""),"Школа 947")</f>
        <v>Школа 947</v>
      </c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114" t="s">
        <v>33</v>
      </c>
      <c r="B650" s="83">
        <v>137.0</v>
      </c>
      <c r="C650" s="83" t="s">
        <v>3438</v>
      </c>
      <c r="D650" s="83" t="s">
        <v>3616</v>
      </c>
      <c r="F650" s="83" t="s">
        <v>4485</v>
      </c>
      <c r="G650" s="83" t="s">
        <v>2416</v>
      </c>
      <c r="H650" s="33" t="str">
        <f>IFERROR(__xludf.DUMMYFUNCTION("""COMPUTED_VALUE"""),"Школа 956")</f>
        <v>Школа 956</v>
      </c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114" t="s">
        <v>33</v>
      </c>
      <c r="B651" s="83">
        <v>138.0</v>
      </c>
      <c r="C651" s="83" t="s">
        <v>3668</v>
      </c>
      <c r="D651" s="83" t="s">
        <v>3616</v>
      </c>
      <c r="F651" s="83" t="s">
        <v>4466</v>
      </c>
      <c r="G651" s="83" t="s">
        <v>2439</v>
      </c>
      <c r="H651" s="33" t="str">
        <f>IFERROR(__xludf.DUMMYFUNCTION("""COMPUTED_VALUE"""),"Школа в Некрасовке")</f>
        <v>Школа в Некрасовке</v>
      </c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114" t="s">
        <v>33</v>
      </c>
      <c r="B652" s="83">
        <v>139.0</v>
      </c>
      <c r="C652" s="83" t="s">
        <v>3734</v>
      </c>
      <c r="D652" s="83" t="s">
        <v>3616</v>
      </c>
      <c r="F652" s="83" t="s">
        <v>4486</v>
      </c>
      <c r="G652" s="83" t="s">
        <v>2416</v>
      </c>
      <c r="H652" s="33" t="str">
        <f>IFERROR(__xludf.DUMMYFUNCTION("""COMPUTED_VALUE"""),"Школа Глория")</f>
        <v>Школа Глория</v>
      </c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114" t="s">
        <v>33</v>
      </c>
      <c r="B653" s="83">
        <v>140.0</v>
      </c>
      <c r="C653" s="83" t="s">
        <v>3367</v>
      </c>
      <c r="D653" s="83" t="s">
        <v>3616</v>
      </c>
      <c r="F653" s="83" t="s">
        <v>4472</v>
      </c>
      <c r="G653" s="83" t="s">
        <v>2439</v>
      </c>
      <c r="H653" s="33" t="str">
        <f>IFERROR(__xludf.DUMMYFUNCTION("""COMPUTED_VALUE"""),"Школа им. В. В. Маяковского")</f>
        <v>Школа им. В. В. Маяковского</v>
      </c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114" t="s">
        <v>33</v>
      </c>
      <c r="B654" s="83">
        <v>141.0</v>
      </c>
      <c r="C654" s="83" t="s">
        <v>3456</v>
      </c>
      <c r="D654" s="83" t="s">
        <v>3616</v>
      </c>
      <c r="F654" s="83" t="s">
        <v>4487</v>
      </c>
      <c r="G654" s="83" t="s">
        <v>2439</v>
      </c>
      <c r="H654" s="33" t="str">
        <f>IFERROR(__xludf.DUMMYFUNCTION("""COMPUTED_VALUE"""),"Школа им. Ф. М. Достоевского")</f>
        <v>Школа им. Ф. М. Достоевского</v>
      </c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114" t="s">
        <v>33</v>
      </c>
      <c r="B655" s="83">
        <v>142.0</v>
      </c>
      <c r="C655" s="83" t="s">
        <v>3672</v>
      </c>
      <c r="D655" s="83" t="s">
        <v>3616</v>
      </c>
      <c r="F655" s="83" t="s">
        <v>4488</v>
      </c>
      <c r="G655" s="83" t="s">
        <v>2416</v>
      </c>
      <c r="H655" s="33" t="str">
        <f>IFERROR(__xludf.DUMMYFUNCTION("""COMPUTED_VALUE"""),"Школа Марьина Роща им. В. Ф. Орлова")</f>
        <v>Школа Марьина Роща им. В. Ф. Орлова</v>
      </c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114" t="s">
        <v>33</v>
      </c>
      <c r="B656" s="83">
        <v>143.0</v>
      </c>
      <c r="C656" s="83" t="s">
        <v>3735</v>
      </c>
      <c r="D656" s="83" t="s">
        <v>3616</v>
      </c>
      <c r="F656" s="83" t="s">
        <v>4410</v>
      </c>
      <c r="G656" s="83" t="s">
        <v>2406</v>
      </c>
      <c r="H656" s="33" t="str">
        <f>IFERROR(__xludf.DUMMYFUNCTION("""COMPUTED_VALUE"""),"Школа на проспекте Вернадского")</f>
        <v>Школа на проспекте Вернадского</v>
      </c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114" t="s">
        <v>33</v>
      </c>
      <c r="B657" s="83">
        <v>144.0</v>
      </c>
      <c r="C657" s="83" t="s">
        <v>3669</v>
      </c>
      <c r="D657" s="83" t="s">
        <v>3616</v>
      </c>
      <c r="F657" s="83" t="s">
        <v>4471</v>
      </c>
      <c r="G657" s="83" t="s">
        <v>2396</v>
      </c>
      <c r="H657" s="33" t="str">
        <f>IFERROR(__xludf.DUMMYFUNCTION("""COMPUTED_VALUE"""),"Школа Новокосино им. Героя Советского Союза адмирала А. П. Михайловского")</f>
        <v>Школа Новокосино им. Героя Советского Союза адмирала А. П. Михайловского</v>
      </c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114" t="s">
        <v>33</v>
      </c>
      <c r="B658" s="83">
        <v>145.0</v>
      </c>
      <c r="C658" s="83" t="s">
        <v>3754</v>
      </c>
      <c r="D658" s="83" t="s">
        <v>3616</v>
      </c>
      <c r="F658" s="83" t="s">
        <v>4399</v>
      </c>
      <c r="G658" s="83" t="s">
        <v>2406</v>
      </c>
      <c r="H658" s="33" t="str">
        <f>IFERROR(__xludf.DUMMYFUNCTION("""COMPUTED_VALUE"""),"Школа 1448")</f>
        <v>Школа 1448</v>
      </c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168" t="s">
        <v>32</v>
      </c>
      <c r="B659" s="169" t="s">
        <v>2393</v>
      </c>
      <c r="C659" s="164" t="s">
        <v>3430</v>
      </c>
      <c r="D659" s="164" t="s">
        <v>3616</v>
      </c>
      <c r="E659" s="33"/>
      <c r="F659" s="33"/>
      <c r="G659" s="33"/>
      <c r="H659" s="33" t="str">
        <f>IFERROR(__xludf.DUMMYFUNCTION("""COMPUTED_VALUE"""),"Школа 7")</f>
        <v>Школа 7</v>
      </c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168" t="s">
        <v>32</v>
      </c>
      <c r="B660" s="169" t="s">
        <v>2397</v>
      </c>
      <c r="C660" s="164" t="s">
        <v>3924</v>
      </c>
      <c r="D660" s="164" t="s">
        <v>3616</v>
      </c>
      <c r="E660" s="33"/>
      <c r="F660" s="33"/>
      <c r="G660" s="33"/>
      <c r="H660" s="33" t="str">
        <f>IFERROR(__xludf.DUMMYFUNCTION("""COMPUTED_VALUE"""),"Школа 14")</f>
        <v>Школа 14</v>
      </c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168" t="s">
        <v>32</v>
      </c>
      <c r="B661" s="169" t="s">
        <v>2400</v>
      </c>
      <c r="C661" s="164" t="s">
        <v>3580</v>
      </c>
      <c r="D661" s="164" t="s">
        <v>3935</v>
      </c>
      <c r="E661" s="33"/>
      <c r="F661" s="33"/>
      <c r="G661" s="33"/>
      <c r="H661" s="33" t="str">
        <f>IFERROR(__xludf.DUMMYFUNCTION("""COMPUTED_VALUE"""),"Школа 15")</f>
        <v>Школа 15</v>
      </c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168" t="s">
        <v>32</v>
      </c>
      <c r="B662" s="169" t="s">
        <v>2403</v>
      </c>
      <c r="C662" s="164" t="s">
        <v>3492</v>
      </c>
      <c r="D662" s="164" t="s">
        <v>3939</v>
      </c>
      <c r="E662" s="33"/>
      <c r="F662" s="33"/>
      <c r="G662" s="33"/>
      <c r="H662" s="33" t="str">
        <f>IFERROR(__xludf.DUMMYFUNCTION("""COMPUTED_VALUE"""),"Школа 17")</f>
        <v>Школа 17</v>
      </c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168" t="s">
        <v>32</v>
      </c>
      <c r="B663" s="169" t="s">
        <v>2407</v>
      </c>
      <c r="C663" s="164" t="s">
        <v>3925</v>
      </c>
      <c r="D663" s="164" t="s">
        <v>3616</v>
      </c>
      <c r="E663" s="33"/>
      <c r="F663" s="33"/>
      <c r="G663" s="33"/>
      <c r="H663" s="33" t="str">
        <f>IFERROR(__xludf.DUMMYFUNCTION("""COMPUTED_VALUE"""),"Школа 37")</f>
        <v>Школа 37</v>
      </c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168" t="s">
        <v>32</v>
      </c>
      <c r="B664" s="169" t="s">
        <v>2411</v>
      </c>
      <c r="C664" s="164" t="s">
        <v>3340</v>
      </c>
      <c r="D664" s="164" t="s">
        <v>3616</v>
      </c>
      <c r="E664" s="33"/>
      <c r="F664" s="33"/>
      <c r="G664" s="33"/>
      <c r="H664" s="33" t="str">
        <f>IFERROR(__xludf.DUMMYFUNCTION("""COMPUTED_VALUE"""),"Школа 56")</f>
        <v>Школа 56</v>
      </c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168" t="s">
        <v>32</v>
      </c>
      <c r="B665" s="169" t="s">
        <v>2413</v>
      </c>
      <c r="C665" s="164" t="s">
        <v>3370</v>
      </c>
      <c r="D665" s="164" t="s">
        <v>3935</v>
      </c>
      <c r="E665" s="33"/>
      <c r="F665" s="33"/>
      <c r="G665" s="33"/>
      <c r="H665" s="33" t="str">
        <f>IFERROR(__xludf.DUMMYFUNCTION("""COMPUTED_VALUE"""),"Школа 113")</f>
        <v>Школа 113</v>
      </c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168" t="s">
        <v>32</v>
      </c>
      <c r="B666" s="169" t="s">
        <v>2417</v>
      </c>
      <c r="C666" s="164" t="s">
        <v>4489</v>
      </c>
      <c r="D666" s="164" t="s">
        <v>3939</v>
      </c>
      <c r="E666" s="33"/>
      <c r="F666" s="33"/>
      <c r="G666" s="33"/>
      <c r="H666" s="33" t="str">
        <f>IFERROR(__xludf.DUMMYFUNCTION("""COMPUTED_VALUE"""),"Школа 117")</f>
        <v>Школа 117</v>
      </c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168" t="s">
        <v>32</v>
      </c>
      <c r="B667" s="169" t="s">
        <v>2420</v>
      </c>
      <c r="C667" s="164" t="s">
        <v>3944</v>
      </c>
      <c r="D667" s="164" t="s">
        <v>3935</v>
      </c>
      <c r="E667" s="33"/>
      <c r="F667" s="33"/>
      <c r="G667" s="33"/>
      <c r="H667" s="33" t="str">
        <f>IFERROR(__xludf.DUMMYFUNCTION("""COMPUTED_VALUE"""),"Школа 118")</f>
        <v>Школа 118</v>
      </c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168" t="s">
        <v>32</v>
      </c>
      <c r="B668" s="169" t="s">
        <v>2423</v>
      </c>
      <c r="C668" s="164" t="s">
        <v>3459</v>
      </c>
      <c r="D668" s="164" t="s">
        <v>3616</v>
      </c>
      <c r="E668" s="33"/>
      <c r="F668" s="33"/>
      <c r="G668" s="33"/>
      <c r="H668" s="33" t="str">
        <f>IFERROR(__xludf.DUMMYFUNCTION("""COMPUTED_VALUE"""),"Школа 138")</f>
        <v>Школа 138</v>
      </c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168" t="s">
        <v>32</v>
      </c>
      <c r="B669" s="169" t="s">
        <v>2426</v>
      </c>
      <c r="C669" s="164" t="s">
        <v>3739</v>
      </c>
      <c r="D669" s="164" t="s">
        <v>3616</v>
      </c>
      <c r="E669" s="33"/>
      <c r="F669" s="33"/>
      <c r="G669" s="33"/>
      <c r="H669" s="33" t="str">
        <f>IFERROR(__xludf.DUMMYFUNCTION("""COMPUTED_VALUE"""),"Школа 152")</f>
        <v>Школа 152</v>
      </c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168" t="s">
        <v>32</v>
      </c>
      <c r="B670" s="169" t="s">
        <v>2428</v>
      </c>
      <c r="C670" s="164" t="s">
        <v>4393</v>
      </c>
      <c r="D670" s="164" t="s">
        <v>3939</v>
      </c>
      <c r="E670" s="33"/>
      <c r="F670" s="33"/>
      <c r="G670" s="33"/>
      <c r="H670" s="33" t="str">
        <f>IFERROR(__xludf.DUMMYFUNCTION("""COMPUTED_VALUE"""),"Школа 158")</f>
        <v>Школа 158</v>
      </c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168" t="s">
        <v>32</v>
      </c>
      <c r="B671" s="169" t="s">
        <v>2431</v>
      </c>
      <c r="C671" s="164" t="s">
        <v>3371</v>
      </c>
      <c r="D671" s="164" t="s">
        <v>3616</v>
      </c>
      <c r="E671" s="33"/>
      <c r="F671" s="33"/>
      <c r="G671" s="33"/>
      <c r="H671" s="33" t="str">
        <f>IFERROR(__xludf.DUMMYFUNCTION("""COMPUTED_VALUE"""),"Школа 185")</f>
        <v>Школа 185</v>
      </c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168" t="s">
        <v>32</v>
      </c>
      <c r="B672" s="169" t="s">
        <v>2433</v>
      </c>
      <c r="C672" s="164" t="s">
        <v>3551</v>
      </c>
      <c r="D672" s="164" t="s">
        <v>3939</v>
      </c>
      <c r="E672" s="33"/>
      <c r="F672" s="33"/>
      <c r="G672" s="33"/>
      <c r="H672" s="33" t="str">
        <f>IFERROR(__xludf.DUMMYFUNCTION("""COMPUTED_VALUE"""),"Школа 224")</f>
        <v>Школа 224</v>
      </c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168" t="s">
        <v>32</v>
      </c>
      <c r="B673" s="169" t="s">
        <v>2436</v>
      </c>
      <c r="C673" s="164" t="s">
        <v>3435</v>
      </c>
      <c r="D673" s="164" t="s">
        <v>3939</v>
      </c>
      <c r="E673" s="33"/>
      <c r="F673" s="33"/>
      <c r="G673" s="33"/>
      <c r="H673" s="33" t="str">
        <f>IFERROR(__xludf.DUMMYFUNCTION("""COMPUTED_VALUE"""),"Школа 283")</f>
        <v>Школа 283</v>
      </c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>
      <c r="A674" s="168" t="s">
        <v>32</v>
      </c>
      <c r="B674" s="169" t="s">
        <v>2440</v>
      </c>
      <c r="C674" s="164" t="s">
        <v>3740</v>
      </c>
      <c r="D674" s="164" t="s">
        <v>3616</v>
      </c>
      <c r="E674" s="33"/>
      <c r="F674" s="33"/>
      <c r="G674" s="33"/>
      <c r="H674" s="33" t="str">
        <f>IFERROR(__xludf.DUMMYFUNCTION("""COMPUTED_VALUE"""),"Школа 338")</f>
        <v>Школа 338</v>
      </c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>
      <c r="A675" s="168" t="s">
        <v>32</v>
      </c>
      <c r="B675" s="169" t="s">
        <v>2443</v>
      </c>
      <c r="C675" s="164" t="s">
        <v>3677</v>
      </c>
      <c r="D675" s="164" t="s">
        <v>3939</v>
      </c>
      <c r="E675" s="33"/>
      <c r="F675" s="33"/>
      <c r="G675" s="33"/>
      <c r="H675" s="33" t="str">
        <f>IFERROR(__xludf.DUMMYFUNCTION("""COMPUTED_VALUE"""),"Школа 354")</f>
        <v>Школа 354</v>
      </c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>
      <c r="A676" s="168" t="s">
        <v>32</v>
      </c>
      <c r="B676" s="169" t="s">
        <v>2447</v>
      </c>
      <c r="C676" s="164" t="s">
        <v>3768</v>
      </c>
      <c r="D676" s="164" t="s">
        <v>3935</v>
      </c>
      <c r="E676" s="33"/>
      <c r="F676" s="33"/>
      <c r="G676" s="33"/>
      <c r="H676" s="33" t="str">
        <f>IFERROR(__xludf.DUMMYFUNCTION("""COMPUTED_VALUE"""),"Школа 368")</f>
        <v>Школа 368</v>
      </c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>
      <c r="A677" s="168" t="s">
        <v>32</v>
      </c>
      <c r="B677" s="169" t="s">
        <v>2450</v>
      </c>
      <c r="C677" s="164" t="s">
        <v>3619</v>
      </c>
      <c r="D677" s="164" t="s">
        <v>3616</v>
      </c>
      <c r="E677" s="33"/>
      <c r="F677" s="33"/>
      <c r="G677" s="33"/>
      <c r="H677" s="33" t="str">
        <f>IFERROR(__xludf.DUMMYFUNCTION("""COMPUTED_VALUE"""),"Школа 444")</f>
        <v>Школа 444</v>
      </c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168" t="s">
        <v>32</v>
      </c>
      <c r="B678" s="169" t="s">
        <v>2454</v>
      </c>
      <c r="C678" s="164" t="s">
        <v>3741</v>
      </c>
      <c r="D678" s="164" t="s">
        <v>3935</v>
      </c>
      <c r="E678" s="33"/>
      <c r="F678" s="33"/>
      <c r="G678" s="33"/>
      <c r="H678" s="33" t="str">
        <f>IFERROR(__xludf.DUMMYFUNCTION("""COMPUTED_VALUE"""),"Школа 460")</f>
        <v>Школа 460</v>
      </c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>
      <c r="A679" s="168" t="s">
        <v>32</v>
      </c>
      <c r="B679" s="169" t="s">
        <v>2457</v>
      </c>
      <c r="C679" s="164" t="s">
        <v>3552</v>
      </c>
      <c r="D679" s="164" t="s">
        <v>3616</v>
      </c>
      <c r="E679" s="33"/>
      <c r="F679" s="33"/>
      <c r="G679" s="33"/>
      <c r="H679" s="33" t="str">
        <f>IFERROR(__xludf.DUMMYFUNCTION("""COMPUTED_VALUE"""),"Школа 463")</f>
        <v>Школа 463</v>
      </c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168" t="s">
        <v>32</v>
      </c>
      <c r="B680" s="169" t="s">
        <v>2459</v>
      </c>
      <c r="C680" s="164" t="s">
        <v>3373</v>
      </c>
      <c r="D680" s="164" t="s">
        <v>3616</v>
      </c>
      <c r="E680" s="33"/>
      <c r="F680" s="33"/>
      <c r="G680" s="33"/>
      <c r="H680" s="33" t="str">
        <f>IFERROR(__xludf.DUMMYFUNCTION("""COMPUTED_VALUE"""),"Школа 507")</f>
        <v>Школа 507</v>
      </c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>
      <c r="A681" s="168" t="s">
        <v>32</v>
      </c>
      <c r="B681" s="169" t="s">
        <v>2462</v>
      </c>
      <c r="C681" s="164" t="s">
        <v>3553</v>
      </c>
      <c r="D681" s="164" t="s">
        <v>3939</v>
      </c>
      <c r="E681" s="33"/>
      <c r="F681" s="33"/>
      <c r="G681" s="33"/>
      <c r="H681" s="33" t="str">
        <f>IFERROR(__xludf.DUMMYFUNCTION("""COMPUTED_VALUE"""),"Школа 508")</f>
        <v>Школа 508</v>
      </c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168" t="s">
        <v>32</v>
      </c>
      <c r="B682" s="169" t="s">
        <v>2465</v>
      </c>
      <c r="C682" s="164" t="s">
        <v>3343</v>
      </c>
      <c r="D682" s="164" t="s">
        <v>3939</v>
      </c>
      <c r="E682" s="33"/>
      <c r="F682" s="33"/>
      <c r="G682" s="33"/>
      <c r="H682" s="33" t="str">
        <f>IFERROR(__xludf.DUMMYFUNCTION("""COMPUTED_VALUE"""),"Школа 544")</f>
        <v>Школа 544</v>
      </c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168" t="s">
        <v>32</v>
      </c>
      <c r="B683" s="169" t="s">
        <v>2467</v>
      </c>
      <c r="C683" s="164" t="s">
        <v>3963</v>
      </c>
      <c r="D683" s="164" t="s">
        <v>3939</v>
      </c>
      <c r="E683" s="33"/>
      <c r="F683" s="33"/>
      <c r="G683" s="33"/>
      <c r="H683" s="33" t="str">
        <f>IFERROR(__xludf.DUMMYFUNCTION("""COMPUTED_VALUE"""),"Школа 547")</f>
        <v>Школа 547</v>
      </c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168" t="s">
        <v>32</v>
      </c>
      <c r="B684" s="169" t="s">
        <v>2470</v>
      </c>
      <c r="C684" s="164" t="s">
        <v>3769</v>
      </c>
      <c r="D684" s="164" t="s">
        <v>3939</v>
      </c>
      <c r="E684" s="33"/>
      <c r="F684" s="33"/>
      <c r="G684" s="33"/>
      <c r="H684" s="33" t="str">
        <f>IFERROR(__xludf.DUMMYFUNCTION("""COMPUTED_VALUE"""),"Школа 554")</f>
        <v>Школа 554</v>
      </c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168" t="s">
        <v>32</v>
      </c>
      <c r="B685" s="169" t="s">
        <v>2472</v>
      </c>
      <c r="C685" s="164" t="s">
        <v>3533</v>
      </c>
      <c r="D685" s="164" t="s">
        <v>3935</v>
      </c>
      <c r="E685" s="33"/>
      <c r="F685" s="33"/>
      <c r="G685" s="33"/>
      <c r="H685" s="33" t="str">
        <f>IFERROR(__xludf.DUMMYFUNCTION("""COMPUTED_VALUE"""),"Школа 556")</f>
        <v>Школа 556</v>
      </c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168" t="s">
        <v>32</v>
      </c>
      <c r="B686" s="169" t="s">
        <v>2474</v>
      </c>
      <c r="C686" s="164" t="s">
        <v>3680</v>
      </c>
      <c r="D686" s="164" t="s">
        <v>3616</v>
      </c>
      <c r="E686" s="33"/>
      <c r="F686" s="33"/>
      <c r="G686" s="33"/>
      <c r="H686" s="33" t="str">
        <f>IFERROR(__xludf.DUMMYFUNCTION("""COMPUTED_VALUE"""),"Школа 627")</f>
        <v>Школа 627</v>
      </c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168" t="s">
        <v>32</v>
      </c>
      <c r="B687" s="169" t="s">
        <v>2477</v>
      </c>
      <c r="C687" s="164" t="s">
        <v>3374</v>
      </c>
      <c r="D687" s="164" t="s">
        <v>3616</v>
      </c>
      <c r="E687" s="33"/>
      <c r="F687" s="33"/>
      <c r="G687" s="33"/>
      <c r="H687" s="33" t="str">
        <f>IFERROR(__xludf.DUMMYFUNCTION("""COMPUTED_VALUE"""),"Школа 648")</f>
        <v>Школа 648</v>
      </c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168" t="s">
        <v>32</v>
      </c>
      <c r="B688" s="169" t="s">
        <v>2478</v>
      </c>
      <c r="C688" s="164" t="s">
        <v>3375</v>
      </c>
      <c r="D688" s="164" t="s">
        <v>3616</v>
      </c>
      <c r="E688" s="33"/>
      <c r="F688" s="33"/>
      <c r="G688" s="33"/>
      <c r="H688" s="33" t="str">
        <f>IFERROR(__xludf.DUMMYFUNCTION("""COMPUTED_VALUE"""),"Школа 654")</f>
        <v>Школа 654</v>
      </c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168" t="s">
        <v>32</v>
      </c>
      <c r="B689" s="169" t="s">
        <v>2480</v>
      </c>
      <c r="C689" s="164" t="s">
        <v>3554</v>
      </c>
      <c r="D689" s="164" t="s">
        <v>3616</v>
      </c>
      <c r="E689" s="33"/>
      <c r="F689" s="33"/>
      <c r="G689" s="33"/>
      <c r="H689" s="33" t="str">
        <f>IFERROR(__xludf.DUMMYFUNCTION("""COMPUTED_VALUE"""),"Школа 656")</f>
        <v>Школа 656</v>
      </c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168" t="s">
        <v>32</v>
      </c>
      <c r="B690" s="169" t="s">
        <v>2482</v>
      </c>
      <c r="C690" s="164" t="s">
        <v>3681</v>
      </c>
      <c r="D690" s="164" t="s">
        <v>3616</v>
      </c>
      <c r="E690" s="33"/>
      <c r="F690" s="33"/>
      <c r="G690" s="33"/>
      <c r="H690" s="33" t="str">
        <f>IFERROR(__xludf.DUMMYFUNCTION("""COMPUTED_VALUE"""),"Школа 667")</f>
        <v>Школа 667</v>
      </c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168" t="s">
        <v>32</v>
      </c>
      <c r="B691" s="169" t="s">
        <v>2484</v>
      </c>
      <c r="C691" s="164" t="s">
        <v>3464</v>
      </c>
      <c r="D691" s="164" t="s">
        <v>3616</v>
      </c>
      <c r="E691" s="33"/>
      <c r="F691" s="33"/>
      <c r="G691" s="33"/>
      <c r="H691" s="33" t="str">
        <f>IFERROR(__xludf.DUMMYFUNCTION("""COMPUTED_VALUE"""),"Школа 727")</f>
        <v>Школа 727</v>
      </c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168" t="s">
        <v>32</v>
      </c>
      <c r="B692" s="169" t="s">
        <v>2488</v>
      </c>
      <c r="C692" s="164" t="s">
        <v>3376</v>
      </c>
      <c r="D692" s="164" t="s">
        <v>3939</v>
      </c>
      <c r="E692" s="33"/>
      <c r="F692" s="33"/>
      <c r="G692" s="33"/>
      <c r="H692" s="33" t="str">
        <f>IFERROR(__xludf.DUMMYFUNCTION("""COMPUTED_VALUE"""),"Школа 763")</f>
        <v>Школа 763</v>
      </c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168" t="s">
        <v>32</v>
      </c>
      <c r="B693" s="169" t="s">
        <v>2491</v>
      </c>
      <c r="C693" s="164" t="s">
        <v>3377</v>
      </c>
      <c r="D693" s="164" t="s">
        <v>3616</v>
      </c>
      <c r="E693" s="33"/>
      <c r="F693" s="33"/>
      <c r="G693" s="33"/>
      <c r="H693" s="33" t="str">
        <f>IFERROR(__xludf.DUMMYFUNCTION("""COMPUTED_VALUE"""),"Школа 814")</f>
        <v>Школа 814</v>
      </c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168" t="s">
        <v>32</v>
      </c>
      <c r="B694" s="169" t="s">
        <v>2494</v>
      </c>
      <c r="C694" s="164" t="s">
        <v>3500</v>
      </c>
      <c r="D694" s="164" t="s">
        <v>3939</v>
      </c>
      <c r="E694" s="33"/>
      <c r="F694" s="33"/>
      <c r="G694" s="33"/>
      <c r="H694" s="33" t="str">
        <f>IFERROR(__xludf.DUMMYFUNCTION("""COMPUTED_VALUE"""),"Школа 827")</f>
        <v>Школа 827</v>
      </c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168" t="s">
        <v>32</v>
      </c>
      <c r="B695" s="169" t="s">
        <v>2498</v>
      </c>
      <c r="C695" s="164" t="s">
        <v>3466</v>
      </c>
      <c r="D695" s="164" t="s">
        <v>3616</v>
      </c>
      <c r="E695" s="33"/>
      <c r="F695" s="33"/>
      <c r="G695" s="33"/>
      <c r="H695" s="33" t="str">
        <f>IFERROR(__xludf.DUMMYFUNCTION("""COMPUTED_VALUE"""),"Школа 853")</f>
        <v>Школа 853</v>
      </c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168" t="s">
        <v>32</v>
      </c>
      <c r="B696" s="169" t="s">
        <v>2500</v>
      </c>
      <c r="C696" s="164" t="s">
        <v>3378</v>
      </c>
      <c r="D696" s="164" t="s">
        <v>3616</v>
      </c>
      <c r="E696" s="33"/>
      <c r="F696" s="33"/>
      <c r="G696" s="33"/>
      <c r="H696" s="33" t="str">
        <f>IFERROR(__xludf.DUMMYFUNCTION("""COMPUTED_VALUE"""),"Школа 875")</f>
        <v>Школа 875</v>
      </c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168" t="s">
        <v>32</v>
      </c>
      <c r="B697" s="169" t="s">
        <v>2503</v>
      </c>
      <c r="C697" s="164" t="s">
        <v>3379</v>
      </c>
      <c r="D697" s="164" t="s">
        <v>3935</v>
      </c>
      <c r="E697" s="33"/>
      <c r="F697" s="33"/>
      <c r="G697" s="33"/>
      <c r="H697" s="33" t="str">
        <f>IFERROR(__xludf.DUMMYFUNCTION("""COMPUTED_VALUE"""),"Школа 887")</f>
        <v>Школа 887</v>
      </c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168" t="s">
        <v>32</v>
      </c>
      <c r="B698" s="169" t="s">
        <v>2506</v>
      </c>
      <c r="C698" s="164" t="s">
        <v>4484</v>
      </c>
      <c r="D698" s="164" t="s">
        <v>3935</v>
      </c>
      <c r="E698" s="33"/>
      <c r="F698" s="33"/>
      <c r="G698" s="33"/>
      <c r="H698" s="33" t="str">
        <f>IFERROR(__xludf.DUMMYFUNCTION("""COMPUTED_VALUE"""),"Школа 902")</f>
        <v>Школа 902</v>
      </c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168" t="s">
        <v>32</v>
      </c>
      <c r="B699" s="169" t="s">
        <v>2509</v>
      </c>
      <c r="C699" s="164" t="s">
        <v>3380</v>
      </c>
      <c r="D699" s="164" t="s">
        <v>3616</v>
      </c>
      <c r="E699" s="33"/>
      <c r="F699" s="33"/>
      <c r="G699" s="33"/>
      <c r="H699" s="33" t="str">
        <f>IFERROR(__xludf.DUMMYFUNCTION("""COMPUTED_VALUE"""),"Школа 924")</f>
        <v>Школа 924</v>
      </c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168" t="s">
        <v>32</v>
      </c>
      <c r="B700" s="169" t="s">
        <v>2512</v>
      </c>
      <c r="C700" s="164" t="s">
        <v>3437</v>
      </c>
      <c r="D700" s="164" t="s">
        <v>3939</v>
      </c>
      <c r="E700" s="33"/>
      <c r="F700" s="33"/>
      <c r="G700" s="33"/>
      <c r="H700" s="33" t="str">
        <f>IFERROR(__xludf.DUMMYFUNCTION("""COMPUTED_VALUE"""),"Школа 947")</f>
        <v>Школа 947</v>
      </c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168" t="s">
        <v>32</v>
      </c>
      <c r="B701" s="169" t="s">
        <v>2515</v>
      </c>
      <c r="C701" s="164" t="s">
        <v>3537</v>
      </c>
      <c r="D701" s="164" t="s">
        <v>3616</v>
      </c>
      <c r="E701" s="33"/>
      <c r="F701" s="33"/>
      <c r="G701" s="33"/>
      <c r="H701" s="33" t="str">
        <f>IFERROR(__xludf.DUMMYFUNCTION("""COMPUTED_VALUE"""),"Школа 949")</f>
        <v>Школа 949</v>
      </c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168" t="s">
        <v>32</v>
      </c>
      <c r="B702" s="169" t="s">
        <v>2517</v>
      </c>
      <c r="C702" s="164" t="s">
        <v>3381</v>
      </c>
      <c r="D702" s="164" t="s">
        <v>3935</v>
      </c>
      <c r="E702" s="33"/>
      <c r="F702" s="33"/>
      <c r="G702" s="33"/>
      <c r="H702" s="33" t="str">
        <f>IFERROR(__xludf.DUMMYFUNCTION("""COMPUTED_VALUE"""),"Школа 950")</f>
        <v>Школа 950</v>
      </c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168" t="s">
        <v>32</v>
      </c>
      <c r="B703" s="169" t="s">
        <v>2520</v>
      </c>
      <c r="C703" s="164" t="s">
        <v>3684</v>
      </c>
      <c r="D703" s="164" t="s">
        <v>3616</v>
      </c>
      <c r="E703" s="33"/>
      <c r="F703" s="33"/>
      <c r="G703" s="33"/>
      <c r="H703" s="33" t="str">
        <f>IFERROR(__xludf.DUMMYFUNCTION("""COMPUTED_VALUE"""),"Школа 953")</f>
        <v>Школа 953</v>
      </c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168" t="s">
        <v>32</v>
      </c>
      <c r="B704" s="169" t="s">
        <v>2523</v>
      </c>
      <c r="C704" s="164" t="s">
        <v>3502</v>
      </c>
      <c r="D704" s="164" t="s">
        <v>3616</v>
      </c>
      <c r="E704" s="33"/>
      <c r="F704" s="33"/>
      <c r="G704" s="33"/>
      <c r="H704" s="33" t="str">
        <f>IFERROR(__xludf.DUMMYFUNCTION("""COMPUTED_VALUE"""),"Школа 962")</f>
        <v>Школа 962</v>
      </c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168" t="s">
        <v>32</v>
      </c>
      <c r="B705" s="169" t="s">
        <v>2526</v>
      </c>
      <c r="C705" s="164" t="s">
        <v>3747</v>
      </c>
      <c r="D705" s="164" t="s">
        <v>3616</v>
      </c>
      <c r="E705" s="33"/>
      <c r="F705" s="33"/>
      <c r="G705" s="33"/>
      <c r="H705" s="33" t="str">
        <f>IFERROR(__xludf.DUMMYFUNCTION("""COMPUTED_VALUE"""),"Школа 1000")</f>
        <v>Школа 1000</v>
      </c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168" t="s">
        <v>32</v>
      </c>
      <c r="B706" s="169" t="s">
        <v>2529</v>
      </c>
      <c r="C706" s="164" t="s">
        <v>3503</v>
      </c>
      <c r="D706" s="164" t="s">
        <v>3935</v>
      </c>
      <c r="E706" s="33"/>
      <c r="F706" s="33"/>
      <c r="G706" s="33"/>
      <c r="H706" s="33" t="str">
        <f>IFERROR(__xludf.DUMMYFUNCTION("""COMPUTED_VALUE"""),"Школа 1018")</f>
        <v>Школа 1018</v>
      </c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168" t="s">
        <v>32</v>
      </c>
      <c r="B707" s="169" t="s">
        <v>2532</v>
      </c>
      <c r="C707" s="164" t="s">
        <v>3321</v>
      </c>
      <c r="D707" s="164" t="s">
        <v>3616</v>
      </c>
      <c r="E707" s="33"/>
      <c r="F707" s="33"/>
      <c r="G707" s="33"/>
      <c r="H707" s="33" t="str">
        <f>IFERROR(__xludf.DUMMYFUNCTION("""COMPUTED_VALUE"""),"Школа 1034")</f>
        <v>Школа 1034</v>
      </c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168" t="s">
        <v>32</v>
      </c>
      <c r="B708" s="169" t="s">
        <v>2535</v>
      </c>
      <c r="C708" s="164" t="s">
        <v>3383</v>
      </c>
      <c r="D708" s="164" t="s">
        <v>3616</v>
      </c>
      <c r="E708" s="33"/>
      <c r="F708" s="33"/>
      <c r="G708" s="33"/>
      <c r="H708" s="33" t="str">
        <f>IFERROR(__xludf.DUMMYFUNCTION("""COMPUTED_VALUE"""),"Школа 1095")</f>
        <v>Школа 1095</v>
      </c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168" t="s">
        <v>32</v>
      </c>
      <c r="B709" s="169" t="s">
        <v>2538</v>
      </c>
      <c r="C709" s="164" t="s">
        <v>3468</v>
      </c>
      <c r="D709" s="164" t="s">
        <v>3616</v>
      </c>
      <c r="E709" s="33"/>
      <c r="F709" s="33"/>
      <c r="G709" s="33"/>
      <c r="H709" s="33" t="str">
        <f>IFERROR(__xludf.DUMMYFUNCTION("""COMPUTED_VALUE"""),"Школа 1101")</f>
        <v>Школа 1101</v>
      </c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168" t="s">
        <v>32</v>
      </c>
      <c r="B710" s="169" t="s">
        <v>2541</v>
      </c>
      <c r="C710" s="164" t="s">
        <v>3623</v>
      </c>
      <c r="D710" s="164" t="s">
        <v>3616</v>
      </c>
      <c r="E710" s="33"/>
      <c r="F710" s="33"/>
      <c r="G710" s="33"/>
      <c r="H710" s="33" t="str">
        <f>IFERROR(__xludf.DUMMYFUNCTION("""COMPUTED_VALUE"""),"Школа 1158")</f>
        <v>Школа 1158</v>
      </c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168" t="s">
        <v>32</v>
      </c>
      <c r="B711" s="169" t="s">
        <v>2544</v>
      </c>
      <c r="C711" s="164" t="s">
        <v>3771</v>
      </c>
      <c r="D711" s="164" t="s">
        <v>3616</v>
      </c>
      <c r="E711" s="33"/>
      <c r="F711" s="33"/>
      <c r="G711" s="33"/>
      <c r="H711" s="33" t="str">
        <f>IFERROR(__xludf.DUMMYFUNCTION("""COMPUTED_VALUE"""),"Школа 1173")</f>
        <v>Школа 1173</v>
      </c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168" t="s">
        <v>32</v>
      </c>
      <c r="B712" s="169" t="s">
        <v>2545</v>
      </c>
      <c r="C712" s="164" t="s">
        <v>4490</v>
      </c>
      <c r="D712" s="164" t="s">
        <v>3616</v>
      </c>
      <c r="E712" s="33"/>
      <c r="F712" s="33"/>
      <c r="G712" s="33"/>
      <c r="H712" s="33" t="str">
        <f>IFERROR(__xludf.DUMMYFUNCTION("""COMPUTED_VALUE"""),"Школа 1179")</f>
        <v>Школа 1179</v>
      </c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168" t="s">
        <v>32</v>
      </c>
      <c r="B713" s="169" t="s">
        <v>2547</v>
      </c>
      <c r="C713" s="164" t="s">
        <v>4491</v>
      </c>
      <c r="D713" s="164" t="s">
        <v>3616</v>
      </c>
      <c r="E713" s="33"/>
      <c r="F713" s="33"/>
      <c r="G713" s="33"/>
      <c r="H713" s="33" t="str">
        <f>IFERROR(__xludf.DUMMYFUNCTION("""COMPUTED_VALUE"""),"Школа 1190")</f>
        <v>Школа 1190</v>
      </c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168" t="s">
        <v>32</v>
      </c>
      <c r="B714" s="169" t="s">
        <v>2550</v>
      </c>
      <c r="C714" s="164" t="s">
        <v>3624</v>
      </c>
      <c r="D714" s="164" t="s">
        <v>3935</v>
      </c>
      <c r="E714" s="33"/>
      <c r="F714" s="33"/>
      <c r="G714" s="33"/>
      <c r="H714" s="33" t="str">
        <f>IFERROR(__xludf.DUMMYFUNCTION("""COMPUTED_VALUE"""),"Школа 1194")</f>
        <v>Школа 1194</v>
      </c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168" t="s">
        <v>32</v>
      </c>
      <c r="B715" s="169" t="s">
        <v>2552</v>
      </c>
      <c r="C715" s="164" t="s">
        <v>3345</v>
      </c>
      <c r="D715" s="164" t="s">
        <v>3616</v>
      </c>
      <c r="E715" s="33"/>
      <c r="F715" s="33"/>
      <c r="G715" s="33"/>
      <c r="H715" s="33" t="str">
        <f>IFERROR(__xludf.DUMMYFUNCTION("""COMPUTED_VALUE"""),"Школа 1195")</f>
        <v>Школа 1195</v>
      </c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168" t="s">
        <v>32</v>
      </c>
      <c r="B716" s="169" t="s">
        <v>2554</v>
      </c>
      <c r="C716" s="164" t="s">
        <v>3689</v>
      </c>
      <c r="D716" s="164" t="s">
        <v>3616</v>
      </c>
      <c r="E716" s="33"/>
      <c r="F716" s="33"/>
      <c r="G716" s="33"/>
      <c r="H716" s="33" t="str">
        <f>IFERROR(__xludf.DUMMYFUNCTION("""COMPUTED_VALUE"""),"Школа 1205")</f>
        <v>Школа 1205</v>
      </c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168" t="s">
        <v>32</v>
      </c>
      <c r="B717" s="169" t="s">
        <v>2556</v>
      </c>
      <c r="C717" s="164" t="s">
        <v>3384</v>
      </c>
      <c r="D717" s="164" t="s">
        <v>3935</v>
      </c>
      <c r="E717" s="33"/>
      <c r="F717" s="33"/>
      <c r="G717" s="33"/>
      <c r="H717" s="33" t="str">
        <f>IFERROR(__xludf.DUMMYFUNCTION("""COMPUTED_VALUE"""),"Школа 1206")</f>
        <v>Школа 1206</v>
      </c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168" t="s">
        <v>32</v>
      </c>
      <c r="B718" s="169" t="s">
        <v>2559</v>
      </c>
      <c r="C718" s="164" t="s">
        <v>3385</v>
      </c>
      <c r="D718" s="164" t="s">
        <v>3616</v>
      </c>
      <c r="E718" s="33"/>
      <c r="F718" s="33"/>
      <c r="G718" s="33"/>
      <c r="H718" s="33" t="str">
        <f>IFERROR(__xludf.DUMMYFUNCTION("""COMPUTED_VALUE"""),"Школа 1208")</f>
        <v>Школа 1208</v>
      </c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168" t="s">
        <v>32</v>
      </c>
      <c r="B719" s="169" t="s">
        <v>2562</v>
      </c>
      <c r="C719" s="164" t="s">
        <v>3469</v>
      </c>
      <c r="D719" s="164" t="s">
        <v>3616</v>
      </c>
      <c r="E719" s="33"/>
      <c r="F719" s="33"/>
      <c r="G719" s="33"/>
      <c r="H719" s="33" t="str">
        <f>IFERROR(__xludf.DUMMYFUNCTION("""COMPUTED_VALUE"""),"Школа 1210")</f>
        <v>Школа 1210</v>
      </c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168" t="s">
        <v>32</v>
      </c>
      <c r="B720" s="169" t="s">
        <v>2565</v>
      </c>
      <c r="C720" s="164" t="s">
        <v>3592</v>
      </c>
      <c r="D720" s="164" t="s">
        <v>3935</v>
      </c>
      <c r="E720" s="33"/>
      <c r="F720" s="33"/>
      <c r="G720" s="33"/>
      <c r="H720" s="33" t="str">
        <f>IFERROR(__xludf.DUMMYFUNCTION("""COMPUTED_VALUE"""),"Школа 1222")</f>
        <v>Школа 1222</v>
      </c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168" t="s">
        <v>32</v>
      </c>
      <c r="B721" s="169" t="s">
        <v>2567</v>
      </c>
      <c r="C721" s="164" t="s">
        <v>3593</v>
      </c>
      <c r="D721" s="164" t="s">
        <v>3616</v>
      </c>
      <c r="E721" s="33"/>
      <c r="F721" s="33"/>
      <c r="G721" s="33"/>
      <c r="H721" s="33" t="str">
        <f>IFERROR(__xludf.DUMMYFUNCTION("""COMPUTED_VALUE"""),"Школа 1223")</f>
        <v>Школа 1223</v>
      </c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168" t="s">
        <v>32</v>
      </c>
      <c r="B722" s="169" t="s">
        <v>2569</v>
      </c>
      <c r="C722" s="164" t="s">
        <v>3505</v>
      </c>
      <c r="D722" s="164" t="s">
        <v>3939</v>
      </c>
      <c r="E722" s="33"/>
      <c r="F722" s="33"/>
      <c r="G722" s="33"/>
      <c r="H722" s="33" t="str">
        <f>IFERROR(__xludf.DUMMYFUNCTION("""COMPUTED_VALUE"""),"Школа 1228")</f>
        <v>Школа 1228</v>
      </c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168" t="s">
        <v>32</v>
      </c>
      <c r="B723" s="169" t="s">
        <v>2571</v>
      </c>
      <c r="C723" s="164" t="s">
        <v>3386</v>
      </c>
      <c r="D723" s="164" t="s">
        <v>3616</v>
      </c>
      <c r="E723" s="33"/>
      <c r="F723" s="33"/>
      <c r="G723" s="33"/>
      <c r="H723" s="33" t="str">
        <f>IFERROR(__xludf.DUMMYFUNCTION("""COMPUTED_VALUE"""),"Школа 1231")</f>
        <v>Школа 1231</v>
      </c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168" t="s">
        <v>32</v>
      </c>
      <c r="B724" s="169" t="s">
        <v>2574</v>
      </c>
      <c r="C724" s="164" t="s">
        <v>3387</v>
      </c>
      <c r="D724" s="164" t="s">
        <v>3616</v>
      </c>
      <c r="E724" s="33"/>
      <c r="F724" s="33"/>
      <c r="G724" s="33"/>
      <c r="H724" s="33" t="str">
        <f>IFERROR(__xludf.DUMMYFUNCTION("""COMPUTED_VALUE"""),"Школа 1238")</f>
        <v>Школа 1238</v>
      </c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168" t="s">
        <v>32</v>
      </c>
      <c r="B725" s="169" t="s">
        <v>2577</v>
      </c>
      <c r="C725" s="164" t="s">
        <v>3595</v>
      </c>
      <c r="D725" s="164" t="s">
        <v>3616</v>
      </c>
      <c r="E725" s="33"/>
      <c r="F725" s="33"/>
      <c r="G725" s="33"/>
      <c r="H725" s="33" t="str">
        <f>IFERROR(__xludf.DUMMYFUNCTION("""COMPUTED_VALUE"""),"Школа 1241")</f>
        <v>Школа 1241</v>
      </c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168" t="s">
        <v>32</v>
      </c>
      <c r="B726" s="169" t="s">
        <v>2579</v>
      </c>
      <c r="C726" s="164" t="s">
        <v>3596</v>
      </c>
      <c r="D726" s="164" t="s">
        <v>3616</v>
      </c>
      <c r="E726" s="33"/>
      <c r="F726" s="33"/>
      <c r="G726" s="33"/>
      <c r="H726" s="33" t="str">
        <f>IFERROR(__xludf.DUMMYFUNCTION("""COMPUTED_VALUE"""),"Школа 1245")</f>
        <v>Школа 1245</v>
      </c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168" t="s">
        <v>32</v>
      </c>
      <c r="B727" s="169" t="s">
        <v>2581</v>
      </c>
      <c r="C727" s="164" t="s">
        <v>3598</v>
      </c>
      <c r="D727" s="164" t="s">
        <v>3616</v>
      </c>
      <c r="E727" s="33"/>
      <c r="F727" s="33"/>
      <c r="G727" s="33"/>
      <c r="H727" s="33" t="str">
        <f>IFERROR(__xludf.DUMMYFUNCTION("""COMPUTED_VALUE"""),"Школа 1250")</f>
        <v>Школа 1250</v>
      </c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168" t="s">
        <v>32</v>
      </c>
      <c r="B728" s="169" t="s">
        <v>2584</v>
      </c>
      <c r="C728" s="164" t="s">
        <v>3389</v>
      </c>
      <c r="D728" s="164" t="s">
        <v>3616</v>
      </c>
      <c r="E728" s="33"/>
      <c r="F728" s="33"/>
      <c r="G728" s="33"/>
      <c r="H728" s="33" t="str">
        <f>IFERROR(__xludf.DUMMYFUNCTION("""COMPUTED_VALUE"""),"Школа 1251")</f>
        <v>Школа 1251</v>
      </c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168" t="s">
        <v>32</v>
      </c>
      <c r="B729" s="169" t="s">
        <v>2587</v>
      </c>
      <c r="C729" s="164" t="s">
        <v>3749</v>
      </c>
      <c r="D729" s="164" t="s">
        <v>3616</v>
      </c>
      <c r="E729" s="33"/>
      <c r="F729" s="33"/>
      <c r="G729" s="33"/>
      <c r="H729" s="33" t="str">
        <f>IFERROR(__xludf.DUMMYFUNCTION("""COMPUTED_VALUE"""),"Школа 1252")</f>
        <v>Школа 1252</v>
      </c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168" t="s">
        <v>32</v>
      </c>
      <c r="B730" s="169" t="s">
        <v>2590</v>
      </c>
      <c r="C730" s="164" t="s">
        <v>3471</v>
      </c>
      <c r="D730" s="164" t="s">
        <v>3616</v>
      </c>
      <c r="E730" s="33"/>
      <c r="F730" s="33"/>
      <c r="G730" s="33"/>
      <c r="H730" s="33" t="str">
        <f>IFERROR(__xludf.DUMMYFUNCTION("""COMPUTED_VALUE"""),"Школа 1259")</f>
        <v>Школа 1259</v>
      </c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168" t="s">
        <v>32</v>
      </c>
      <c r="B731" s="169" t="s">
        <v>2592</v>
      </c>
      <c r="C731" s="164" t="s">
        <v>3772</v>
      </c>
      <c r="D731" s="164" t="s">
        <v>3939</v>
      </c>
      <c r="E731" s="33"/>
      <c r="F731" s="33"/>
      <c r="G731" s="33"/>
      <c r="H731" s="33" t="str">
        <f>IFERROR(__xludf.DUMMYFUNCTION("""COMPUTED_VALUE"""),"Школа 1270")</f>
        <v>Школа 1270</v>
      </c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168" t="s">
        <v>32</v>
      </c>
      <c r="B732" s="169" t="s">
        <v>2594</v>
      </c>
      <c r="C732" s="164" t="s">
        <v>3346</v>
      </c>
      <c r="D732" s="164" t="s">
        <v>3935</v>
      </c>
      <c r="E732" s="33"/>
      <c r="F732" s="33"/>
      <c r="G732" s="33"/>
      <c r="H732" s="33" t="str">
        <f>IFERROR(__xludf.DUMMYFUNCTION("""COMPUTED_VALUE"""),"Школа 1273")</f>
        <v>Школа 1273</v>
      </c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168" t="s">
        <v>32</v>
      </c>
      <c r="B733" s="169" t="s">
        <v>2596</v>
      </c>
      <c r="C733" s="164" t="s">
        <v>3600</v>
      </c>
      <c r="D733" s="164" t="s">
        <v>3616</v>
      </c>
      <c r="E733" s="33"/>
      <c r="F733" s="33"/>
      <c r="G733" s="33"/>
      <c r="H733" s="33" t="str">
        <f>IFERROR(__xludf.DUMMYFUNCTION("""COMPUTED_VALUE"""),"Школа 1279")</f>
        <v>Школа 1279</v>
      </c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168" t="s">
        <v>32</v>
      </c>
      <c r="B734" s="169" t="s">
        <v>2598</v>
      </c>
      <c r="C734" s="164" t="s">
        <v>3926</v>
      </c>
      <c r="D734" s="164" t="s">
        <v>3935</v>
      </c>
      <c r="E734" s="33"/>
      <c r="F734" s="33"/>
      <c r="G734" s="33"/>
      <c r="H734" s="33" t="str">
        <f>IFERROR(__xludf.DUMMYFUNCTION("""COMPUTED_VALUE"""),"Школа 1284")</f>
        <v>Школа 1284</v>
      </c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168" t="s">
        <v>32</v>
      </c>
      <c r="B735" s="169" t="s">
        <v>2600</v>
      </c>
      <c r="C735" s="164" t="s">
        <v>3391</v>
      </c>
      <c r="D735" s="164" t="s">
        <v>3616</v>
      </c>
      <c r="E735" s="33"/>
      <c r="F735" s="33"/>
      <c r="G735" s="33"/>
      <c r="H735" s="33" t="str">
        <f>IFERROR(__xludf.DUMMYFUNCTION("""COMPUTED_VALUE"""),"Школа 1286")</f>
        <v>Школа 1286</v>
      </c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168" t="s">
        <v>32</v>
      </c>
      <c r="B736" s="169" t="s">
        <v>2603</v>
      </c>
      <c r="C736" s="164" t="s">
        <v>3541</v>
      </c>
      <c r="D736" s="164" t="s">
        <v>3616</v>
      </c>
      <c r="E736" s="33"/>
      <c r="F736" s="33"/>
      <c r="G736" s="33"/>
      <c r="H736" s="33" t="str">
        <f>IFERROR(__xludf.DUMMYFUNCTION("""COMPUTED_VALUE"""),"Школа 1287")</f>
        <v>Школа 1287</v>
      </c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168" t="s">
        <v>32</v>
      </c>
      <c r="B737" s="169" t="s">
        <v>2606</v>
      </c>
      <c r="C737" s="164" t="s">
        <v>3392</v>
      </c>
      <c r="D737" s="164" t="s">
        <v>3616</v>
      </c>
      <c r="E737" s="33"/>
      <c r="F737" s="33"/>
      <c r="G737" s="33"/>
      <c r="H737" s="33" t="str">
        <f>IFERROR(__xludf.DUMMYFUNCTION("""COMPUTED_VALUE"""),"Школа 1288")</f>
        <v>Школа 1288</v>
      </c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168" t="s">
        <v>32</v>
      </c>
      <c r="B738" s="169" t="s">
        <v>2609</v>
      </c>
      <c r="C738" s="164" t="s">
        <v>3393</v>
      </c>
      <c r="D738" s="164" t="s">
        <v>3939</v>
      </c>
      <c r="E738" s="33"/>
      <c r="F738" s="33"/>
      <c r="G738" s="33"/>
      <c r="H738" s="33" t="str">
        <f>IFERROR(__xludf.DUMMYFUNCTION("""COMPUTED_VALUE"""),"Школа 1290")</f>
        <v>Школа 1290</v>
      </c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168" t="s">
        <v>32</v>
      </c>
      <c r="B739" s="169" t="s">
        <v>2612</v>
      </c>
      <c r="C739" s="164" t="s">
        <v>3472</v>
      </c>
      <c r="D739" s="164" t="s">
        <v>3616</v>
      </c>
      <c r="E739" s="33"/>
      <c r="F739" s="33"/>
      <c r="G739" s="33"/>
      <c r="H739" s="33" t="str">
        <f>IFERROR(__xludf.DUMMYFUNCTION("""COMPUTED_VALUE"""),"Школа 1293")</f>
        <v>Школа 1293</v>
      </c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168" t="s">
        <v>32</v>
      </c>
      <c r="B740" s="169" t="s">
        <v>2615</v>
      </c>
      <c r="C740" s="164" t="s">
        <v>3927</v>
      </c>
      <c r="D740" s="164" t="s">
        <v>3616</v>
      </c>
      <c r="E740" s="33"/>
      <c r="F740" s="33"/>
      <c r="G740" s="33"/>
      <c r="H740" s="33" t="str">
        <f>IFERROR(__xludf.DUMMYFUNCTION("""COMPUTED_VALUE"""),"Школа 1296")</f>
        <v>Школа 1296</v>
      </c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168" t="s">
        <v>32</v>
      </c>
      <c r="B741" s="169" t="s">
        <v>2618</v>
      </c>
      <c r="C741" s="164" t="s">
        <v>3394</v>
      </c>
      <c r="D741" s="164" t="s">
        <v>3616</v>
      </c>
      <c r="E741" s="33"/>
      <c r="F741" s="33"/>
      <c r="G741" s="33"/>
      <c r="H741" s="33" t="str">
        <f>IFERROR(__xludf.DUMMYFUNCTION("""COMPUTED_VALUE"""),"Школа 1298")</f>
        <v>Школа 1298</v>
      </c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168" t="s">
        <v>32</v>
      </c>
      <c r="B742" s="169" t="s">
        <v>2620</v>
      </c>
      <c r="C742" s="164" t="s">
        <v>3750</v>
      </c>
      <c r="D742" s="164" t="s">
        <v>3616</v>
      </c>
      <c r="E742" s="33"/>
      <c r="F742" s="33"/>
      <c r="G742" s="33"/>
      <c r="H742" s="33" t="str">
        <f>IFERROR(__xludf.DUMMYFUNCTION("""COMPUTED_VALUE"""),"Школа 1302")</f>
        <v>Школа 1302</v>
      </c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168" t="s">
        <v>32</v>
      </c>
      <c r="B743" s="169" t="s">
        <v>2622</v>
      </c>
      <c r="C743" s="164" t="s">
        <v>3396</v>
      </c>
      <c r="D743" s="164" t="s">
        <v>3616</v>
      </c>
      <c r="E743" s="33"/>
      <c r="F743" s="33"/>
      <c r="G743" s="33"/>
      <c r="H743" s="33" t="str">
        <f>IFERROR(__xludf.DUMMYFUNCTION("""COMPUTED_VALUE"""),"Школа 1315")</f>
        <v>Школа 1315</v>
      </c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168" t="s">
        <v>32</v>
      </c>
      <c r="B744" s="169" t="s">
        <v>2624</v>
      </c>
      <c r="C744" s="164" t="s">
        <v>3542</v>
      </c>
      <c r="D744" s="164" t="s">
        <v>3616</v>
      </c>
      <c r="E744" s="33"/>
      <c r="F744" s="33"/>
      <c r="G744" s="33"/>
      <c r="H744" s="33" t="str">
        <f>IFERROR(__xludf.DUMMYFUNCTION("""COMPUTED_VALUE"""),"Школа 1324")</f>
        <v>Школа 1324</v>
      </c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168" t="s">
        <v>32</v>
      </c>
      <c r="B745" s="169" t="s">
        <v>2625</v>
      </c>
      <c r="C745" s="164" t="s">
        <v>3626</v>
      </c>
      <c r="D745" s="164" t="s">
        <v>3616</v>
      </c>
      <c r="E745" s="33"/>
      <c r="F745" s="33"/>
      <c r="G745" s="33"/>
      <c r="H745" s="33" t="str">
        <f>IFERROR(__xludf.DUMMYFUNCTION("""COMPUTED_VALUE"""),"Школа 1329")</f>
        <v>Школа 1329</v>
      </c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168" t="s">
        <v>32</v>
      </c>
      <c r="B746" s="169" t="s">
        <v>2627</v>
      </c>
      <c r="C746" s="164" t="s">
        <v>3397</v>
      </c>
      <c r="D746" s="164" t="s">
        <v>3616</v>
      </c>
      <c r="E746" s="33"/>
      <c r="F746" s="33"/>
      <c r="G746" s="33"/>
      <c r="H746" s="33" t="str">
        <f>IFERROR(__xludf.DUMMYFUNCTION("""COMPUTED_VALUE"""),"Школа 1347")</f>
        <v>Школа 1347</v>
      </c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168" t="s">
        <v>32</v>
      </c>
      <c r="B747" s="169" t="s">
        <v>2629</v>
      </c>
      <c r="C747" s="164" t="s">
        <v>3398</v>
      </c>
      <c r="D747" s="164" t="s">
        <v>3616</v>
      </c>
      <c r="E747" s="33"/>
      <c r="F747" s="33"/>
      <c r="G747" s="33"/>
      <c r="H747" s="33" t="str">
        <f>IFERROR(__xludf.DUMMYFUNCTION("""COMPUTED_VALUE"""),"Школа 1353")</f>
        <v>Школа 1353</v>
      </c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168" t="s">
        <v>32</v>
      </c>
      <c r="B748" s="169" t="s">
        <v>2631</v>
      </c>
      <c r="C748" s="164" t="s">
        <v>3347</v>
      </c>
      <c r="D748" s="164" t="s">
        <v>3616</v>
      </c>
      <c r="E748" s="33"/>
      <c r="F748" s="33"/>
      <c r="G748" s="33"/>
      <c r="H748" s="33" t="str">
        <f>IFERROR(__xludf.DUMMYFUNCTION("""COMPUTED_VALUE"""),"Школа 1355")</f>
        <v>Школа 1355</v>
      </c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168" t="s">
        <v>32</v>
      </c>
      <c r="B749" s="169" t="s">
        <v>2633</v>
      </c>
      <c r="C749" s="164" t="s">
        <v>3603</v>
      </c>
      <c r="D749" s="164" t="s">
        <v>3616</v>
      </c>
      <c r="E749" s="33"/>
      <c r="F749" s="33"/>
      <c r="G749" s="33"/>
      <c r="H749" s="33" t="str">
        <f>IFERROR(__xludf.DUMMYFUNCTION("""COMPUTED_VALUE"""),"Школа 1357")</f>
        <v>Школа 1357</v>
      </c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168" t="s">
        <v>32</v>
      </c>
      <c r="B750" s="169" t="s">
        <v>2635</v>
      </c>
      <c r="C750" s="164" t="s">
        <v>3752</v>
      </c>
      <c r="D750" s="164" t="s">
        <v>3616</v>
      </c>
      <c r="E750" s="33"/>
      <c r="F750" s="33"/>
      <c r="G750" s="33"/>
      <c r="H750" s="33" t="str">
        <f>IFERROR(__xludf.DUMMYFUNCTION("""COMPUTED_VALUE"""),"Школа 1358")</f>
        <v>Школа 1358</v>
      </c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168" t="s">
        <v>32</v>
      </c>
      <c r="B751" s="169" t="s">
        <v>2638</v>
      </c>
      <c r="C751" s="164" t="s">
        <v>3399</v>
      </c>
      <c r="D751" s="164" t="s">
        <v>3935</v>
      </c>
      <c r="E751" s="33"/>
      <c r="F751" s="33"/>
      <c r="G751" s="33"/>
      <c r="H751" s="33" t="str">
        <f>IFERROR(__xludf.DUMMYFUNCTION("""COMPUTED_VALUE"""),"Школа 1359")</f>
        <v>Школа 1359</v>
      </c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168" t="s">
        <v>32</v>
      </c>
      <c r="B752" s="169" t="s">
        <v>2640</v>
      </c>
      <c r="C752" s="164" t="s">
        <v>3628</v>
      </c>
      <c r="D752" s="164" t="s">
        <v>3616</v>
      </c>
      <c r="E752" s="33"/>
      <c r="F752" s="33"/>
      <c r="G752" s="33"/>
      <c r="H752" s="33" t="str">
        <f>IFERROR(__xludf.DUMMYFUNCTION("""COMPUTED_VALUE"""),"Школа 1363")</f>
        <v>Школа 1363</v>
      </c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168" t="s">
        <v>32</v>
      </c>
      <c r="B753" s="169" t="s">
        <v>2642</v>
      </c>
      <c r="C753" s="164" t="s">
        <v>3629</v>
      </c>
      <c r="D753" s="164" t="s">
        <v>3616</v>
      </c>
      <c r="E753" s="33"/>
      <c r="F753" s="33"/>
      <c r="G753" s="33"/>
      <c r="H753" s="33" t="str">
        <f>IFERROR(__xludf.DUMMYFUNCTION("""COMPUTED_VALUE"""),"Школа 1367")</f>
        <v>Школа 1367</v>
      </c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168" t="s">
        <v>32</v>
      </c>
      <c r="B754" s="169" t="s">
        <v>2645</v>
      </c>
      <c r="C754" s="164" t="s">
        <v>3400</v>
      </c>
      <c r="D754" s="164" t="s">
        <v>3939</v>
      </c>
      <c r="E754" s="33"/>
      <c r="F754" s="33"/>
      <c r="G754" s="33"/>
      <c r="H754" s="33" t="str">
        <f>IFERROR(__xludf.DUMMYFUNCTION("""COMPUTED_VALUE"""),"Школа 1371")</f>
        <v>Школа 1371</v>
      </c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168" t="s">
        <v>32</v>
      </c>
      <c r="B755" s="169" t="s">
        <v>2648</v>
      </c>
      <c r="C755" s="164" t="s">
        <v>3630</v>
      </c>
      <c r="D755" s="164" t="s">
        <v>3616</v>
      </c>
      <c r="E755" s="33"/>
      <c r="F755" s="33"/>
      <c r="G755" s="33"/>
      <c r="H755" s="33" t="str">
        <f>IFERROR(__xludf.DUMMYFUNCTION("""COMPUTED_VALUE"""),"Школа 1375")</f>
        <v>Школа 1375</v>
      </c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168" t="s">
        <v>32</v>
      </c>
      <c r="B756" s="169" t="s">
        <v>2651</v>
      </c>
      <c r="C756" s="164" t="s">
        <v>3810</v>
      </c>
      <c r="D756" s="164" t="s">
        <v>3616</v>
      </c>
      <c r="E756" s="33"/>
      <c r="F756" s="33"/>
      <c r="G756" s="33"/>
      <c r="H756" s="33" t="str">
        <f>IFERROR(__xludf.DUMMYFUNCTION("""COMPUTED_VALUE"""),"Школа 1381")</f>
        <v>Школа 1381</v>
      </c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168" t="s">
        <v>32</v>
      </c>
      <c r="B757" s="169" t="s">
        <v>2654</v>
      </c>
      <c r="C757" s="164" t="s">
        <v>3753</v>
      </c>
      <c r="D757" s="164" t="s">
        <v>3939</v>
      </c>
      <c r="E757" s="33"/>
      <c r="F757" s="33"/>
      <c r="G757" s="33"/>
      <c r="H757" s="33" t="str">
        <f>IFERROR(__xludf.DUMMYFUNCTION("""COMPUTED_VALUE"""),"Школа 1384")</f>
        <v>Школа 1384</v>
      </c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168" t="s">
        <v>32</v>
      </c>
      <c r="B758" s="169" t="s">
        <v>2656</v>
      </c>
      <c r="C758" s="164" t="s">
        <v>3441</v>
      </c>
      <c r="D758" s="164" t="s">
        <v>3616</v>
      </c>
      <c r="E758" s="33"/>
      <c r="F758" s="33"/>
      <c r="G758" s="33"/>
      <c r="H758" s="33" t="str">
        <f>IFERROR(__xludf.DUMMYFUNCTION("""COMPUTED_VALUE"""),"Школа 1387")</f>
        <v>Школа 1387</v>
      </c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168" t="s">
        <v>32</v>
      </c>
      <c r="B759" s="169" t="s">
        <v>2658</v>
      </c>
      <c r="C759" s="164" t="s">
        <v>3401</v>
      </c>
      <c r="D759" s="164" t="s">
        <v>3616</v>
      </c>
      <c r="E759" s="33"/>
      <c r="F759" s="33"/>
      <c r="G759" s="33"/>
      <c r="H759" s="33" t="str">
        <f>IFERROR(__xludf.DUMMYFUNCTION("""COMPUTED_VALUE"""),"Школа 1391")</f>
        <v>Школа 1391</v>
      </c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168" t="s">
        <v>32</v>
      </c>
      <c r="B760" s="169" t="s">
        <v>2660</v>
      </c>
      <c r="C760" s="164" t="s">
        <v>3329</v>
      </c>
      <c r="D760" s="164" t="s">
        <v>3616</v>
      </c>
      <c r="E760" s="33"/>
      <c r="F760" s="33"/>
      <c r="G760" s="33"/>
      <c r="H760" s="33" t="str">
        <f>IFERROR(__xludf.DUMMYFUNCTION("""COMPUTED_VALUE"""),"Школа 1392")</f>
        <v>Школа 1392</v>
      </c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>
      <c r="A761" s="168" t="s">
        <v>32</v>
      </c>
      <c r="B761" s="169" t="s">
        <v>2662</v>
      </c>
      <c r="C761" s="164" t="s">
        <v>3474</v>
      </c>
      <c r="D761" s="164" t="s">
        <v>3616</v>
      </c>
      <c r="E761" s="33"/>
      <c r="F761" s="33"/>
      <c r="G761" s="33"/>
      <c r="H761" s="33" t="str">
        <f>IFERROR(__xludf.DUMMYFUNCTION("""COMPUTED_VALUE"""),"Школа 1400")</f>
        <v>Школа 1400</v>
      </c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168" t="s">
        <v>32</v>
      </c>
      <c r="B762" s="169" t="s">
        <v>2664</v>
      </c>
      <c r="C762" s="164" t="s">
        <v>3631</v>
      </c>
      <c r="D762" s="164" t="s">
        <v>3616</v>
      </c>
      <c r="E762" s="33"/>
      <c r="F762" s="33"/>
      <c r="G762" s="33"/>
      <c r="H762" s="33" t="str">
        <f>IFERROR(__xludf.DUMMYFUNCTION("""COMPUTED_VALUE"""),"Школа 1409")</f>
        <v>Школа 1409</v>
      </c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>
      <c r="A763" s="168" t="s">
        <v>32</v>
      </c>
      <c r="B763" s="169" t="s">
        <v>2666</v>
      </c>
      <c r="C763" s="164" t="s">
        <v>3632</v>
      </c>
      <c r="D763" s="164" t="s">
        <v>3616</v>
      </c>
      <c r="E763" s="33"/>
      <c r="F763" s="33"/>
      <c r="G763" s="33"/>
      <c r="H763" s="33" t="str">
        <f>IFERROR(__xludf.DUMMYFUNCTION("""COMPUTED_VALUE"""),"Школа 1420")</f>
        <v>Школа 1420</v>
      </c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>
      <c r="A764" s="168" t="s">
        <v>32</v>
      </c>
      <c r="B764" s="169" t="s">
        <v>2668</v>
      </c>
      <c r="C764" s="164" t="s">
        <v>3330</v>
      </c>
      <c r="D764" s="164" t="s">
        <v>3616</v>
      </c>
      <c r="E764" s="33"/>
      <c r="F764" s="33"/>
      <c r="G764" s="33"/>
      <c r="H764" s="33" t="str">
        <f>IFERROR(__xludf.DUMMYFUNCTION("""COMPUTED_VALUE"""),"Школа 1430")</f>
        <v>Школа 1430</v>
      </c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>
      <c r="A765" s="168" t="s">
        <v>32</v>
      </c>
      <c r="B765" s="169" t="s">
        <v>2671</v>
      </c>
      <c r="C765" s="164" t="s">
        <v>3633</v>
      </c>
      <c r="D765" s="164" t="s">
        <v>3616</v>
      </c>
      <c r="E765" s="33"/>
      <c r="F765" s="33"/>
      <c r="G765" s="33"/>
      <c r="H765" s="33" t="str">
        <f>IFERROR(__xludf.DUMMYFUNCTION("""COMPUTED_VALUE"""),"Школа 1434")</f>
        <v>Школа 1434</v>
      </c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>
      <c r="A766" s="168" t="s">
        <v>32</v>
      </c>
      <c r="B766" s="169" t="s">
        <v>2673</v>
      </c>
      <c r="C766" s="164" t="s">
        <v>3695</v>
      </c>
      <c r="D766" s="164" t="s">
        <v>3616</v>
      </c>
      <c r="E766" s="33"/>
      <c r="F766" s="33"/>
      <c r="G766" s="33"/>
      <c r="H766" s="33" t="str">
        <f>IFERROR(__xludf.DUMMYFUNCTION("""COMPUTED_VALUE"""),"Школа 1440")</f>
        <v>Школа 1440</v>
      </c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168" t="s">
        <v>32</v>
      </c>
      <c r="B767" s="169" t="s">
        <v>2676</v>
      </c>
      <c r="C767" s="164" t="s">
        <v>3754</v>
      </c>
      <c r="D767" s="164" t="s">
        <v>3616</v>
      </c>
      <c r="E767" s="33"/>
      <c r="F767" s="33"/>
      <c r="G767" s="33"/>
      <c r="H767" s="33" t="str">
        <f>IFERROR(__xludf.DUMMYFUNCTION("""COMPUTED_VALUE"""),"Школа 1448")</f>
        <v>Школа 1448</v>
      </c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168" t="s">
        <v>32</v>
      </c>
      <c r="B768" s="169" t="s">
        <v>2678</v>
      </c>
      <c r="C768" s="164" t="s">
        <v>4492</v>
      </c>
      <c r="D768" s="164" t="s">
        <v>3616</v>
      </c>
      <c r="E768" s="33"/>
      <c r="F768" s="33"/>
      <c r="G768" s="33"/>
      <c r="H768" s="33" t="str">
        <f>IFERROR(__xludf.DUMMYFUNCTION("""COMPUTED_VALUE"""),"Школа 1450")</f>
        <v>Школа 1450</v>
      </c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>
      <c r="A769" s="168" t="s">
        <v>32</v>
      </c>
      <c r="B769" s="169" t="s">
        <v>2680</v>
      </c>
      <c r="C769" s="164" t="s">
        <v>3791</v>
      </c>
      <c r="D769" s="164" t="s">
        <v>3616</v>
      </c>
      <c r="E769" s="33"/>
      <c r="F769" s="33"/>
      <c r="G769" s="33"/>
      <c r="H769" s="33" t="str">
        <f>IFERROR(__xludf.DUMMYFUNCTION("""COMPUTED_VALUE"""),"Школа 1466")</f>
        <v>Школа 1466</v>
      </c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>
      <c r="A770" s="168" t="s">
        <v>32</v>
      </c>
      <c r="B770" s="169" t="s">
        <v>2683</v>
      </c>
      <c r="C770" s="164" t="s">
        <v>3696</v>
      </c>
      <c r="D770" s="164" t="s">
        <v>3616</v>
      </c>
      <c r="E770" s="33"/>
      <c r="F770" s="33"/>
      <c r="G770" s="33"/>
      <c r="H770" s="33" t="str">
        <f>IFERROR(__xludf.DUMMYFUNCTION("""COMPUTED_VALUE"""),"Школа 1467")</f>
        <v>Школа 1467</v>
      </c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168" t="s">
        <v>32</v>
      </c>
      <c r="B771" s="169" t="s">
        <v>2686</v>
      </c>
      <c r="C771" s="164" t="s">
        <v>3403</v>
      </c>
      <c r="D771" s="164" t="s">
        <v>3935</v>
      </c>
      <c r="E771" s="33"/>
      <c r="F771" s="33"/>
      <c r="G771" s="33"/>
      <c r="H771" s="33" t="str">
        <f>IFERROR(__xludf.DUMMYFUNCTION("""COMPUTED_VALUE"""),"Школа 1468")</f>
        <v>Школа 1468</v>
      </c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168" t="s">
        <v>32</v>
      </c>
      <c r="B772" s="169" t="s">
        <v>2688</v>
      </c>
      <c r="C772" s="164" t="s">
        <v>3635</v>
      </c>
      <c r="D772" s="164" t="s">
        <v>3616</v>
      </c>
      <c r="E772" s="33"/>
      <c r="F772" s="33"/>
      <c r="G772" s="33"/>
      <c r="H772" s="33" t="str">
        <f>IFERROR(__xludf.DUMMYFUNCTION("""COMPUTED_VALUE"""),"Школа 1474")</f>
        <v>Школа 1474</v>
      </c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168" t="s">
        <v>32</v>
      </c>
      <c r="B773" s="169" t="s">
        <v>2691</v>
      </c>
      <c r="C773" s="164" t="s">
        <v>3404</v>
      </c>
      <c r="D773" s="164" t="s">
        <v>3616</v>
      </c>
      <c r="E773" s="33"/>
      <c r="F773" s="33"/>
      <c r="G773" s="33"/>
      <c r="H773" s="33" t="str">
        <f>IFERROR(__xludf.DUMMYFUNCTION("""COMPUTED_VALUE"""),"Школа 1494")</f>
        <v>Школа 1494</v>
      </c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168" t="s">
        <v>32</v>
      </c>
      <c r="B774" s="169" t="s">
        <v>2693</v>
      </c>
      <c r="C774" s="164" t="s">
        <v>3348</v>
      </c>
      <c r="D774" s="164" t="s">
        <v>3616</v>
      </c>
      <c r="E774" s="33"/>
      <c r="F774" s="33"/>
      <c r="G774" s="33"/>
      <c r="H774" s="33" t="str">
        <f>IFERROR(__xludf.DUMMYFUNCTION("""COMPUTED_VALUE"""),"Школа 1498")</f>
        <v>Школа 1498</v>
      </c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>
      <c r="A775" s="168" t="s">
        <v>32</v>
      </c>
      <c r="B775" s="169" t="s">
        <v>2695</v>
      </c>
      <c r="C775" s="164" t="s">
        <v>3331</v>
      </c>
      <c r="D775" s="164" t="s">
        <v>3616</v>
      </c>
      <c r="E775" s="33"/>
      <c r="F775" s="33"/>
      <c r="G775" s="33"/>
      <c r="H775" s="33" t="str">
        <f>IFERROR(__xludf.DUMMYFUNCTION("""COMPUTED_VALUE"""),"Школа 1500")</f>
        <v>Школа 1500</v>
      </c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168" t="s">
        <v>32</v>
      </c>
      <c r="B776" s="169" t="s">
        <v>2697</v>
      </c>
      <c r="C776" s="164" t="s">
        <v>3636</v>
      </c>
      <c r="D776" s="164" t="s">
        <v>3616</v>
      </c>
      <c r="E776" s="33"/>
      <c r="F776" s="33"/>
      <c r="G776" s="33"/>
      <c r="H776" s="33" t="str">
        <f>IFERROR(__xludf.DUMMYFUNCTION("""COMPUTED_VALUE"""),"Школа 1501")</f>
        <v>Школа 1501</v>
      </c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168" t="s">
        <v>32</v>
      </c>
      <c r="B777" s="169" t="s">
        <v>2699</v>
      </c>
      <c r="C777" s="164" t="s">
        <v>3638</v>
      </c>
      <c r="D777" s="164" t="s">
        <v>3616</v>
      </c>
      <c r="E777" s="33"/>
      <c r="F777" s="33"/>
      <c r="G777" s="33"/>
      <c r="H777" s="33" t="str">
        <f>IFERROR(__xludf.DUMMYFUNCTION("""COMPUTED_VALUE"""),"Школа 1506")</f>
        <v>Школа 1506</v>
      </c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>
      <c r="A778" s="168" t="s">
        <v>32</v>
      </c>
      <c r="B778" s="169" t="s">
        <v>2701</v>
      </c>
      <c r="C778" s="164" t="s">
        <v>3405</v>
      </c>
      <c r="D778" s="164" t="s">
        <v>3616</v>
      </c>
      <c r="E778" s="33"/>
      <c r="F778" s="33"/>
      <c r="G778" s="33"/>
      <c r="H778" s="33" t="str">
        <f>IFERROR(__xludf.DUMMYFUNCTION("""COMPUTED_VALUE"""),"Школа 1508")</f>
        <v>Школа 1508</v>
      </c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168" t="s">
        <v>32</v>
      </c>
      <c r="B779" s="169" t="s">
        <v>2703</v>
      </c>
      <c r="C779" s="164" t="s">
        <v>3700</v>
      </c>
      <c r="D779" s="164" t="s">
        <v>3939</v>
      </c>
      <c r="E779" s="33"/>
      <c r="F779" s="33"/>
      <c r="G779" s="33"/>
      <c r="H779" s="33" t="str">
        <f>IFERROR(__xludf.DUMMYFUNCTION("""COMPUTED_VALUE"""),"Школа 1514")</f>
        <v>Школа 1514</v>
      </c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168" t="s">
        <v>32</v>
      </c>
      <c r="B780" s="169" t="s">
        <v>2706</v>
      </c>
      <c r="C780" s="164" t="s">
        <v>3701</v>
      </c>
      <c r="D780" s="164" t="s">
        <v>3939</v>
      </c>
      <c r="E780" s="33"/>
      <c r="F780" s="33"/>
      <c r="G780" s="33"/>
      <c r="H780" s="33" t="str">
        <f>IFERROR(__xludf.DUMMYFUNCTION("""COMPUTED_VALUE"""),"Школа 1516")</f>
        <v>Школа 1516</v>
      </c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>
      <c r="A781" s="168" t="s">
        <v>32</v>
      </c>
      <c r="B781" s="169" t="s">
        <v>2708</v>
      </c>
      <c r="C781" s="164" t="s">
        <v>3640</v>
      </c>
      <c r="D781" s="164" t="s">
        <v>3616</v>
      </c>
      <c r="E781" s="33"/>
      <c r="F781" s="33"/>
      <c r="G781" s="33"/>
      <c r="H781" s="33" t="str">
        <f>IFERROR(__xludf.DUMMYFUNCTION("""COMPUTED_VALUE"""),"Школа 1517")</f>
        <v>Школа 1517</v>
      </c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168" t="s">
        <v>32</v>
      </c>
      <c r="B782" s="169" t="s">
        <v>2711</v>
      </c>
      <c r="C782" s="164" t="s">
        <v>3758</v>
      </c>
      <c r="D782" s="164" t="s">
        <v>3616</v>
      </c>
      <c r="E782" s="33"/>
      <c r="F782" s="33"/>
      <c r="G782" s="33"/>
      <c r="H782" s="33" t="str">
        <f>IFERROR(__xludf.DUMMYFUNCTION("""COMPUTED_VALUE"""),"Школа 1518")</f>
        <v>Школа 1518</v>
      </c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168" t="s">
        <v>32</v>
      </c>
      <c r="B783" s="169" t="s">
        <v>2714</v>
      </c>
      <c r="C783" s="164" t="s">
        <v>3702</v>
      </c>
      <c r="D783" s="164" t="s">
        <v>3616</v>
      </c>
      <c r="E783" s="33"/>
      <c r="F783" s="33"/>
      <c r="G783" s="33"/>
      <c r="H783" s="33" t="str">
        <f>IFERROR(__xludf.DUMMYFUNCTION("""COMPUTED_VALUE"""),"Школа 1519")</f>
        <v>Школа 1519</v>
      </c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>
      <c r="A784" s="168" t="s">
        <v>32</v>
      </c>
      <c r="B784" s="169" t="s">
        <v>2717</v>
      </c>
      <c r="C784" s="164" t="s">
        <v>3406</v>
      </c>
      <c r="D784" s="164" t="s">
        <v>3616</v>
      </c>
      <c r="E784" s="33"/>
      <c r="F784" s="33"/>
      <c r="G784" s="33"/>
      <c r="H784" s="33" t="str">
        <f>IFERROR(__xludf.DUMMYFUNCTION("""COMPUTED_VALUE"""),"Школа 1520")</f>
        <v>Школа 1520</v>
      </c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168" t="s">
        <v>32</v>
      </c>
      <c r="B785" s="169" t="s">
        <v>2719</v>
      </c>
      <c r="C785" s="164" t="s">
        <v>3703</v>
      </c>
      <c r="D785" s="164" t="s">
        <v>3935</v>
      </c>
      <c r="E785" s="33"/>
      <c r="F785" s="33"/>
      <c r="G785" s="33"/>
      <c r="H785" s="33" t="str">
        <f>IFERROR(__xludf.DUMMYFUNCTION("""COMPUTED_VALUE"""),"Школа 1524")</f>
        <v>Школа 1524</v>
      </c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168" t="s">
        <v>32</v>
      </c>
      <c r="B786" s="169" t="s">
        <v>2720</v>
      </c>
      <c r="C786" s="164" t="s">
        <v>3641</v>
      </c>
      <c r="D786" s="164" t="s">
        <v>3616</v>
      </c>
      <c r="E786" s="33"/>
      <c r="F786" s="33"/>
      <c r="G786" s="33"/>
      <c r="H786" s="33" t="str">
        <f>IFERROR(__xludf.DUMMYFUNCTION("""COMPUTED_VALUE"""),"Школа 1527")</f>
        <v>Школа 1527</v>
      </c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168" t="s">
        <v>32</v>
      </c>
      <c r="B787" s="169" t="s">
        <v>2722</v>
      </c>
      <c r="C787" s="164" t="s">
        <v>3704</v>
      </c>
      <c r="D787" s="164" t="s">
        <v>3616</v>
      </c>
      <c r="E787" s="33"/>
      <c r="F787" s="33"/>
      <c r="G787" s="33"/>
      <c r="H787" s="33" t="str">
        <f>IFERROR(__xludf.DUMMYFUNCTION("""COMPUTED_VALUE"""),"Школа 1530")</f>
        <v>Школа 1530</v>
      </c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168" t="s">
        <v>32</v>
      </c>
      <c r="B788" s="169" t="s">
        <v>2724</v>
      </c>
      <c r="C788" s="164" t="s">
        <v>3928</v>
      </c>
      <c r="D788" s="164" t="s">
        <v>3935</v>
      </c>
      <c r="E788" s="33"/>
      <c r="F788" s="33"/>
      <c r="G788" s="33"/>
      <c r="H788" s="33" t="str">
        <f>IFERROR(__xludf.DUMMYFUNCTION("""COMPUTED_VALUE"""),"Школа 1531")</f>
        <v>Школа 1531</v>
      </c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>
      <c r="A789" s="168" t="s">
        <v>32</v>
      </c>
      <c r="B789" s="169" t="s">
        <v>2727</v>
      </c>
      <c r="C789" s="164" t="s">
        <v>3705</v>
      </c>
      <c r="D789" s="164" t="s">
        <v>3616</v>
      </c>
      <c r="E789" s="33"/>
      <c r="F789" s="33"/>
      <c r="G789" s="33"/>
      <c r="H789" s="33" t="str">
        <f>IFERROR(__xludf.DUMMYFUNCTION("""COMPUTED_VALUE"""),"Школа 1532")</f>
        <v>Школа 1532</v>
      </c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>
      <c r="A790" s="168" t="s">
        <v>32</v>
      </c>
      <c r="B790" s="169" t="s">
        <v>2729</v>
      </c>
      <c r="C790" s="164" t="s">
        <v>3643</v>
      </c>
      <c r="D790" s="164" t="s">
        <v>3935</v>
      </c>
      <c r="E790" s="33"/>
      <c r="F790" s="33"/>
      <c r="G790" s="33"/>
      <c r="H790" s="33" t="str">
        <f>IFERROR(__xludf.DUMMYFUNCTION("""COMPUTED_VALUE"""),"Школа 1534")</f>
        <v>Школа 1534</v>
      </c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>
      <c r="A791" s="168" t="s">
        <v>32</v>
      </c>
      <c r="B791" s="169" t="s">
        <v>2731</v>
      </c>
      <c r="C791" s="164" t="s">
        <v>3644</v>
      </c>
      <c r="D791" s="164" t="s">
        <v>3616</v>
      </c>
      <c r="E791" s="33"/>
      <c r="F791" s="33"/>
      <c r="G791" s="33"/>
      <c r="H791" s="33" t="str">
        <f>IFERROR(__xludf.DUMMYFUNCTION("""COMPUTED_VALUE"""),"Школа 1535")</f>
        <v>Школа 1535</v>
      </c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>
      <c r="A792" s="168" t="s">
        <v>32</v>
      </c>
      <c r="B792" s="169" t="s">
        <v>2733</v>
      </c>
      <c r="C792" s="164" t="s">
        <v>3706</v>
      </c>
      <c r="D792" s="164" t="s">
        <v>3616</v>
      </c>
      <c r="E792" s="33"/>
      <c r="F792" s="33"/>
      <c r="G792" s="33"/>
      <c r="H792" s="33" t="str">
        <f>IFERROR(__xludf.DUMMYFUNCTION("""COMPUTED_VALUE"""),"Школа 1537")</f>
        <v>Школа 1537</v>
      </c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>
      <c r="A793" s="168" t="s">
        <v>32</v>
      </c>
      <c r="B793" s="169" t="s">
        <v>2735</v>
      </c>
      <c r="C793" s="164" t="s">
        <v>3645</v>
      </c>
      <c r="D793" s="164" t="s">
        <v>3616</v>
      </c>
      <c r="E793" s="33"/>
      <c r="F793" s="33"/>
      <c r="G793" s="33"/>
      <c r="H793" s="33" t="str">
        <f>IFERROR(__xludf.DUMMYFUNCTION("""COMPUTED_VALUE"""),"Школа 1538")</f>
        <v>Школа 1538</v>
      </c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>
      <c r="A794" s="168" t="s">
        <v>32</v>
      </c>
      <c r="B794" s="169" t="s">
        <v>2738</v>
      </c>
      <c r="C794" s="164" t="s">
        <v>3446</v>
      </c>
      <c r="D794" s="164" t="s">
        <v>3616</v>
      </c>
      <c r="E794" s="33"/>
      <c r="F794" s="33"/>
      <c r="G794" s="33"/>
      <c r="H794" s="33" t="str">
        <f>IFERROR(__xludf.DUMMYFUNCTION("""COMPUTED_VALUE"""),"Школа 1539")</f>
        <v>Школа 1539</v>
      </c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>
      <c r="A795" s="168" t="s">
        <v>32</v>
      </c>
      <c r="B795" s="169" t="s">
        <v>2740</v>
      </c>
      <c r="C795" s="164" t="s">
        <v>3407</v>
      </c>
      <c r="D795" s="164" t="s">
        <v>3616</v>
      </c>
      <c r="E795" s="33"/>
      <c r="F795" s="33"/>
      <c r="G795" s="33"/>
      <c r="H795" s="33" t="str">
        <f>IFERROR(__xludf.DUMMYFUNCTION("""COMPUTED_VALUE"""),"Школа 1541")</f>
        <v>Школа 1541</v>
      </c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>
      <c r="A796" s="168" t="s">
        <v>32</v>
      </c>
      <c r="B796" s="169" t="s">
        <v>2742</v>
      </c>
      <c r="C796" s="164" t="s">
        <v>3447</v>
      </c>
      <c r="D796" s="164" t="s">
        <v>3616</v>
      </c>
      <c r="E796" s="33"/>
      <c r="F796" s="33"/>
      <c r="G796" s="33"/>
      <c r="H796" s="33" t="str">
        <f>IFERROR(__xludf.DUMMYFUNCTION("""COMPUTED_VALUE"""),"Школа 1542")</f>
        <v>Школа 1542</v>
      </c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>
      <c r="A797" s="168" t="s">
        <v>32</v>
      </c>
      <c r="B797" s="169" t="s">
        <v>2744</v>
      </c>
      <c r="C797" s="164" t="s">
        <v>3479</v>
      </c>
      <c r="D797" s="164" t="s">
        <v>3935</v>
      </c>
      <c r="E797" s="33"/>
      <c r="F797" s="33"/>
      <c r="G797" s="33"/>
      <c r="H797" s="33" t="str">
        <f>IFERROR(__xludf.DUMMYFUNCTION("""COMPUTED_VALUE"""),"Школа 1544")</f>
        <v>Школа 1544</v>
      </c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>
      <c r="A798" s="168" t="s">
        <v>32</v>
      </c>
      <c r="B798" s="169" t="s">
        <v>2746</v>
      </c>
      <c r="C798" s="164" t="s">
        <v>3707</v>
      </c>
      <c r="D798" s="164" t="s">
        <v>3616</v>
      </c>
      <c r="E798" s="33"/>
      <c r="F798" s="33"/>
      <c r="G798" s="33"/>
      <c r="H798" s="33" t="str">
        <f>IFERROR(__xludf.DUMMYFUNCTION("""COMPUTED_VALUE"""),"Школа 1547")</f>
        <v>Школа 1547</v>
      </c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168" t="s">
        <v>32</v>
      </c>
      <c r="B799" s="169" t="s">
        <v>2748</v>
      </c>
      <c r="C799" s="164" t="s">
        <v>3513</v>
      </c>
      <c r="D799" s="164" t="s">
        <v>3939</v>
      </c>
      <c r="E799" s="33"/>
      <c r="F799" s="33"/>
      <c r="G799" s="33"/>
      <c r="H799" s="33" t="str">
        <f>IFERROR(__xludf.DUMMYFUNCTION("""COMPUTED_VALUE"""),"Школа 1551")</f>
        <v>Школа 1551</v>
      </c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168" t="s">
        <v>32</v>
      </c>
      <c r="B800" s="169" t="s">
        <v>2750</v>
      </c>
      <c r="C800" s="164" t="s">
        <v>3448</v>
      </c>
      <c r="D800" s="164" t="s">
        <v>3616</v>
      </c>
      <c r="E800" s="33"/>
      <c r="F800" s="33"/>
      <c r="G800" s="33"/>
      <c r="H800" s="33" t="str">
        <f>IFERROR(__xludf.DUMMYFUNCTION("""COMPUTED_VALUE"""),"Школа 1552")</f>
        <v>Школа 1552</v>
      </c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168" t="s">
        <v>32</v>
      </c>
      <c r="B801" s="169" t="s">
        <v>2752</v>
      </c>
      <c r="C801" s="164" t="s">
        <v>3646</v>
      </c>
      <c r="D801" s="164" t="s">
        <v>3616</v>
      </c>
      <c r="E801" s="33"/>
      <c r="F801" s="33"/>
      <c r="G801" s="33"/>
      <c r="H801" s="33" t="str">
        <f>IFERROR(__xludf.DUMMYFUNCTION("""COMPUTED_VALUE"""),"Школа 1553")</f>
        <v>Школа 1553</v>
      </c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168" t="s">
        <v>32</v>
      </c>
      <c r="B802" s="169" t="s">
        <v>2754</v>
      </c>
      <c r="C802" s="164" t="s">
        <v>3647</v>
      </c>
      <c r="D802" s="164" t="s">
        <v>3616</v>
      </c>
      <c r="E802" s="33"/>
      <c r="F802" s="33"/>
      <c r="G802" s="33"/>
      <c r="H802" s="33" t="str">
        <f>IFERROR(__xludf.DUMMYFUNCTION("""COMPUTED_VALUE"""),"Школа 1557")</f>
        <v>Школа 1557</v>
      </c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>
      <c r="A803" s="168" t="s">
        <v>32</v>
      </c>
      <c r="B803" s="169" t="s">
        <v>2756</v>
      </c>
      <c r="C803" s="164" t="s">
        <v>3648</v>
      </c>
      <c r="D803" s="164" t="s">
        <v>3616</v>
      </c>
      <c r="E803" s="33"/>
      <c r="F803" s="33"/>
      <c r="G803" s="33"/>
      <c r="H803" s="33" t="str">
        <f>IFERROR(__xludf.DUMMYFUNCTION("""COMPUTED_VALUE"""),"Школа 1560")</f>
        <v>Школа 1560</v>
      </c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>
      <c r="A804" s="168" t="s">
        <v>32</v>
      </c>
      <c r="B804" s="169" t="s">
        <v>2757</v>
      </c>
      <c r="C804" s="164" t="s">
        <v>3351</v>
      </c>
      <c r="D804" s="164" t="s">
        <v>3616</v>
      </c>
      <c r="E804" s="33"/>
      <c r="F804" s="33"/>
      <c r="G804" s="33"/>
      <c r="H804" s="33" t="str">
        <f>IFERROR(__xludf.DUMMYFUNCTION("""COMPUTED_VALUE"""),"Школа 1566")</f>
        <v>Школа 1566</v>
      </c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>
      <c r="A805" s="168" t="s">
        <v>32</v>
      </c>
      <c r="B805" s="169" t="s">
        <v>2759</v>
      </c>
      <c r="C805" s="164" t="s">
        <v>3409</v>
      </c>
      <c r="D805" s="164" t="s">
        <v>3616</v>
      </c>
      <c r="E805" s="33"/>
      <c r="F805" s="33"/>
      <c r="G805" s="33"/>
      <c r="H805" s="33" t="str">
        <f>IFERROR(__xludf.DUMMYFUNCTION("""COMPUTED_VALUE"""),"Школа 1569")</f>
        <v>Школа 1569</v>
      </c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168" t="s">
        <v>32</v>
      </c>
      <c r="B806" s="169" t="s">
        <v>2762</v>
      </c>
      <c r="C806" s="164" t="s">
        <v>3410</v>
      </c>
      <c r="D806" s="164" t="s">
        <v>3616</v>
      </c>
      <c r="E806" s="33"/>
      <c r="F806" s="33"/>
      <c r="G806" s="33"/>
      <c r="H806" s="33" t="str">
        <f>IFERROR(__xludf.DUMMYFUNCTION("""COMPUTED_VALUE"""),"Школа 1570")</f>
        <v>Школа 1570</v>
      </c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>
      <c r="A807" s="168" t="s">
        <v>32</v>
      </c>
      <c r="B807" s="169" t="s">
        <v>2764</v>
      </c>
      <c r="C807" s="164" t="s">
        <v>3711</v>
      </c>
      <c r="D807" s="164" t="s">
        <v>3616</v>
      </c>
      <c r="E807" s="33"/>
      <c r="F807" s="33"/>
      <c r="G807" s="33"/>
      <c r="H807" s="33" t="str">
        <f>IFERROR(__xludf.DUMMYFUNCTION("""COMPUTED_VALUE"""),"Школа 1575")</f>
        <v>Школа 1575</v>
      </c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>
      <c r="A808" s="168" t="s">
        <v>32</v>
      </c>
      <c r="B808" s="169" t="s">
        <v>2767</v>
      </c>
      <c r="C808" s="164" t="s">
        <v>3518</v>
      </c>
      <c r="D808" s="164" t="s">
        <v>3616</v>
      </c>
      <c r="E808" s="33"/>
      <c r="F808" s="33"/>
      <c r="G808" s="33"/>
      <c r="H808" s="33" t="str">
        <f>IFERROR(__xludf.DUMMYFUNCTION("""COMPUTED_VALUE"""),"Школа 1579")</f>
        <v>Школа 1579</v>
      </c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>
      <c r="A809" s="168" t="s">
        <v>32</v>
      </c>
      <c r="B809" s="169" t="s">
        <v>2769</v>
      </c>
      <c r="C809" s="164" t="s">
        <v>3713</v>
      </c>
      <c r="D809" s="164" t="s">
        <v>3616</v>
      </c>
      <c r="E809" s="33"/>
      <c r="F809" s="33"/>
      <c r="G809" s="33"/>
      <c r="H809" s="33" t="str">
        <f>IFERROR(__xludf.DUMMYFUNCTION("""COMPUTED_VALUE"""),"Школа 1580")</f>
        <v>Школа 1580</v>
      </c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>
      <c r="A810" s="168" t="s">
        <v>32</v>
      </c>
      <c r="B810" s="169" t="s">
        <v>2771</v>
      </c>
      <c r="C810" s="164" t="s">
        <v>3412</v>
      </c>
      <c r="D810" s="164" t="s">
        <v>3616</v>
      </c>
      <c r="E810" s="33"/>
      <c r="F810" s="33"/>
      <c r="G810" s="33"/>
      <c r="H810" s="33" t="str">
        <f>IFERROR(__xludf.DUMMYFUNCTION("""COMPUTED_VALUE"""),"Школа 1582")</f>
        <v>Школа 1582</v>
      </c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>
      <c r="A811" s="168" t="s">
        <v>32</v>
      </c>
      <c r="B811" s="169" t="s">
        <v>2773</v>
      </c>
      <c r="C811" s="164" t="s">
        <v>3651</v>
      </c>
      <c r="D811" s="164" t="s">
        <v>3616</v>
      </c>
      <c r="E811" s="33"/>
      <c r="F811" s="33"/>
      <c r="G811" s="33"/>
      <c r="H811" s="33" t="str">
        <f>IFERROR(__xludf.DUMMYFUNCTION("""COMPUTED_VALUE"""),"Школа 1583")</f>
        <v>Школа 1583</v>
      </c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>
      <c r="A812" s="168" t="s">
        <v>32</v>
      </c>
      <c r="B812" s="169" t="s">
        <v>2776</v>
      </c>
      <c r="C812" s="164" t="s">
        <v>3652</v>
      </c>
      <c r="D812" s="164" t="s">
        <v>3616</v>
      </c>
      <c r="E812" s="33"/>
      <c r="F812" s="33"/>
      <c r="G812" s="33"/>
      <c r="H812" s="33" t="str">
        <f>IFERROR(__xludf.DUMMYFUNCTION("""COMPUTED_VALUE"""),"Школа 1584")</f>
        <v>Школа 1584</v>
      </c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>
      <c r="A813" s="168" t="s">
        <v>32</v>
      </c>
      <c r="B813" s="169" t="s">
        <v>2778</v>
      </c>
      <c r="C813" s="164" t="s">
        <v>3765</v>
      </c>
      <c r="D813" s="164" t="s">
        <v>3616</v>
      </c>
      <c r="E813" s="33"/>
      <c r="F813" s="33"/>
      <c r="G813" s="33"/>
      <c r="H813" s="33" t="str">
        <f>IFERROR(__xludf.DUMMYFUNCTION("""COMPUTED_VALUE"""),"Школа 1589")</f>
        <v>Школа 1589</v>
      </c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>
      <c r="A814" s="168" t="s">
        <v>32</v>
      </c>
      <c r="B814" s="169" t="s">
        <v>2780</v>
      </c>
      <c r="C814" s="164" t="s">
        <v>3781</v>
      </c>
      <c r="D814" s="164" t="s">
        <v>3616</v>
      </c>
      <c r="E814" s="33"/>
      <c r="F814" s="33"/>
      <c r="G814" s="33"/>
      <c r="H814" s="33" t="str">
        <f>IFERROR(__xludf.DUMMYFUNCTION("""COMPUTED_VALUE"""),"Школа 1590")</f>
        <v>Школа 1590</v>
      </c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>
      <c r="A815" s="168" t="s">
        <v>32</v>
      </c>
      <c r="B815" s="169" t="s">
        <v>2783</v>
      </c>
      <c r="C815" s="164" t="s">
        <v>3715</v>
      </c>
      <c r="D815" s="164" t="s">
        <v>3616</v>
      </c>
      <c r="E815" s="33"/>
      <c r="F815" s="33"/>
      <c r="G815" s="33"/>
      <c r="H815" s="33" t="str">
        <f>IFERROR(__xludf.DUMMYFUNCTION("""COMPUTED_VALUE"""),"Школа 1591")</f>
        <v>Школа 1591</v>
      </c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168" t="s">
        <v>32</v>
      </c>
      <c r="B816" s="169" t="s">
        <v>2785</v>
      </c>
      <c r="C816" s="164" t="s">
        <v>3480</v>
      </c>
      <c r="D816" s="164" t="s">
        <v>3935</v>
      </c>
      <c r="E816" s="33"/>
      <c r="F816" s="33"/>
      <c r="G816" s="33"/>
      <c r="H816" s="33" t="str">
        <f>IFERROR(__xludf.DUMMYFUNCTION("""COMPUTED_VALUE"""),"Школа 1601")</f>
        <v>Школа 1601</v>
      </c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>
      <c r="A817" s="168" t="s">
        <v>32</v>
      </c>
      <c r="B817" s="169" t="s">
        <v>2788</v>
      </c>
      <c r="C817" s="164" t="s">
        <v>4302</v>
      </c>
      <c r="D817" s="164" t="s">
        <v>3935</v>
      </c>
      <c r="E817" s="33"/>
      <c r="F817" s="33"/>
      <c r="G817" s="33"/>
      <c r="H817" s="33" t="str">
        <f>IFERROR(__xludf.DUMMYFUNCTION("""COMPUTED_VALUE"""),"Школа 1619")</f>
        <v>Школа 1619</v>
      </c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168" t="s">
        <v>32</v>
      </c>
      <c r="B818" s="169" t="s">
        <v>2790</v>
      </c>
      <c r="C818" s="164" t="s">
        <v>3653</v>
      </c>
      <c r="D818" s="164" t="s">
        <v>3616</v>
      </c>
      <c r="E818" s="33"/>
      <c r="F818" s="33"/>
      <c r="G818" s="33"/>
      <c r="H818" s="33" t="str">
        <f>IFERROR(__xludf.DUMMYFUNCTION("""COMPUTED_VALUE"""),"Школа 1636")</f>
        <v>Школа 1636</v>
      </c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168" t="s">
        <v>32</v>
      </c>
      <c r="B819" s="169" t="s">
        <v>2792</v>
      </c>
      <c r="C819" s="164" t="s">
        <v>4078</v>
      </c>
      <c r="D819" s="164" t="s">
        <v>3616</v>
      </c>
      <c r="E819" s="33"/>
      <c r="F819" s="33"/>
      <c r="G819" s="33"/>
      <c r="H819" s="33" t="str">
        <f>IFERROR(__xludf.DUMMYFUNCTION("""COMPUTED_VALUE"""),"Школа 1747")</f>
        <v>Школа 1747</v>
      </c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>
      <c r="A820" s="168" t="s">
        <v>32</v>
      </c>
      <c r="B820" s="169" t="s">
        <v>2794</v>
      </c>
      <c r="C820" s="164" t="s">
        <v>3929</v>
      </c>
      <c r="D820" s="164" t="s">
        <v>3935</v>
      </c>
      <c r="E820" s="33"/>
      <c r="F820" s="33"/>
      <c r="G820" s="33"/>
      <c r="H820" s="33" t="str">
        <f>IFERROR(__xludf.DUMMYFUNCTION("""COMPUTED_VALUE"""),"Школа 1786")</f>
        <v>Школа 1786</v>
      </c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>
      <c r="A821" s="168" t="s">
        <v>32</v>
      </c>
      <c r="B821" s="169" t="s">
        <v>2797</v>
      </c>
      <c r="C821" s="164" t="s">
        <v>3334</v>
      </c>
      <c r="D821" s="164" t="s">
        <v>3616</v>
      </c>
      <c r="E821" s="33"/>
      <c r="F821" s="33"/>
      <c r="G821" s="33"/>
      <c r="H821" s="33" t="str">
        <f>IFERROR(__xludf.DUMMYFUNCTION("""COMPUTED_VALUE"""),"Школа 1788")</f>
        <v>Школа 1788</v>
      </c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>
      <c r="A822" s="168" t="s">
        <v>32</v>
      </c>
      <c r="B822" s="169" t="s">
        <v>2799</v>
      </c>
      <c r="C822" s="164" t="s">
        <v>3458</v>
      </c>
      <c r="D822" s="164" t="s">
        <v>3616</v>
      </c>
      <c r="E822" s="33"/>
      <c r="F822" s="33"/>
      <c r="G822" s="33"/>
      <c r="H822" s="33" t="str">
        <f>IFERROR(__xludf.DUMMYFUNCTION("""COMPUTED_VALUE"""),"Школа 1793")</f>
        <v>Школа 1793</v>
      </c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>
      <c r="A823" s="168" t="s">
        <v>32</v>
      </c>
      <c r="B823" s="169" t="s">
        <v>2802</v>
      </c>
      <c r="C823" s="164" t="s">
        <v>3573</v>
      </c>
      <c r="D823" s="164" t="s">
        <v>3616</v>
      </c>
      <c r="E823" s="33"/>
      <c r="F823" s="33"/>
      <c r="G823" s="33"/>
      <c r="H823" s="33" t="str">
        <f>IFERROR(__xludf.DUMMYFUNCTION("""COMPUTED_VALUE"""),"Школа 1798")</f>
        <v>Школа 1798</v>
      </c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>
      <c r="A824" s="168" t="s">
        <v>32</v>
      </c>
      <c r="B824" s="169" t="s">
        <v>2805</v>
      </c>
      <c r="C824" s="164" t="s">
        <v>3656</v>
      </c>
      <c r="D824" s="164" t="s">
        <v>3616</v>
      </c>
      <c r="E824" s="33"/>
      <c r="F824" s="33"/>
      <c r="G824" s="33"/>
      <c r="H824" s="33" t="str">
        <f>IFERROR(__xludf.DUMMYFUNCTION("""COMPUTED_VALUE"""),"Школа 1799")</f>
        <v>Школа 1799</v>
      </c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168" t="s">
        <v>32</v>
      </c>
      <c r="B825" s="169" t="s">
        <v>2807</v>
      </c>
      <c r="C825" s="164" t="s">
        <v>3657</v>
      </c>
      <c r="D825" s="164" t="s">
        <v>3616</v>
      </c>
      <c r="E825" s="33"/>
      <c r="F825" s="33"/>
      <c r="G825" s="33"/>
      <c r="H825" s="33" t="str">
        <f>IFERROR(__xludf.DUMMYFUNCTION("""COMPUTED_VALUE"""),"Школа 1811")</f>
        <v>Школа 1811</v>
      </c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168" t="s">
        <v>32</v>
      </c>
      <c r="B826" s="169" t="s">
        <v>2809</v>
      </c>
      <c r="C826" s="164" t="s">
        <v>3415</v>
      </c>
      <c r="D826" s="164" t="s">
        <v>3616</v>
      </c>
      <c r="E826" s="33"/>
      <c r="F826" s="33"/>
      <c r="G826" s="33"/>
      <c r="H826" s="33" t="str">
        <f>IFERROR(__xludf.DUMMYFUNCTION("""COMPUTED_VALUE"""),"Школа 1861")</f>
        <v>Школа 1861</v>
      </c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>
      <c r="A827" s="168" t="s">
        <v>32</v>
      </c>
      <c r="B827" s="169" t="s">
        <v>2812</v>
      </c>
      <c r="C827" s="164" t="s">
        <v>3450</v>
      </c>
      <c r="D827" s="164" t="s">
        <v>3616</v>
      </c>
      <c r="E827" s="33"/>
      <c r="F827" s="33"/>
      <c r="G827" s="33"/>
      <c r="H827" s="33" t="str">
        <f>IFERROR(__xludf.DUMMYFUNCTION("""COMPUTED_VALUE"""),"Школа 1862")</f>
        <v>Школа 1862</v>
      </c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>
      <c r="A828" s="168" t="s">
        <v>32</v>
      </c>
      <c r="B828" s="169" t="s">
        <v>2814</v>
      </c>
      <c r="C828" s="164" t="s">
        <v>3416</v>
      </c>
      <c r="D828" s="164" t="s">
        <v>3616</v>
      </c>
      <c r="E828" s="33"/>
      <c r="F828" s="33"/>
      <c r="G828" s="33"/>
      <c r="H828" s="33" t="str">
        <f>IFERROR(__xludf.DUMMYFUNCTION("""COMPUTED_VALUE"""),"Школа 1883")</f>
        <v>Школа 1883</v>
      </c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>
      <c r="A829" s="168" t="s">
        <v>32</v>
      </c>
      <c r="B829" s="169" t="s">
        <v>2817</v>
      </c>
      <c r="C829" s="164" t="s">
        <v>3782</v>
      </c>
      <c r="D829" s="164" t="s">
        <v>3939</v>
      </c>
      <c r="E829" s="33"/>
      <c r="F829" s="33"/>
      <c r="G829" s="33"/>
      <c r="H829" s="33" t="str">
        <f>IFERROR(__xludf.DUMMYFUNCTION("""COMPUTED_VALUE"""),"Школа 1935")</f>
        <v>Школа 1935</v>
      </c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168" t="s">
        <v>32</v>
      </c>
      <c r="B830" s="169" t="s">
        <v>2820</v>
      </c>
      <c r="C830" s="164" t="s">
        <v>3417</v>
      </c>
      <c r="D830" s="164" t="s">
        <v>3616</v>
      </c>
      <c r="E830" s="33"/>
      <c r="F830" s="33"/>
      <c r="G830" s="33"/>
      <c r="H830" s="33" t="str">
        <f>IFERROR(__xludf.DUMMYFUNCTION("""COMPUTED_VALUE"""),"Школа 1944")</f>
        <v>Школа 1944</v>
      </c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>
      <c r="A831" s="168" t="s">
        <v>32</v>
      </c>
      <c r="B831" s="169" t="s">
        <v>2823</v>
      </c>
      <c r="C831" s="164" t="s">
        <v>3418</v>
      </c>
      <c r="D831" s="164" t="s">
        <v>3935</v>
      </c>
      <c r="E831" s="33"/>
      <c r="F831" s="33"/>
      <c r="G831" s="33"/>
      <c r="H831" s="33" t="str">
        <f>IFERROR(__xludf.DUMMYFUNCTION("""COMPUTED_VALUE"""),"Школа 1945")</f>
        <v>Школа 1945</v>
      </c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168" t="s">
        <v>32</v>
      </c>
      <c r="B832" s="169" t="s">
        <v>2825</v>
      </c>
      <c r="C832" s="164" t="s">
        <v>3783</v>
      </c>
      <c r="D832" s="164" t="s">
        <v>3616</v>
      </c>
      <c r="E832" s="33"/>
      <c r="F832" s="33"/>
      <c r="G832" s="33"/>
      <c r="H832" s="33" t="str">
        <f>IFERROR(__xludf.DUMMYFUNCTION("""COMPUTED_VALUE"""),"Школа 1948")</f>
        <v>Школа 1948</v>
      </c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168" t="s">
        <v>32</v>
      </c>
      <c r="B833" s="169" t="s">
        <v>2828</v>
      </c>
      <c r="C833" s="164" t="s">
        <v>3930</v>
      </c>
      <c r="D833" s="164" t="s">
        <v>3616</v>
      </c>
      <c r="E833" s="33"/>
      <c r="F833" s="33"/>
      <c r="G833" s="33"/>
      <c r="H833" s="33" t="str">
        <f>IFERROR(__xludf.DUMMYFUNCTION("""COMPUTED_VALUE"""),"Школа 1985")</f>
        <v>Школа 1985</v>
      </c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168" t="s">
        <v>32</v>
      </c>
      <c r="B834" s="169" t="s">
        <v>2830</v>
      </c>
      <c r="C834" s="164" t="s">
        <v>4493</v>
      </c>
      <c r="D834" s="164" t="s">
        <v>3935</v>
      </c>
      <c r="E834" s="33"/>
      <c r="F834" s="33"/>
      <c r="G834" s="33"/>
      <c r="H834" s="33" t="str">
        <f>IFERROR(__xludf.DUMMYFUNCTION("""COMPUTED_VALUE"""),"Школа 1987")</f>
        <v>Школа 1987</v>
      </c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168" t="s">
        <v>32</v>
      </c>
      <c r="B835" s="169" t="s">
        <v>2832</v>
      </c>
      <c r="C835" s="164" t="s">
        <v>3483</v>
      </c>
      <c r="D835" s="164" t="s">
        <v>3935</v>
      </c>
      <c r="E835" s="33"/>
      <c r="F835" s="33"/>
      <c r="G835" s="33"/>
      <c r="H835" s="33" t="str">
        <f>IFERROR(__xludf.DUMMYFUNCTION("""COMPUTED_VALUE"""),"Школа 1995")</f>
        <v>Школа 1995</v>
      </c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168" t="s">
        <v>32</v>
      </c>
      <c r="B836" s="169" t="s">
        <v>2835</v>
      </c>
      <c r="C836" s="164" t="s">
        <v>3659</v>
      </c>
      <c r="D836" s="164" t="s">
        <v>3616</v>
      </c>
      <c r="E836" s="33"/>
      <c r="F836" s="33"/>
      <c r="G836" s="33"/>
      <c r="H836" s="33" t="str">
        <f>IFERROR(__xludf.DUMMYFUNCTION("""COMPUTED_VALUE"""),"Школа 2005")</f>
        <v>Школа 2005</v>
      </c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168" t="s">
        <v>32</v>
      </c>
      <c r="B837" s="169" t="s">
        <v>2837</v>
      </c>
      <c r="C837" s="164" t="s">
        <v>3421</v>
      </c>
      <c r="D837" s="164" t="s">
        <v>3616</v>
      </c>
      <c r="E837" s="33"/>
      <c r="F837" s="33"/>
      <c r="G837" s="33"/>
      <c r="H837" s="33" t="str">
        <f>IFERROR(__xludf.DUMMYFUNCTION("""COMPUTED_VALUE"""),"Школа 2006")</f>
        <v>Школа 2006</v>
      </c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>
      <c r="A838" s="168" t="s">
        <v>32</v>
      </c>
      <c r="B838" s="169" t="s">
        <v>2839</v>
      </c>
      <c r="C838" s="164" t="s">
        <v>3610</v>
      </c>
      <c r="D838" s="164" t="s">
        <v>3616</v>
      </c>
      <c r="E838" s="33"/>
      <c r="F838" s="33"/>
      <c r="G838" s="33"/>
      <c r="H838" s="33" t="str">
        <f>IFERROR(__xludf.DUMMYFUNCTION("""COMPUTED_VALUE"""),"Школа 2009")</f>
        <v>Школа 2009</v>
      </c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>
      <c r="A839" s="168" t="s">
        <v>32</v>
      </c>
      <c r="B839" s="169" t="s">
        <v>2841</v>
      </c>
      <c r="C839" s="164" t="s">
        <v>3725</v>
      </c>
      <c r="D839" s="164" t="s">
        <v>3616</v>
      </c>
      <c r="E839" s="33"/>
      <c r="F839" s="33"/>
      <c r="G839" s="33"/>
      <c r="H839" s="33" t="str">
        <f>IFERROR(__xludf.DUMMYFUNCTION("""COMPUTED_VALUE"""),"Школа 2025")</f>
        <v>Школа 2025</v>
      </c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168" t="s">
        <v>32</v>
      </c>
      <c r="B840" s="169" t="s">
        <v>2843</v>
      </c>
      <c r="C840" s="164" t="s">
        <v>3524</v>
      </c>
      <c r="D840" s="164" t="s">
        <v>3616</v>
      </c>
      <c r="E840" s="33"/>
      <c r="F840" s="33"/>
      <c r="G840" s="33"/>
      <c r="H840" s="33" t="str">
        <f>IFERROR(__xludf.DUMMYFUNCTION("""COMPUTED_VALUE"""),"Школа 2030")</f>
        <v>Школа 2030</v>
      </c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>
      <c r="A841" s="168" t="s">
        <v>32</v>
      </c>
      <c r="B841" s="169" t="s">
        <v>2845</v>
      </c>
      <c r="C841" s="164" t="s">
        <v>3793</v>
      </c>
      <c r="D841" s="164" t="s">
        <v>3935</v>
      </c>
      <c r="E841" s="33"/>
      <c r="F841" s="33"/>
      <c r="G841" s="33"/>
      <c r="H841" s="33" t="str">
        <f>IFERROR(__xludf.DUMMYFUNCTION("""COMPUTED_VALUE"""),"Школа 2031")</f>
        <v>Школа 2031</v>
      </c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168" t="s">
        <v>32</v>
      </c>
      <c r="B842" s="169" t="s">
        <v>2847</v>
      </c>
      <c r="C842" s="164" t="s">
        <v>3660</v>
      </c>
      <c r="D842" s="164" t="s">
        <v>3616</v>
      </c>
      <c r="E842" s="33"/>
      <c r="F842" s="33"/>
      <c r="G842" s="33"/>
      <c r="H842" s="33" t="str">
        <f>IFERROR(__xludf.DUMMYFUNCTION("""COMPUTED_VALUE"""),"Школа 2033")</f>
        <v>Школа 2033</v>
      </c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168" t="s">
        <v>32</v>
      </c>
      <c r="B843" s="169" t="s">
        <v>2849</v>
      </c>
      <c r="C843" s="164" t="s">
        <v>3358</v>
      </c>
      <c r="D843" s="164" t="s">
        <v>3616</v>
      </c>
      <c r="E843" s="33"/>
      <c r="F843" s="33"/>
      <c r="G843" s="33"/>
      <c r="H843" s="33" t="str">
        <f>IFERROR(__xludf.DUMMYFUNCTION("""COMPUTED_VALUE"""),"Школа 2045")</f>
        <v>Школа 2045</v>
      </c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168" t="s">
        <v>32</v>
      </c>
      <c r="B844" s="169" t="s">
        <v>2852</v>
      </c>
      <c r="C844" s="164" t="s">
        <v>3451</v>
      </c>
      <c r="D844" s="164" t="s">
        <v>3616</v>
      </c>
      <c r="E844" s="33"/>
      <c r="F844" s="33"/>
      <c r="G844" s="33"/>
      <c r="H844" s="33" t="str">
        <f>IFERROR(__xludf.DUMMYFUNCTION("""COMPUTED_VALUE"""),"Школа 2048")</f>
        <v>Школа 2048</v>
      </c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168" t="s">
        <v>32</v>
      </c>
      <c r="B845" s="169" t="s">
        <v>2854</v>
      </c>
      <c r="C845" s="164" t="s">
        <v>3662</v>
      </c>
      <c r="D845" s="164" t="s">
        <v>3939</v>
      </c>
      <c r="E845" s="33"/>
      <c r="F845" s="33"/>
      <c r="G845" s="33"/>
      <c r="H845" s="33" t="str">
        <f>IFERROR(__xludf.DUMMYFUNCTION("""COMPUTED_VALUE"""),"Школа 2051")</f>
        <v>Школа 2051</v>
      </c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168" t="s">
        <v>32</v>
      </c>
      <c r="B846" s="169" t="s">
        <v>2856</v>
      </c>
      <c r="C846" s="164" t="s">
        <v>3663</v>
      </c>
      <c r="D846" s="164" t="s">
        <v>3616</v>
      </c>
      <c r="E846" s="33"/>
      <c r="F846" s="33"/>
      <c r="G846" s="33"/>
      <c r="H846" s="33" t="str">
        <f>IFERROR(__xludf.DUMMYFUNCTION("""COMPUTED_VALUE"""),"Школа 2070")</f>
        <v>Школа 2070</v>
      </c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168" t="s">
        <v>32</v>
      </c>
      <c r="B847" s="169" t="s">
        <v>2859</v>
      </c>
      <c r="C847" s="164" t="s">
        <v>3575</v>
      </c>
      <c r="D847" s="164" t="s">
        <v>3935</v>
      </c>
      <c r="E847" s="33"/>
      <c r="F847" s="33"/>
      <c r="G847" s="33"/>
      <c r="H847" s="33" t="str">
        <f>IFERROR(__xludf.DUMMYFUNCTION("""COMPUTED_VALUE"""),"Школа 2072")</f>
        <v>Школа 2072</v>
      </c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>
      <c r="A848" s="168" t="s">
        <v>32</v>
      </c>
      <c r="B848" s="169" t="s">
        <v>2861</v>
      </c>
      <c r="C848" s="164" t="s">
        <v>3728</v>
      </c>
      <c r="D848" s="164" t="s">
        <v>3616</v>
      </c>
      <c r="E848" s="33"/>
      <c r="F848" s="33"/>
      <c r="G848" s="33"/>
      <c r="H848" s="33" t="str">
        <f>IFERROR(__xludf.DUMMYFUNCTION("""COMPUTED_VALUE"""),"Школа 2083")</f>
        <v>Школа 2083</v>
      </c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>
      <c r="A849" s="168" t="s">
        <v>32</v>
      </c>
      <c r="B849" s="169" t="s">
        <v>2863</v>
      </c>
      <c r="C849" s="164" t="s">
        <v>3612</v>
      </c>
      <c r="D849" s="164" t="s">
        <v>3616</v>
      </c>
      <c r="E849" s="33"/>
      <c r="F849" s="33"/>
      <c r="G849" s="33"/>
      <c r="H849" s="33" t="str">
        <f>IFERROR(__xludf.DUMMYFUNCTION("""COMPUTED_VALUE"""),"Школа 2086")</f>
        <v>Школа 2086</v>
      </c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>
      <c r="A850" s="168" t="s">
        <v>32</v>
      </c>
      <c r="B850" s="169" t="s">
        <v>2865</v>
      </c>
      <c r="C850" s="164" t="s">
        <v>3664</v>
      </c>
      <c r="D850" s="164" t="s">
        <v>3616</v>
      </c>
      <c r="E850" s="33"/>
      <c r="F850" s="33"/>
      <c r="G850" s="33"/>
      <c r="H850" s="33" t="str">
        <f>IFERROR(__xludf.DUMMYFUNCTION("""COMPUTED_VALUE"""),"Школа 2087")</f>
        <v>Школа 2087</v>
      </c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168" t="s">
        <v>32</v>
      </c>
      <c r="B851" s="169" t="s">
        <v>2867</v>
      </c>
      <c r="C851" s="164" t="s">
        <v>3729</v>
      </c>
      <c r="D851" s="164" t="s">
        <v>3939</v>
      </c>
      <c r="E851" s="33"/>
      <c r="F851" s="33"/>
      <c r="G851" s="33"/>
      <c r="H851" s="33" t="str">
        <f>IFERROR(__xludf.DUMMYFUNCTION("""COMPUTED_VALUE"""),"Школа 2089")</f>
        <v>Школа 2089</v>
      </c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168" t="s">
        <v>32</v>
      </c>
      <c r="B852" s="169" t="s">
        <v>2870</v>
      </c>
      <c r="C852" s="164" t="s">
        <v>3815</v>
      </c>
      <c r="D852" s="164" t="s">
        <v>3939</v>
      </c>
      <c r="E852" s="33"/>
      <c r="F852" s="33"/>
      <c r="G852" s="33"/>
      <c r="H852" s="33" t="str">
        <f>IFERROR(__xludf.DUMMYFUNCTION("""COMPUTED_VALUE"""),"Школа 2094")</f>
        <v>Школа 2094</v>
      </c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>
      <c r="A853" s="168" t="s">
        <v>32</v>
      </c>
      <c r="B853" s="169" t="s">
        <v>2872</v>
      </c>
      <c r="C853" s="164" t="s">
        <v>3665</v>
      </c>
      <c r="D853" s="164" t="s">
        <v>3616</v>
      </c>
      <c r="E853" s="33"/>
      <c r="F853" s="33"/>
      <c r="G853" s="33"/>
      <c r="H853" s="33" t="str">
        <f>IFERROR(__xludf.DUMMYFUNCTION("""COMPUTED_VALUE"""),"Школа 2097")</f>
        <v>Школа 2097</v>
      </c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>
      <c r="A854" s="168" t="s">
        <v>32</v>
      </c>
      <c r="B854" s="169" t="s">
        <v>2874</v>
      </c>
      <c r="C854" s="164" t="s">
        <v>3666</v>
      </c>
      <c r="D854" s="164" t="s">
        <v>3616</v>
      </c>
      <c r="E854" s="33"/>
      <c r="F854" s="33"/>
      <c r="G854" s="33"/>
      <c r="H854" s="33" t="str">
        <f>IFERROR(__xludf.DUMMYFUNCTION("""COMPUTED_VALUE"""),"Школа 2098")</f>
        <v>Школа 2098</v>
      </c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168" t="s">
        <v>32</v>
      </c>
      <c r="B855" s="169" t="s">
        <v>2876</v>
      </c>
      <c r="C855" s="164" t="s">
        <v>3485</v>
      </c>
      <c r="D855" s="164" t="s">
        <v>3616</v>
      </c>
      <c r="E855" s="33"/>
      <c r="F855" s="33"/>
      <c r="G855" s="33"/>
      <c r="H855" s="33" t="str">
        <f>IFERROR(__xludf.DUMMYFUNCTION("""COMPUTED_VALUE"""),"Школа 2101")</f>
        <v>Школа 2101</v>
      </c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168" t="s">
        <v>32</v>
      </c>
      <c r="B856" s="169" t="s">
        <v>2878</v>
      </c>
      <c r="C856" s="164" t="s">
        <v>3613</v>
      </c>
      <c r="D856" s="164" t="s">
        <v>3939</v>
      </c>
      <c r="E856" s="33"/>
      <c r="F856" s="33"/>
      <c r="G856" s="33"/>
      <c r="H856" s="33" t="str">
        <f>IFERROR(__xludf.DUMMYFUNCTION("""COMPUTED_VALUE"""),"Школа 2103")</f>
        <v>Школа 2103</v>
      </c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168" t="s">
        <v>32</v>
      </c>
      <c r="B857" s="169" t="s">
        <v>2880</v>
      </c>
      <c r="C857" s="164" t="s">
        <v>3931</v>
      </c>
      <c r="D857" s="164" t="s">
        <v>3935</v>
      </c>
      <c r="E857" s="33"/>
      <c r="F857" s="33"/>
      <c r="G857" s="33"/>
      <c r="H857" s="33" t="str">
        <f>IFERROR(__xludf.DUMMYFUNCTION("""COMPUTED_VALUE"""),"Школа 2104")</f>
        <v>Школа 2104</v>
      </c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168" t="s">
        <v>32</v>
      </c>
      <c r="B858" s="169" t="s">
        <v>2882</v>
      </c>
      <c r="C858" s="164" t="s">
        <v>3614</v>
      </c>
      <c r="D858" s="164" t="s">
        <v>3616</v>
      </c>
      <c r="E858" s="33"/>
      <c r="F858" s="33"/>
      <c r="G858" s="33"/>
      <c r="H858" s="33" t="str">
        <f>IFERROR(__xludf.DUMMYFUNCTION("""COMPUTED_VALUE"""),"Школа 2107")</f>
        <v>Школа 2107</v>
      </c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>
      <c r="A859" s="168" t="s">
        <v>32</v>
      </c>
      <c r="B859" s="169" t="s">
        <v>2884</v>
      </c>
      <c r="C859" s="164" t="s">
        <v>3731</v>
      </c>
      <c r="D859" s="164" t="s">
        <v>3616</v>
      </c>
      <c r="E859" s="33"/>
      <c r="F859" s="33"/>
      <c r="G859" s="33"/>
      <c r="H859" s="33" t="str">
        <f>IFERROR(__xludf.DUMMYFUNCTION("""COMPUTED_VALUE"""),"Школа 2114")</f>
        <v>Школа 2114</v>
      </c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>
      <c r="A860" s="168" t="s">
        <v>32</v>
      </c>
      <c r="B860" s="169" t="s">
        <v>2886</v>
      </c>
      <c r="C860" s="164" t="s">
        <v>3805</v>
      </c>
      <c r="D860" s="164" t="s">
        <v>3616</v>
      </c>
      <c r="E860" s="33"/>
      <c r="F860" s="33"/>
      <c r="G860" s="33"/>
      <c r="H860" s="33" t="str">
        <f>IFERROR(__xludf.DUMMYFUNCTION("""COMPUTED_VALUE"""),"Школа 2117")</f>
        <v>Школа 2117</v>
      </c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168" t="s">
        <v>32</v>
      </c>
      <c r="B861" s="169" t="s">
        <v>2888</v>
      </c>
      <c r="C861" s="164" t="s">
        <v>3426</v>
      </c>
      <c r="D861" s="164" t="s">
        <v>3616</v>
      </c>
      <c r="E861" s="33"/>
      <c r="F861" s="33"/>
      <c r="G861" s="33"/>
      <c r="H861" s="33" t="str">
        <f>IFERROR(__xludf.DUMMYFUNCTION("""COMPUTED_VALUE"""),"Школа 2120")</f>
        <v>Школа 2120</v>
      </c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168" t="s">
        <v>32</v>
      </c>
      <c r="B862" s="169" t="s">
        <v>2890</v>
      </c>
      <c r="C862" s="164" t="s">
        <v>3733</v>
      </c>
      <c r="D862" s="164" t="s">
        <v>3935</v>
      </c>
      <c r="E862" s="33"/>
      <c r="F862" s="33"/>
      <c r="G862" s="33"/>
      <c r="H862" s="33" t="str">
        <f>IFERROR(__xludf.DUMMYFUNCTION("""COMPUTED_VALUE"""),"Школа 2121")</f>
        <v>Школа 2121</v>
      </c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168" t="s">
        <v>32</v>
      </c>
      <c r="B863" s="169" t="s">
        <v>2893</v>
      </c>
      <c r="C863" s="164" t="s">
        <v>3453</v>
      </c>
      <c r="D863" s="164" t="s">
        <v>3616</v>
      </c>
      <c r="E863" s="33"/>
      <c r="F863" s="33"/>
      <c r="G863" s="33"/>
      <c r="H863" s="33" t="str">
        <f>IFERROR(__xludf.DUMMYFUNCTION("""COMPUTED_VALUE"""),"Школа 2127")</f>
        <v>Школа 2127</v>
      </c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>
      <c r="A864" s="168" t="s">
        <v>32</v>
      </c>
      <c r="B864" s="169" t="s">
        <v>2896</v>
      </c>
      <c r="C864" s="164" t="s">
        <v>3427</v>
      </c>
      <c r="D864" s="164" t="s">
        <v>3935</v>
      </c>
      <c r="E864" s="33"/>
      <c r="F864" s="33"/>
      <c r="G864" s="33"/>
      <c r="H864" s="33" t="str">
        <f>IFERROR(__xludf.DUMMYFUNCTION("""COMPUTED_VALUE"""),"Школа 2200")</f>
        <v>Школа 2200</v>
      </c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168" t="s">
        <v>32</v>
      </c>
      <c r="B865" s="169" t="s">
        <v>2898</v>
      </c>
      <c r="C865" s="164" t="s">
        <v>4368</v>
      </c>
      <c r="D865" s="164" t="s">
        <v>3616</v>
      </c>
      <c r="E865" s="33"/>
      <c r="F865" s="33"/>
      <c r="G865" s="33"/>
      <c r="H865" s="33" t="str">
        <f>IFERROR(__xludf.DUMMYFUNCTION("""COMPUTED_VALUE"""),"Гимназия им. Н. В. Пушкова")</f>
        <v>Гимназия им. Н. В. Пушкова</v>
      </c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>
      <c r="A866" s="168" t="s">
        <v>32</v>
      </c>
      <c r="B866" s="169" t="s">
        <v>2901</v>
      </c>
      <c r="C866" s="164" t="s">
        <v>4136</v>
      </c>
      <c r="D866" s="164" t="s">
        <v>3939</v>
      </c>
      <c r="E866" s="33"/>
      <c r="F866" s="33"/>
      <c r="G866" s="33"/>
      <c r="H866" s="33" t="str">
        <f>IFERROR(__xludf.DUMMYFUNCTION("""COMPUTED_VALUE"""),"Лицей города Троицка")</f>
        <v>Лицей города Троицка</v>
      </c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168" t="s">
        <v>32</v>
      </c>
      <c r="B867" s="169" t="s">
        <v>2903</v>
      </c>
      <c r="C867" s="164" t="s">
        <v>3429</v>
      </c>
      <c r="D867" s="164" t="s">
        <v>3939</v>
      </c>
      <c r="E867" s="33"/>
      <c r="F867" s="33"/>
      <c r="G867" s="33"/>
      <c r="H867" s="33" t="str">
        <f>IFERROR(__xludf.DUMMYFUNCTION("""COMPUTED_VALUE"""),"Инженерно-техническая школа им. дважды Героя Советского Союза П. Р. Поповича")</f>
        <v>Инженерно-техническая школа им. дважды Героя Советского Союза П. Р. Поповича</v>
      </c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>
      <c r="A868" s="168" t="s">
        <v>32</v>
      </c>
      <c r="B868" s="169" t="s">
        <v>2905</v>
      </c>
      <c r="C868" s="164" t="s">
        <v>3428</v>
      </c>
      <c r="D868" s="164" t="s">
        <v>3616</v>
      </c>
      <c r="E868" s="33"/>
      <c r="F868" s="33"/>
      <c r="G868" s="33"/>
      <c r="H868" s="33" t="str">
        <f>IFERROR(__xludf.DUMMYFUNCTION("""COMPUTED_VALUE"""),"Московская международная школа")</f>
        <v>Московская международная школа</v>
      </c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>
      <c r="A869" s="168" t="s">
        <v>32</v>
      </c>
      <c r="B869" s="169" t="s">
        <v>2907</v>
      </c>
      <c r="C869" s="164" t="s">
        <v>3670</v>
      </c>
      <c r="D869" s="164" t="s">
        <v>3616</v>
      </c>
      <c r="E869" s="33"/>
      <c r="F869" s="33"/>
      <c r="G869" s="33"/>
      <c r="H869" s="33" t="str">
        <f>IFERROR(__xludf.DUMMYFUNCTION("""COMPUTED_VALUE"""),"Образовательный центр Протон")</f>
        <v>Образовательный центр Протон</v>
      </c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>
      <c r="A870" s="168" t="s">
        <v>32</v>
      </c>
      <c r="B870" s="169" t="s">
        <v>2909</v>
      </c>
      <c r="C870" s="164" t="s">
        <v>3486</v>
      </c>
      <c r="D870" s="164" t="s">
        <v>3616</v>
      </c>
      <c r="E870" s="33"/>
      <c r="F870" s="33"/>
      <c r="G870" s="33"/>
      <c r="H870" s="33" t="str">
        <f>IFERROR(__xludf.DUMMYFUNCTION("""COMPUTED_VALUE"""),"Школа Дмитровский им. Героя Советского Союза В. П. Кислякова")</f>
        <v>Школа Дмитровский им. Героя Советского Союза В. П. Кислякова</v>
      </c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168" t="s">
        <v>32</v>
      </c>
      <c r="B871" s="169" t="s">
        <v>2911</v>
      </c>
      <c r="C871" s="164" t="s">
        <v>3673</v>
      </c>
      <c r="D871" s="164" t="s">
        <v>3616</v>
      </c>
      <c r="E871" s="33"/>
      <c r="F871" s="33"/>
      <c r="G871" s="33"/>
      <c r="H871" s="33" t="str">
        <f>IFERROR(__xludf.DUMMYFUNCTION("""COMPUTED_VALUE"""),"Школа Интеграл")</f>
        <v>Школа Интеграл</v>
      </c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168" t="s">
        <v>32</v>
      </c>
      <c r="B872" s="169" t="s">
        <v>2914</v>
      </c>
      <c r="C872" s="164" t="s">
        <v>3487</v>
      </c>
      <c r="D872" s="164" t="s">
        <v>3935</v>
      </c>
      <c r="E872" s="33"/>
      <c r="F872" s="33"/>
      <c r="G872" s="33"/>
      <c r="H872" s="33" t="str">
        <f>IFERROR(__xludf.DUMMYFUNCTION("""COMPUTED_VALUE"""),"Школа Кузьминки")</f>
        <v>Школа Кузьминки</v>
      </c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168" t="s">
        <v>32</v>
      </c>
      <c r="B873" s="169" t="s">
        <v>2916</v>
      </c>
      <c r="C873" s="164" t="s">
        <v>3671</v>
      </c>
      <c r="D873" s="164" t="s">
        <v>3616</v>
      </c>
      <c r="E873" s="33"/>
      <c r="F873" s="33"/>
      <c r="G873" s="33"/>
      <c r="H873" s="33" t="str">
        <f>IFERROR(__xludf.DUMMYFUNCTION("""COMPUTED_VALUE"""),"Школа Покровский квартал")</f>
        <v>Школа Покровский квартал</v>
      </c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168" t="s">
        <v>32</v>
      </c>
      <c r="B874" s="169" t="s">
        <v>2918</v>
      </c>
      <c r="C874" s="164" t="s">
        <v>3576</v>
      </c>
      <c r="D874" s="164" t="s">
        <v>3616</v>
      </c>
      <c r="E874" s="33"/>
      <c r="F874" s="33"/>
      <c r="G874" s="33"/>
      <c r="H874" s="33" t="str">
        <f>IFERROR(__xludf.DUMMYFUNCTION("""COMPUTED_VALUE"""),"Школа Свиблово")</f>
        <v>Школа Свиблово</v>
      </c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168" t="s">
        <v>32</v>
      </c>
      <c r="B875" s="169" t="s">
        <v>2921</v>
      </c>
      <c r="C875" s="164" t="s">
        <v>3668</v>
      </c>
      <c r="D875" s="164" t="s">
        <v>3616</v>
      </c>
      <c r="E875" s="33"/>
      <c r="F875" s="33"/>
      <c r="G875" s="33"/>
      <c r="H875" s="33" t="str">
        <f>IFERROR(__xludf.DUMMYFUNCTION("""COMPUTED_VALUE"""),"Школа в Некрасовке")</f>
        <v>Школа в Некрасовке</v>
      </c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168" t="s">
        <v>32</v>
      </c>
      <c r="B876" s="169" t="s">
        <v>2924</v>
      </c>
      <c r="C876" s="164" t="s">
        <v>3734</v>
      </c>
      <c r="D876" s="164" t="s">
        <v>3939</v>
      </c>
      <c r="E876" s="33"/>
      <c r="F876" s="33"/>
      <c r="G876" s="33"/>
      <c r="H876" s="33" t="str">
        <f>IFERROR(__xludf.DUMMYFUNCTION("""COMPUTED_VALUE"""),"Школа Глория")</f>
        <v>Школа Глория</v>
      </c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168" t="s">
        <v>32</v>
      </c>
      <c r="B877" s="169" t="s">
        <v>2926</v>
      </c>
      <c r="C877" s="164" t="s">
        <v>3578</v>
      </c>
      <c r="D877" s="164" t="s">
        <v>3935</v>
      </c>
      <c r="E877" s="33"/>
      <c r="F877" s="33"/>
      <c r="G877" s="33"/>
      <c r="H877" s="33" t="str">
        <f>IFERROR(__xludf.DUMMYFUNCTION("""COMPUTED_VALUE"""),"Школа им. Артема Боровика")</f>
        <v>Школа им. Артема Боровика</v>
      </c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168" t="s">
        <v>32</v>
      </c>
      <c r="B878" s="169" t="s">
        <v>2928</v>
      </c>
      <c r="C878" s="164" t="s">
        <v>3367</v>
      </c>
      <c r="D878" s="164" t="s">
        <v>3616</v>
      </c>
      <c r="E878" s="33"/>
      <c r="F878" s="33"/>
      <c r="G878" s="33"/>
      <c r="H878" s="33" t="str">
        <f>IFERROR(__xludf.DUMMYFUNCTION("""COMPUTED_VALUE"""),"Школа им. В. В. Маяковского")</f>
        <v>Школа им. В. В. Маяковского</v>
      </c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168" t="s">
        <v>32</v>
      </c>
      <c r="B879" s="169" t="s">
        <v>2931</v>
      </c>
      <c r="C879" s="164" t="s">
        <v>3672</v>
      </c>
      <c r="D879" s="164" t="s">
        <v>3616</v>
      </c>
      <c r="E879" s="33"/>
      <c r="F879" s="33"/>
      <c r="G879" s="33"/>
      <c r="H879" s="33" t="str">
        <f>IFERROR(__xludf.DUMMYFUNCTION("""COMPUTED_VALUE"""),"Школа Марьина Роща им. В. Ф. Орлова")</f>
        <v>Школа Марьина Роща им. В. Ф. Орлова</v>
      </c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168" t="s">
        <v>32</v>
      </c>
      <c r="B880" s="169" t="s">
        <v>2933</v>
      </c>
      <c r="C880" s="164" t="s">
        <v>3735</v>
      </c>
      <c r="D880" s="164" t="s">
        <v>3939</v>
      </c>
      <c r="E880" s="33"/>
      <c r="F880" s="33"/>
      <c r="G880" s="33"/>
      <c r="H880" s="33" t="str">
        <f>IFERROR(__xludf.DUMMYFUNCTION("""COMPUTED_VALUE"""),"Школа на проспекте Вернадского")</f>
        <v>Школа на проспекте Вернадского</v>
      </c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</sheetData>
  <conditionalFormatting sqref="H1:H880">
    <cfRule type="notContainsBlanks" dxfId="4" priority="1">
      <formula>LEN(TRIM(H1))&gt;0</formula>
    </cfRule>
  </conditionalFormatting>
  <conditionalFormatting sqref="A1:A880">
    <cfRule type="containsText" dxfId="0" priority="2" operator="containsText" text="Инженерный">
      <formula>NOT(ISERROR(SEARCH(("Инженерный"),(A1))))</formula>
    </cfRule>
  </conditionalFormatting>
  <conditionalFormatting sqref="A1:A880">
    <cfRule type="containsText" dxfId="1" priority="3" operator="containsText" text="Медицинский">
      <formula>NOT(ISERROR(SEARCH(("Медицинский"),(A1))))</formula>
    </cfRule>
  </conditionalFormatting>
  <conditionalFormatting sqref="A1:A880">
    <cfRule type="containsText" dxfId="2" priority="4" operator="containsText" text="ИТ">
      <formula>NOT(ISERROR(SEARCH(("ИТ"),(A1))))</formula>
    </cfRule>
  </conditionalFormatting>
  <conditionalFormatting sqref="A1:A880">
    <cfRule type="containsText" dxfId="3" priority="5" operator="containsText" text="Медиа">
      <formula>NOT(ISERROR(SEARCH(("Медиа"),(A1))))</formula>
    </cfRule>
  </conditionalFormatting>
  <conditionalFormatting sqref="A1:A880">
    <cfRule type="containsText" dxfId="4" priority="6" operator="containsText" text="Предпринимательский">
      <formula>NOT(ISERROR(SEARCH(("Предпринимательский"),(A1))))</formula>
    </cfRule>
  </conditionalFormatting>
  <conditionalFormatting sqref="A1:A880">
    <cfRule type="containsText" dxfId="5" priority="7" operator="containsText" text="Педагогический">
      <formula>NOT(ISERROR(SEARCH(("Педагогический"),(A1))))</formula>
    </cfRule>
  </conditionalFormatting>
  <hyperlinks>
    <hyperlink r:id="rId1" ref="E209"/>
    <hyperlink r:id="rId2" ref="E210"/>
    <hyperlink r:id="rId3" ref="E211"/>
    <hyperlink r:id="rId4" ref="E212"/>
    <hyperlink r:id="rId5" ref="E213"/>
    <hyperlink r:id="rId6" ref="E214"/>
    <hyperlink r:id="rId7" ref="E215"/>
    <hyperlink r:id="rId8" ref="E216"/>
    <hyperlink r:id="rId9" ref="E217"/>
    <hyperlink r:id="rId10" ref="E218"/>
    <hyperlink r:id="rId11" ref="E219"/>
    <hyperlink r:id="rId12" ref="E220"/>
    <hyperlink r:id="rId13" ref="E221"/>
    <hyperlink r:id="rId14" ref="E222"/>
    <hyperlink r:id="rId15" ref="E223"/>
    <hyperlink r:id="rId16" ref="E224"/>
    <hyperlink r:id="rId17" ref="E225"/>
    <hyperlink r:id="rId18" ref="E226"/>
    <hyperlink r:id="rId19" ref="E227"/>
    <hyperlink r:id="rId20" ref="E228"/>
    <hyperlink r:id="rId21" ref="E229"/>
    <hyperlink r:id="rId22" ref="E230"/>
    <hyperlink r:id="rId23" ref="E231"/>
    <hyperlink r:id="rId24" ref="E232"/>
    <hyperlink r:id="rId25" ref="E233"/>
    <hyperlink r:id="rId26" ref="E234"/>
    <hyperlink r:id="rId27" ref="E235"/>
    <hyperlink r:id="rId28" ref="E236"/>
    <hyperlink r:id="rId29" ref="E237"/>
    <hyperlink r:id="rId30" ref="E238"/>
    <hyperlink r:id="rId31" ref="E239"/>
    <hyperlink r:id="rId32" ref="E240"/>
    <hyperlink r:id="rId33" ref="E241"/>
    <hyperlink r:id="rId34" ref="E242"/>
    <hyperlink r:id="rId35" ref="E243"/>
    <hyperlink r:id="rId36" ref="E244"/>
    <hyperlink r:id="rId37" ref="E245"/>
    <hyperlink r:id="rId38" ref="E246"/>
    <hyperlink r:id="rId39" ref="E247"/>
    <hyperlink r:id="rId40" ref="E248"/>
    <hyperlink r:id="rId41" ref="E249"/>
    <hyperlink r:id="rId42" ref="E250"/>
    <hyperlink r:id="rId43" ref="E251"/>
    <hyperlink r:id="rId44" ref="E252"/>
    <hyperlink r:id="rId45" ref="E253"/>
    <hyperlink r:id="rId46" ref="E254"/>
    <hyperlink r:id="rId47" ref="E255"/>
    <hyperlink r:id="rId48" ref="E256"/>
    <hyperlink r:id="rId49" ref="E257"/>
    <hyperlink r:id="rId50" ref="E258"/>
    <hyperlink r:id="rId51" ref="E259"/>
    <hyperlink r:id="rId52" ref="E260"/>
    <hyperlink r:id="rId53" ref="E261"/>
    <hyperlink r:id="rId54" ref="E262"/>
    <hyperlink r:id="rId55" ref="E263"/>
    <hyperlink r:id="rId56" ref="E264"/>
    <hyperlink r:id="rId57" ref="E265"/>
    <hyperlink r:id="rId58" ref="E266"/>
    <hyperlink r:id="rId59" ref="E267"/>
    <hyperlink r:id="rId60" ref="E268"/>
    <hyperlink r:id="rId61" ref="E269"/>
    <hyperlink r:id="rId62" ref="E270"/>
    <hyperlink r:id="rId63" ref="E271"/>
    <hyperlink r:id="rId64" ref="E272"/>
    <hyperlink r:id="rId65" ref="E273"/>
    <hyperlink r:id="rId66" ref="E274"/>
    <hyperlink r:id="rId67" ref="E275"/>
    <hyperlink r:id="rId68" ref="E276"/>
    <hyperlink r:id="rId69" ref="E277"/>
    <hyperlink r:id="rId70" ref="E278"/>
    <hyperlink r:id="rId71" ref="E279"/>
    <hyperlink r:id="rId72" ref="E280"/>
    <hyperlink r:id="rId73" ref="E281"/>
    <hyperlink r:id="rId74" ref="E282"/>
    <hyperlink r:id="rId75" ref="E283"/>
    <hyperlink r:id="rId76" ref="E284"/>
    <hyperlink r:id="rId77" ref="E285"/>
    <hyperlink r:id="rId78" ref="E286"/>
    <hyperlink r:id="rId79" ref="E287"/>
    <hyperlink r:id="rId80" ref="E288"/>
    <hyperlink r:id="rId81" ref="E289"/>
    <hyperlink r:id="rId82" ref="E290"/>
    <hyperlink r:id="rId83" ref="E291"/>
    <hyperlink r:id="rId84" ref="E292"/>
    <hyperlink r:id="rId85" ref="E293"/>
    <hyperlink r:id="rId86" ref="E294"/>
    <hyperlink r:id="rId87" ref="E295"/>
    <hyperlink r:id="rId88" ref="E296"/>
    <hyperlink r:id="rId89" ref="E297"/>
    <hyperlink r:id="rId90" ref="E298"/>
    <hyperlink r:id="rId91" ref="E299"/>
    <hyperlink r:id="rId92" ref="E300"/>
    <hyperlink r:id="rId93" ref="E301"/>
    <hyperlink r:id="rId94" ref="E302"/>
    <hyperlink r:id="rId95" ref="E303"/>
    <hyperlink r:id="rId96" ref="E304"/>
    <hyperlink r:id="rId97" ref="E305"/>
    <hyperlink r:id="rId98" ref="E306"/>
    <hyperlink r:id="rId99" ref="E307"/>
    <hyperlink r:id="rId100" ref="E308"/>
    <hyperlink r:id="rId101" ref="E309"/>
    <hyperlink r:id="rId102" ref="E310"/>
    <hyperlink r:id="rId103" ref="E311"/>
    <hyperlink r:id="rId104" ref="E312"/>
    <hyperlink r:id="rId105" ref="E313"/>
    <hyperlink r:id="rId106" ref="E314"/>
    <hyperlink r:id="rId107" ref="E315"/>
    <hyperlink r:id="rId108" ref="E316"/>
    <hyperlink r:id="rId109" ref="E317"/>
    <hyperlink r:id="rId110" ref="E318"/>
    <hyperlink r:id="rId111" ref="E319"/>
    <hyperlink r:id="rId112" ref="E320"/>
    <hyperlink r:id="rId113" ref="E321"/>
    <hyperlink r:id="rId114" ref="E322"/>
    <hyperlink r:id="rId115" ref="E323"/>
    <hyperlink r:id="rId116" ref="E324"/>
    <hyperlink r:id="rId117" ref="E325"/>
    <hyperlink r:id="rId118" ref="E326"/>
    <hyperlink r:id="rId119" ref="E327"/>
    <hyperlink r:id="rId120" ref="E328"/>
    <hyperlink r:id="rId121" ref="E329"/>
    <hyperlink r:id="rId122" ref="E330"/>
    <hyperlink r:id="rId123" ref="E331"/>
    <hyperlink r:id="rId124" ref="E332"/>
  </hyperlinks>
  <drawing r:id="rId125"/>
</worksheet>
</file>